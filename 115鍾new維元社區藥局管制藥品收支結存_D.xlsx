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301\d\115每日管藥調劑轉入+購買\"/>
    </mc:Choice>
  </mc:AlternateContent>
  <xr:revisionPtr revIDLastSave="0" documentId="13_ncr:1_{4B017841-CE1D-47AE-9692-EECEC81C3B51}" xr6:coauthVersionLast="47" xr6:coauthVersionMax="47" xr10:uidLastSave="{00000000-0000-0000-0000-000000000000}"/>
  <bookViews>
    <workbookView xWindow="420" yWindow="276" windowWidth="8448" windowHeight="12684" tabRatio="935" firstSheet="10" activeTab="18" xr2:uid="{00000000-000D-0000-FFFF-FFFF00000000}"/>
  </bookViews>
  <sheets>
    <sheet name="1" sheetId="1" state="hidden" r:id="rId1"/>
    <sheet name="總表" sheetId="2" r:id="rId2"/>
    <sheet name="異動log" sheetId="3" r:id="rId3"/>
    <sheet name="2" sheetId="4" r:id="rId4"/>
    <sheet name="3" sheetId="5" r:id="rId5"/>
    <sheet name="4" sheetId="6" r:id="rId6"/>
    <sheet name="5" sheetId="7" r:id="rId7"/>
    <sheet name="6" sheetId="8" state="hidden" r:id="rId8"/>
    <sheet name="7" sheetId="9" r:id="rId9"/>
    <sheet name="8" sheetId="10" r:id="rId10"/>
    <sheet name="9" sheetId="11" r:id="rId11"/>
    <sheet name="11" sheetId="12" state="hidden" r:id="rId12"/>
    <sheet name="10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state="hidden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state="hidden" r:id="rId29"/>
    <sheet name="28" sheetId="30" r:id="rId30"/>
    <sheet name="29" sheetId="31" r:id="rId31"/>
    <sheet name="30" sheetId="32" state="hidden" r:id="rId32"/>
    <sheet name="31" sheetId="33" r:id="rId33"/>
    <sheet name="32" sheetId="34" r:id="rId34"/>
    <sheet name="33" sheetId="35" r:id="rId35"/>
    <sheet name="34" sheetId="36" state="hidden" r:id="rId36"/>
    <sheet name="35" sheetId="37" state="hidden" r:id="rId37"/>
    <sheet name="36" sheetId="38" r:id="rId38"/>
    <sheet name="37" sheetId="39" r:id="rId39"/>
    <sheet name="38" sheetId="40" state="hidden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state="hidden" r:id="rId51"/>
    <sheet name="50" sheetId="52" r:id="rId52"/>
    <sheet name="51" sheetId="53" state="hidden" r:id="rId53"/>
    <sheet name="52" sheetId="54" r:id="rId54"/>
    <sheet name="53" sheetId="55" r:id="rId55"/>
    <sheet name="54" sheetId="56" state="hidden" r:id="rId56"/>
    <sheet name="55" sheetId="57" r:id="rId57"/>
    <sheet name="56" sheetId="58" state="hidden" r:id="rId58"/>
    <sheet name="57" sheetId="59" state="hidden" r:id="rId59"/>
    <sheet name="58" sheetId="60" r:id="rId60"/>
    <sheet name="59" sheetId="61" r:id="rId61"/>
    <sheet name="60" sheetId="62" r:id="rId62"/>
    <sheet name="61" sheetId="63" state="hidden" r:id="rId63"/>
    <sheet name="62" sheetId="64" r:id="rId64"/>
    <sheet name="63" sheetId="65" state="hidden" r:id="rId65"/>
    <sheet name="64" sheetId="66" r:id="rId66"/>
    <sheet name="65" sheetId="67" r:id="rId67"/>
    <sheet name="66" sheetId="68" r:id="rId68"/>
    <sheet name="67" sheetId="69" state="hidden" r:id="rId69"/>
    <sheet name="68" sheetId="70" r:id="rId70"/>
    <sheet name="69" sheetId="71" state="hidden" r:id="rId71"/>
    <sheet name="70" sheetId="72" state="hidden" r:id="rId72"/>
    <sheet name="71" sheetId="73" state="hidden" r:id="rId73"/>
    <sheet name="72" sheetId="74" r:id="rId74"/>
    <sheet name="73" sheetId="75" r:id="rId75"/>
    <sheet name="74" sheetId="76" r:id="rId76"/>
    <sheet name="75" sheetId="77" state="hidden" r:id="rId77"/>
    <sheet name="76" sheetId="78" r:id="rId78"/>
    <sheet name="77" sheetId="79" state="hidden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  <sheet name="98" sheetId="100" r:id="rId100"/>
    <sheet name="99" sheetId="101" r:id="rId101"/>
    <sheet name="100" sheetId="102" r:id="rId102"/>
    <sheet name="101" sheetId="103" r:id="rId103"/>
    <sheet name="102" sheetId="104" r:id="rId104"/>
    <sheet name="103" sheetId="105" r:id="rId105"/>
    <sheet name="104" sheetId="106" r:id="rId106"/>
    <sheet name="105" sheetId="107" r:id="rId107"/>
    <sheet name="106" sheetId="108" r:id="rId108"/>
    <sheet name="107" sheetId="109" r:id="rId109"/>
    <sheet name="108" sheetId="110" r:id="rId110"/>
    <sheet name="空白模板" sheetId="111" r:id="rId111"/>
  </sheets>
  <definedNames>
    <definedName name="A">'4'!$XEO$2:$XEP$2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11" l="1"/>
  <c r="M3" i="111"/>
  <c r="O3" i="111" s="1"/>
  <c r="J3" i="111"/>
  <c r="N3" i="110"/>
  <c r="M3" i="110"/>
  <c r="O3" i="110" s="1"/>
  <c r="J3" i="110"/>
  <c r="N3" i="109"/>
  <c r="M3" i="109"/>
  <c r="J3" i="109"/>
  <c r="H9" i="108"/>
  <c r="H10" i="108" s="1"/>
  <c r="H11" i="108" s="1"/>
  <c r="H12" i="108" s="1"/>
  <c r="H13" i="108" s="1"/>
  <c r="H14" i="108" s="1"/>
  <c r="H15" i="108" s="1"/>
  <c r="H16" i="108" s="1"/>
  <c r="H17" i="108" s="1"/>
  <c r="H18" i="108" s="1"/>
  <c r="H19" i="108" s="1"/>
  <c r="H20" i="108" s="1"/>
  <c r="H21" i="108" s="1"/>
  <c r="H22" i="108" s="1"/>
  <c r="H23" i="108" s="1"/>
  <c r="H24" i="108" s="1"/>
  <c r="H25" i="108" s="1"/>
  <c r="H26" i="108" s="1"/>
  <c r="H27" i="108" s="1"/>
  <c r="H28" i="108" s="1"/>
  <c r="H29" i="108" s="1"/>
  <c r="H30" i="108" s="1"/>
  <c r="H31" i="108" s="1"/>
  <c r="H32" i="108" s="1"/>
  <c r="H33" i="108" s="1"/>
  <c r="H34" i="108" s="1"/>
  <c r="H35" i="108" s="1"/>
  <c r="H36" i="108" s="1"/>
  <c r="H37" i="108" s="1"/>
  <c r="H38" i="108" s="1"/>
  <c r="H39" i="108" s="1"/>
  <c r="H40" i="108" s="1"/>
  <c r="H41" i="108" s="1"/>
  <c r="H42" i="108" s="1"/>
  <c r="H43" i="108" s="1"/>
  <c r="H44" i="108" s="1"/>
  <c r="H45" i="108" s="1"/>
  <c r="H46" i="108" s="1"/>
  <c r="H47" i="108" s="1"/>
  <c r="H48" i="108" s="1"/>
  <c r="H49" i="108" s="1"/>
  <c r="H50" i="108" s="1"/>
  <c r="H51" i="108" s="1"/>
  <c r="H8" i="108"/>
  <c r="N3" i="108"/>
  <c r="M3" i="108"/>
  <c r="L3" i="108"/>
  <c r="O3" i="108" s="1"/>
  <c r="J3" i="108"/>
  <c r="N3" i="107"/>
  <c r="M3" i="107"/>
  <c r="L3" i="107"/>
  <c r="J3" i="107"/>
  <c r="H13" i="106"/>
  <c r="H14" i="106" s="1"/>
  <c r="H11" i="106"/>
  <c r="H9" i="106"/>
  <c r="N3" i="106"/>
  <c r="M3" i="106"/>
  <c r="L3" i="106"/>
  <c r="O3" i="106" s="1"/>
  <c r="J3" i="106"/>
  <c r="H12" i="105"/>
  <c r="H13" i="105" s="1"/>
  <c r="H14" i="105" s="1"/>
  <c r="H10" i="105"/>
  <c r="H8" i="105"/>
  <c r="N3" i="105"/>
  <c r="M3" i="105"/>
  <c r="L3" i="105"/>
  <c r="J3" i="105"/>
  <c r="H70" i="104"/>
  <c r="H71" i="104" s="1"/>
  <c r="H72" i="104" s="1"/>
  <c r="H73" i="104" s="1"/>
  <c r="H74" i="104" s="1"/>
  <c r="H75" i="104" s="1"/>
  <c r="H76" i="104" s="1"/>
  <c r="H77" i="104" s="1"/>
  <c r="H78" i="104" s="1"/>
  <c r="H79" i="104" s="1"/>
  <c r="H69" i="104"/>
  <c r="H7" i="104"/>
  <c r="H8" i="104" s="1"/>
  <c r="H9" i="104" s="1"/>
  <c r="H10" i="104" s="1"/>
  <c r="H11" i="104" s="1"/>
  <c r="H12" i="104" s="1"/>
  <c r="H13" i="104" s="1"/>
  <c r="H14" i="104" s="1"/>
  <c r="H15" i="104" s="1"/>
  <c r="H16" i="104" s="1"/>
  <c r="H17" i="104" s="1"/>
  <c r="H18" i="104" s="1"/>
  <c r="H19" i="104" s="1"/>
  <c r="H20" i="104" s="1"/>
  <c r="H21" i="104" s="1"/>
  <c r="H22" i="104" s="1"/>
  <c r="H23" i="104" s="1"/>
  <c r="H24" i="104" s="1"/>
  <c r="H25" i="104" s="1"/>
  <c r="H26" i="104" s="1"/>
  <c r="H27" i="104" s="1"/>
  <c r="H28" i="104" s="1"/>
  <c r="H29" i="104" s="1"/>
  <c r="H30" i="104" s="1"/>
  <c r="H31" i="104" s="1"/>
  <c r="H32" i="104" s="1"/>
  <c r="H33" i="104" s="1"/>
  <c r="H34" i="104" s="1"/>
  <c r="H35" i="104" s="1"/>
  <c r="H36" i="104" s="1"/>
  <c r="H37" i="104" s="1"/>
  <c r="H38" i="104" s="1"/>
  <c r="H39" i="104" s="1"/>
  <c r="H40" i="104" s="1"/>
  <c r="H41" i="104" s="1"/>
  <c r="H42" i="104" s="1"/>
  <c r="H43" i="104" s="1"/>
  <c r="H44" i="104" s="1"/>
  <c r="H45" i="104" s="1"/>
  <c r="H46" i="104" s="1"/>
  <c r="H47" i="104" s="1"/>
  <c r="H48" i="104" s="1"/>
  <c r="H49" i="104" s="1"/>
  <c r="H50" i="104" s="1"/>
  <c r="H51" i="104" s="1"/>
  <c r="H52" i="104" s="1"/>
  <c r="H53" i="104" s="1"/>
  <c r="H54" i="104" s="1"/>
  <c r="H55" i="104" s="1"/>
  <c r="H56" i="104" s="1"/>
  <c r="H57" i="104" s="1"/>
  <c r="H58" i="104" s="1"/>
  <c r="H59" i="104" s="1"/>
  <c r="H60" i="104" s="1"/>
  <c r="H61" i="104" s="1"/>
  <c r="H62" i="104" s="1"/>
  <c r="H63" i="104" s="1"/>
  <c r="H64" i="104" s="1"/>
  <c r="H65" i="104" s="1"/>
  <c r="H66" i="104" s="1"/>
  <c r="H67" i="104" s="1"/>
  <c r="N3" i="104"/>
  <c r="M3" i="104"/>
  <c r="O3" i="104" s="1"/>
  <c r="L3" i="104"/>
  <c r="J3" i="104"/>
  <c r="N3" i="103"/>
  <c r="O3" i="103" s="1"/>
  <c r="L90" i="2" s="1"/>
  <c r="M3" i="103"/>
  <c r="L3" i="103"/>
  <c r="J3" i="103"/>
  <c r="N3" i="102"/>
  <c r="M3" i="102"/>
  <c r="L3" i="102"/>
  <c r="J3" i="102"/>
  <c r="N3" i="101"/>
  <c r="M3" i="101"/>
  <c r="L3" i="101"/>
  <c r="J3" i="101"/>
  <c r="N3" i="100"/>
  <c r="O3" i="100" s="1"/>
  <c r="M3" i="100"/>
  <c r="L3" i="100"/>
  <c r="J3" i="100"/>
  <c r="O3" i="99"/>
  <c r="N3" i="99"/>
  <c r="M3" i="99"/>
  <c r="L3" i="99"/>
  <c r="J3" i="99"/>
  <c r="H9" i="98"/>
  <c r="H10" i="98" s="1"/>
  <c r="N3" i="98"/>
  <c r="M3" i="98"/>
  <c r="L3" i="98"/>
  <c r="J3" i="98"/>
  <c r="H8" i="97"/>
  <c r="H9" i="97" s="1"/>
  <c r="N3" i="97"/>
  <c r="M3" i="97"/>
  <c r="L3" i="97"/>
  <c r="J3" i="97"/>
  <c r="G10" i="96"/>
  <c r="G11" i="96" s="1"/>
  <c r="G8" i="96"/>
  <c r="M3" i="96"/>
  <c r="L3" i="96"/>
  <c r="N3" i="96" s="1"/>
  <c r="K3" i="96"/>
  <c r="I3" i="96"/>
  <c r="N3" i="95"/>
  <c r="M3" i="95"/>
  <c r="L3" i="95"/>
  <c r="J3" i="95"/>
  <c r="H11" i="94"/>
  <c r="H9" i="94"/>
  <c r="N3" i="94"/>
  <c r="M3" i="94"/>
  <c r="L3" i="94"/>
  <c r="J3" i="94"/>
  <c r="N3" i="93"/>
  <c r="M3" i="93"/>
  <c r="L3" i="93"/>
  <c r="J3" i="93"/>
  <c r="O3" i="92"/>
  <c r="N3" i="92"/>
  <c r="M3" i="92"/>
  <c r="L3" i="92"/>
  <c r="J3" i="92"/>
  <c r="H11" i="91"/>
  <c r="H12" i="91" s="1"/>
  <c r="H13" i="91" s="1"/>
  <c r="H14" i="91" s="1"/>
  <c r="H15" i="91" s="1"/>
  <c r="H16" i="91" s="1"/>
  <c r="H17" i="91" s="1"/>
  <c r="H8" i="91"/>
  <c r="H9" i="91" s="1"/>
  <c r="N3" i="91"/>
  <c r="M3" i="91"/>
  <c r="O3" i="91" s="1"/>
  <c r="L3" i="91"/>
  <c r="J3" i="91"/>
  <c r="N3" i="90"/>
  <c r="M3" i="90"/>
  <c r="L3" i="90"/>
  <c r="J3" i="90"/>
  <c r="N3" i="89"/>
  <c r="O3" i="89" s="1"/>
  <c r="L65" i="2" s="1"/>
  <c r="M3" i="89"/>
  <c r="L3" i="89"/>
  <c r="J3" i="89"/>
  <c r="H9" i="88"/>
  <c r="N3" i="88"/>
  <c r="M3" i="88"/>
  <c r="L3" i="88"/>
  <c r="J3" i="88"/>
  <c r="N3" i="87"/>
  <c r="M3" i="87"/>
  <c r="L3" i="87"/>
  <c r="O3" i="87" s="1"/>
  <c r="J3" i="87"/>
  <c r="N3" i="86"/>
  <c r="M3" i="86"/>
  <c r="L3" i="86"/>
  <c r="O3" i="86" s="1"/>
  <c r="L85" i="2" s="1"/>
  <c r="J3" i="86"/>
  <c r="N3" i="85"/>
  <c r="M3" i="85"/>
  <c r="L3" i="85"/>
  <c r="O3" i="85" s="1"/>
  <c r="J3" i="85"/>
  <c r="N3" i="84"/>
  <c r="M3" i="84"/>
  <c r="L3" i="84"/>
  <c r="O3" i="84" s="1"/>
  <c r="J3" i="84"/>
  <c r="N3" i="83"/>
  <c r="M3" i="83"/>
  <c r="L3" i="83"/>
  <c r="J3" i="83"/>
  <c r="H13" i="82"/>
  <c r="H14" i="82" s="1"/>
  <c r="H11" i="82"/>
  <c r="H8" i="82"/>
  <c r="H9" i="82" s="1"/>
  <c r="N3" i="82"/>
  <c r="M3" i="82"/>
  <c r="L3" i="82"/>
  <c r="O3" i="82" s="1"/>
  <c r="J3" i="82"/>
  <c r="H28" i="81"/>
  <c r="H29" i="81" s="1"/>
  <c r="H30" i="81" s="1"/>
  <c r="H31" i="81" s="1"/>
  <c r="H32" i="81" s="1"/>
  <c r="H33" i="81" s="1"/>
  <c r="H34" i="81" s="1"/>
  <c r="H21" i="81"/>
  <c r="H22" i="81" s="1"/>
  <c r="H23" i="81" s="1"/>
  <c r="H24" i="81" s="1"/>
  <c r="H25" i="81" s="1"/>
  <c r="H26" i="81" s="1"/>
  <c r="H16" i="81"/>
  <c r="H17" i="81" s="1"/>
  <c r="H18" i="81" s="1"/>
  <c r="H19" i="81" s="1"/>
  <c r="H13" i="81"/>
  <c r="H14" i="81" s="1"/>
  <c r="H12" i="81"/>
  <c r="H8" i="81"/>
  <c r="H9" i="81" s="1"/>
  <c r="H10" i="81" s="1"/>
  <c r="N3" i="81"/>
  <c r="M3" i="81"/>
  <c r="L3" i="81"/>
  <c r="J3" i="81"/>
  <c r="H31" i="80"/>
  <c r="H32" i="80" s="1"/>
  <c r="H33" i="80" s="1"/>
  <c r="H34" i="80" s="1"/>
  <c r="H35" i="80" s="1"/>
  <c r="H36" i="80" s="1"/>
  <c r="H29" i="80"/>
  <c r="H28" i="80"/>
  <c r="H25" i="80"/>
  <c r="H26" i="80" s="1"/>
  <c r="H22" i="80"/>
  <c r="H23" i="80" s="1"/>
  <c r="H16" i="80"/>
  <c r="H17" i="80" s="1"/>
  <c r="H18" i="80" s="1"/>
  <c r="H19" i="80" s="1"/>
  <c r="H20" i="80" s="1"/>
  <c r="H13" i="80"/>
  <c r="H14" i="80" s="1"/>
  <c r="H11" i="80"/>
  <c r="H10" i="80"/>
  <c r="H8" i="80"/>
  <c r="N3" i="80"/>
  <c r="O3" i="80" s="1"/>
  <c r="L8" i="2" s="1"/>
  <c r="M3" i="80"/>
  <c r="L3" i="80"/>
  <c r="J3" i="80"/>
  <c r="N3" i="79"/>
  <c r="M3" i="79"/>
  <c r="J3" i="79"/>
  <c r="N3" i="78"/>
  <c r="M3" i="78"/>
  <c r="L3" i="78"/>
  <c r="J3" i="78"/>
  <c r="N3" i="77"/>
  <c r="M3" i="77"/>
  <c r="O3" i="77" s="1"/>
  <c r="J3" i="77"/>
  <c r="N3" i="76"/>
  <c r="M3" i="76"/>
  <c r="O3" i="76" s="1"/>
  <c r="L52" i="2" s="1"/>
  <c r="L3" i="76"/>
  <c r="J3" i="76"/>
  <c r="H8" i="75"/>
  <c r="H9" i="75" s="1"/>
  <c r="H10" i="75" s="1"/>
  <c r="H11" i="75" s="1"/>
  <c r="H12" i="75" s="1"/>
  <c r="H13" i="75" s="1"/>
  <c r="H14" i="75" s="1"/>
  <c r="H15" i="75" s="1"/>
  <c r="N3" i="75"/>
  <c r="M3" i="75"/>
  <c r="L3" i="75"/>
  <c r="J3" i="75"/>
  <c r="H8" i="74"/>
  <c r="H9" i="74" s="1"/>
  <c r="N3" i="74"/>
  <c r="M3" i="74"/>
  <c r="L3" i="74"/>
  <c r="J3" i="74"/>
  <c r="N3" i="73"/>
  <c r="M3" i="73"/>
  <c r="J3" i="73"/>
  <c r="N3" i="72"/>
  <c r="O3" i="72" s="1"/>
  <c r="M3" i="72"/>
  <c r="J3" i="72"/>
  <c r="N3" i="71"/>
  <c r="M3" i="71"/>
  <c r="O3" i="71" s="1"/>
  <c r="L86" i="2" s="1"/>
  <c r="J3" i="71"/>
  <c r="H16" i="70"/>
  <c r="H12" i="70"/>
  <c r="H13" i="70" s="1"/>
  <c r="H14" i="70" s="1"/>
  <c r="H10" i="70"/>
  <c r="H8" i="70"/>
  <c r="N3" i="70"/>
  <c r="M3" i="70"/>
  <c r="L3" i="70"/>
  <c r="J3" i="70"/>
  <c r="N3" i="69"/>
  <c r="M3" i="69"/>
  <c r="J3" i="69"/>
  <c r="N3" i="68"/>
  <c r="M3" i="68"/>
  <c r="L3" i="68"/>
  <c r="J3" i="68"/>
  <c r="H40" i="67"/>
  <c r="H39" i="67"/>
  <c r="H31" i="67"/>
  <c r="H32" i="67" s="1"/>
  <c r="H33" i="67" s="1"/>
  <c r="H34" i="67" s="1"/>
  <c r="H35" i="67" s="1"/>
  <c r="H36" i="67" s="1"/>
  <c r="H37" i="67" s="1"/>
  <c r="H30" i="67"/>
  <c r="H27" i="67"/>
  <c r="H28" i="67" s="1"/>
  <c r="H14" i="67"/>
  <c r="H15" i="67" s="1"/>
  <c r="H16" i="67" s="1"/>
  <c r="H17" i="67" s="1"/>
  <c r="H18" i="67" s="1"/>
  <c r="H19" i="67" s="1"/>
  <c r="H20" i="67" s="1"/>
  <c r="H21" i="67" s="1"/>
  <c r="H22" i="67" s="1"/>
  <c r="H23" i="67" s="1"/>
  <c r="H24" i="67" s="1"/>
  <c r="H25" i="67" s="1"/>
  <c r="H10" i="67"/>
  <c r="H11" i="67" s="1"/>
  <c r="H12" i="67" s="1"/>
  <c r="H8" i="67"/>
  <c r="N3" i="67"/>
  <c r="O3" i="67" s="1"/>
  <c r="M3" i="67"/>
  <c r="J3" i="67"/>
  <c r="N3" i="66"/>
  <c r="M3" i="66"/>
  <c r="O3" i="66" s="1"/>
  <c r="L106" i="2" s="1"/>
  <c r="J3" i="66"/>
  <c r="N3" i="65"/>
  <c r="M3" i="65"/>
  <c r="O3" i="65" s="1"/>
  <c r="J3" i="65"/>
  <c r="H27" i="64"/>
  <c r="H28" i="64" s="1"/>
  <c r="H29" i="64" s="1"/>
  <c r="H30" i="64" s="1"/>
  <c r="H31" i="64" s="1"/>
  <c r="H32" i="64" s="1"/>
  <c r="H33" i="64" s="1"/>
  <c r="H34" i="64" s="1"/>
  <c r="H35" i="64" s="1"/>
  <c r="H36" i="64" s="1"/>
  <c r="H37" i="64" s="1"/>
  <c r="H38" i="64" s="1"/>
  <c r="H26" i="64"/>
  <c r="H7" i="64"/>
  <c r="L3" i="64" s="1"/>
  <c r="N3" i="64"/>
  <c r="M3" i="64"/>
  <c r="J3" i="64"/>
  <c r="N3" i="63"/>
  <c r="M3" i="63"/>
  <c r="O3" i="63" s="1"/>
  <c r="J3" i="63"/>
  <c r="N3" i="62"/>
  <c r="M3" i="62"/>
  <c r="L3" i="62"/>
  <c r="O3" i="62" s="1"/>
  <c r="L33" i="2" s="1"/>
  <c r="J3" i="62"/>
  <c r="H74" i="61"/>
  <c r="H75" i="61" s="1"/>
  <c r="H76" i="61" s="1"/>
  <c r="H77" i="61" s="1"/>
  <c r="H78" i="61" s="1"/>
  <c r="H79" i="61" s="1"/>
  <c r="H80" i="61" s="1"/>
  <c r="H81" i="61" s="1"/>
  <c r="H82" i="61" s="1"/>
  <c r="H83" i="61" s="1"/>
  <c r="H84" i="61" s="1"/>
  <c r="H85" i="61" s="1"/>
  <c r="H86" i="61" s="1"/>
  <c r="H87" i="61" s="1"/>
  <c r="H88" i="61" s="1"/>
  <c r="H89" i="61" s="1"/>
  <c r="H90" i="61" s="1"/>
  <c r="H91" i="61" s="1"/>
  <c r="H92" i="61" s="1"/>
  <c r="H93" i="61" s="1"/>
  <c r="H94" i="61" s="1"/>
  <c r="H95" i="61" s="1"/>
  <c r="H96" i="61" s="1"/>
  <c r="H97" i="61" s="1"/>
  <c r="H98" i="61" s="1"/>
  <c r="H99" i="61" s="1"/>
  <c r="H100" i="61" s="1"/>
  <c r="H101" i="61" s="1"/>
  <c r="H102" i="61" s="1"/>
  <c r="H103" i="61" s="1"/>
  <c r="H104" i="61" s="1"/>
  <c r="H105" i="61" s="1"/>
  <c r="H106" i="61" s="1"/>
  <c r="H107" i="61" s="1"/>
  <c r="H108" i="61" s="1"/>
  <c r="H109" i="61" s="1"/>
  <c r="H110" i="61" s="1"/>
  <c r="H111" i="61" s="1"/>
  <c r="H112" i="61" s="1"/>
  <c r="H113" i="61" s="1"/>
  <c r="H114" i="61" s="1"/>
  <c r="H115" i="61" s="1"/>
  <c r="H116" i="61" s="1"/>
  <c r="H117" i="61" s="1"/>
  <c r="H118" i="61" s="1"/>
  <c r="H119" i="61" s="1"/>
  <c r="H120" i="61" s="1"/>
  <c r="H121" i="61" s="1"/>
  <c r="H122" i="61" s="1"/>
  <c r="H123" i="61" s="1"/>
  <c r="H124" i="61" s="1"/>
  <c r="H125" i="61" s="1"/>
  <c r="H126" i="61" s="1"/>
  <c r="H127" i="61" s="1"/>
  <c r="H128" i="61" s="1"/>
  <c r="H129" i="61" s="1"/>
  <c r="H130" i="61" s="1"/>
  <c r="H131" i="61" s="1"/>
  <c r="H132" i="61" s="1"/>
  <c r="H72" i="61"/>
  <c r="H71" i="61"/>
  <c r="H44" i="61"/>
  <c r="H45" i="61" s="1"/>
  <c r="H46" i="61" s="1"/>
  <c r="H47" i="61" s="1"/>
  <c r="H48" i="61" s="1"/>
  <c r="H49" i="61" s="1"/>
  <c r="H50" i="61" s="1"/>
  <c r="H51" i="61" s="1"/>
  <c r="H52" i="61" s="1"/>
  <c r="H53" i="61" s="1"/>
  <c r="H54" i="61" s="1"/>
  <c r="H55" i="61" s="1"/>
  <c r="H56" i="61" s="1"/>
  <c r="H57" i="61" s="1"/>
  <c r="H58" i="61" s="1"/>
  <c r="H59" i="61" s="1"/>
  <c r="H60" i="61" s="1"/>
  <c r="H61" i="61" s="1"/>
  <c r="H62" i="61" s="1"/>
  <c r="H63" i="61" s="1"/>
  <c r="H64" i="61" s="1"/>
  <c r="H65" i="61" s="1"/>
  <c r="H66" i="61" s="1"/>
  <c r="H67" i="61" s="1"/>
  <c r="H68" i="61" s="1"/>
  <c r="H69" i="61" s="1"/>
  <c r="H21" i="61"/>
  <c r="H22" i="61" s="1"/>
  <c r="H23" i="61" s="1"/>
  <c r="H24" i="61" s="1"/>
  <c r="H25" i="61" s="1"/>
  <c r="H26" i="61" s="1"/>
  <c r="H27" i="61" s="1"/>
  <c r="H28" i="61" s="1"/>
  <c r="H29" i="61" s="1"/>
  <c r="H30" i="61" s="1"/>
  <c r="H31" i="61" s="1"/>
  <c r="H32" i="61" s="1"/>
  <c r="H33" i="61" s="1"/>
  <c r="H34" i="61" s="1"/>
  <c r="H35" i="61" s="1"/>
  <c r="H36" i="61" s="1"/>
  <c r="H37" i="61" s="1"/>
  <c r="H38" i="61" s="1"/>
  <c r="H39" i="61" s="1"/>
  <c r="H40" i="61" s="1"/>
  <c r="H41" i="61" s="1"/>
  <c r="H42" i="61" s="1"/>
  <c r="H20" i="61"/>
  <c r="H8" i="61"/>
  <c r="H9" i="61" s="1"/>
  <c r="H10" i="61" s="1"/>
  <c r="H11" i="61" s="1"/>
  <c r="H12" i="61" s="1"/>
  <c r="H13" i="61" s="1"/>
  <c r="H14" i="61" s="1"/>
  <c r="H15" i="61" s="1"/>
  <c r="H16" i="61" s="1"/>
  <c r="H17" i="61" s="1"/>
  <c r="H18" i="61" s="1"/>
  <c r="N3" i="61"/>
  <c r="M3" i="61"/>
  <c r="L3" i="61"/>
  <c r="J3" i="61"/>
  <c r="N3" i="60"/>
  <c r="M3" i="60"/>
  <c r="L3" i="60"/>
  <c r="J3" i="60"/>
  <c r="J3" i="59"/>
  <c r="N3" i="58"/>
  <c r="M3" i="58"/>
  <c r="J3" i="58"/>
  <c r="H16" i="57"/>
  <c r="H14" i="57"/>
  <c r="H12" i="57"/>
  <c r="H10" i="57"/>
  <c r="H8" i="57"/>
  <c r="O3" i="57"/>
  <c r="N3" i="57"/>
  <c r="M3" i="57"/>
  <c r="L3" i="57"/>
  <c r="J3" i="57"/>
  <c r="N3" i="56"/>
  <c r="M3" i="56"/>
  <c r="O3" i="56" s="1"/>
  <c r="J3" i="56"/>
  <c r="H16" i="55"/>
  <c r="H14" i="55"/>
  <c r="H12" i="55"/>
  <c r="H9" i="55"/>
  <c r="H10" i="55" s="1"/>
  <c r="N3" i="55"/>
  <c r="M3" i="55"/>
  <c r="O3" i="55" s="1"/>
  <c r="L51" i="2" s="1"/>
  <c r="L3" i="55"/>
  <c r="J3" i="55"/>
  <c r="H8" i="54"/>
  <c r="N3" i="54"/>
  <c r="M3" i="54"/>
  <c r="L3" i="54"/>
  <c r="O3" i="54" s="1"/>
  <c r="J3" i="54"/>
  <c r="N3" i="53"/>
  <c r="M3" i="53"/>
  <c r="J3" i="53"/>
  <c r="H45" i="52"/>
  <c r="H41" i="52"/>
  <c r="H42" i="52" s="1"/>
  <c r="H43" i="52" s="1"/>
  <c r="H36" i="52"/>
  <c r="H37" i="52" s="1"/>
  <c r="H38" i="52" s="1"/>
  <c r="H28" i="52"/>
  <c r="H29" i="52" s="1"/>
  <c r="H30" i="52" s="1"/>
  <c r="H31" i="52" s="1"/>
  <c r="H32" i="52" s="1"/>
  <c r="H33" i="52" s="1"/>
  <c r="H34" i="52" s="1"/>
  <c r="H21" i="52"/>
  <c r="H22" i="52" s="1"/>
  <c r="H23" i="52" s="1"/>
  <c r="H24" i="52" s="1"/>
  <c r="H25" i="52" s="1"/>
  <c r="H26" i="52" s="1"/>
  <c r="H17" i="52"/>
  <c r="H18" i="52" s="1"/>
  <c r="H19" i="52" s="1"/>
  <c r="H16" i="52"/>
  <c r="H14" i="52"/>
  <c r="H10" i="52"/>
  <c r="H11" i="52" s="1"/>
  <c r="H12" i="52" s="1"/>
  <c r="N3" i="52"/>
  <c r="M3" i="52"/>
  <c r="L3" i="52"/>
  <c r="O3" i="52" s="1"/>
  <c r="J3" i="52"/>
  <c r="O3" i="51"/>
  <c r="N3" i="51"/>
  <c r="M3" i="51"/>
  <c r="J3" i="51"/>
  <c r="H10" i="50"/>
  <c r="N3" i="50"/>
  <c r="M3" i="50"/>
  <c r="L3" i="50"/>
  <c r="J3" i="50"/>
  <c r="H16" i="49"/>
  <c r="H15" i="49"/>
  <c r="H10" i="49"/>
  <c r="H11" i="49" s="1"/>
  <c r="H12" i="49" s="1"/>
  <c r="H8" i="49"/>
  <c r="N3" i="49"/>
  <c r="M3" i="49"/>
  <c r="O3" i="49" s="1"/>
  <c r="L75" i="2" s="1"/>
  <c r="J3" i="49"/>
  <c r="N3" i="48"/>
  <c r="M3" i="48"/>
  <c r="O3" i="48" s="1"/>
  <c r="L55" i="2" s="1"/>
  <c r="J3" i="48"/>
  <c r="N3" i="47"/>
  <c r="M3" i="47"/>
  <c r="O3" i="47" s="1"/>
  <c r="L26" i="2" s="1"/>
  <c r="L3" i="47"/>
  <c r="J3" i="47"/>
  <c r="H9" i="46"/>
  <c r="N3" i="46"/>
  <c r="M3" i="46"/>
  <c r="L3" i="46"/>
  <c r="O3" i="46" s="1"/>
  <c r="J3" i="46"/>
  <c r="H8" i="45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H36" i="45" s="1"/>
  <c r="H37" i="45" s="1"/>
  <c r="H38" i="45" s="1"/>
  <c r="H39" i="45" s="1"/>
  <c r="H40" i="45" s="1"/>
  <c r="H41" i="45" s="1"/>
  <c r="H42" i="45" s="1"/>
  <c r="H43" i="45" s="1"/>
  <c r="H44" i="45" s="1"/>
  <c r="H45" i="45" s="1"/>
  <c r="H46" i="45" s="1"/>
  <c r="H47" i="45" s="1"/>
  <c r="N3" i="45"/>
  <c r="M3" i="45"/>
  <c r="L3" i="45"/>
  <c r="J3" i="45"/>
  <c r="H68" i="44"/>
  <c r="H69" i="44" s="1"/>
  <c r="H70" i="44" s="1"/>
  <c r="H71" i="44" s="1"/>
  <c r="H56" i="44"/>
  <c r="H57" i="44" s="1"/>
  <c r="H58" i="44" s="1"/>
  <c r="H59" i="44" s="1"/>
  <c r="H60" i="44" s="1"/>
  <c r="H61" i="44" s="1"/>
  <c r="H62" i="44" s="1"/>
  <c r="H63" i="44" s="1"/>
  <c r="H64" i="44" s="1"/>
  <c r="H65" i="44" s="1"/>
  <c r="H66" i="44" s="1"/>
  <c r="H51" i="44"/>
  <c r="H52" i="44" s="1"/>
  <c r="H53" i="44" s="1"/>
  <c r="H54" i="44" s="1"/>
  <c r="H50" i="44"/>
  <c r="H36" i="44"/>
  <c r="H37" i="44" s="1"/>
  <c r="H38" i="44" s="1"/>
  <c r="H39" i="44" s="1"/>
  <c r="H40" i="44" s="1"/>
  <c r="H41" i="44" s="1"/>
  <c r="H42" i="44" s="1"/>
  <c r="H43" i="44" s="1"/>
  <c r="H44" i="44" s="1"/>
  <c r="H45" i="44" s="1"/>
  <c r="H46" i="44" s="1"/>
  <c r="H47" i="44" s="1"/>
  <c r="H48" i="44" s="1"/>
  <c r="H32" i="44"/>
  <c r="H33" i="44" s="1"/>
  <c r="H34" i="44" s="1"/>
  <c r="H22" i="44"/>
  <c r="H23" i="44" s="1"/>
  <c r="H24" i="44" s="1"/>
  <c r="H25" i="44" s="1"/>
  <c r="H26" i="44" s="1"/>
  <c r="H27" i="44" s="1"/>
  <c r="H28" i="44" s="1"/>
  <c r="H29" i="44" s="1"/>
  <c r="H30" i="44" s="1"/>
  <c r="H13" i="44"/>
  <c r="H14" i="44" s="1"/>
  <c r="H15" i="44" s="1"/>
  <c r="H16" i="44" s="1"/>
  <c r="H17" i="44" s="1"/>
  <c r="H18" i="44" s="1"/>
  <c r="H19" i="44" s="1"/>
  <c r="H20" i="44" s="1"/>
  <c r="H9" i="44"/>
  <c r="H10" i="44" s="1"/>
  <c r="H11" i="44" s="1"/>
  <c r="H12" i="44" s="1"/>
  <c r="H8" i="44"/>
  <c r="N3" i="44"/>
  <c r="M3" i="44"/>
  <c r="O3" i="44" s="1"/>
  <c r="L3" i="44"/>
  <c r="J3" i="44"/>
  <c r="H9" i="43"/>
  <c r="O3" i="43"/>
  <c r="N3" i="43"/>
  <c r="M3" i="43"/>
  <c r="L3" i="43"/>
  <c r="J3" i="43"/>
  <c r="N3" i="42"/>
  <c r="M3" i="42"/>
  <c r="L3" i="42"/>
  <c r="O3" i="42" s="1"/>
  <c r="J3" i="42"/>
  <c r="H12" i="41"/>
  <c r="H10" i="41"/>
  <c r="H8" i="41"/>
  <c r="N3" i="41"/>
  <c r="M3" i="41"/>
  <c r="L3" i="41"/>
  <c r="O3" i="41" s="1"/>
  <c r="J3" i="41"/>
  <c r="N3" i="40"/>
  <c r="M3" i="40"/>
  <c r="J3" i="40"/>
  <c r="H34" i="39"/>
  <c r="H35" i="39" s="1"/>
  <c r="H36" i="39" s="1"/>
  <c r="H37" i="39" s="1"/>
  <c r="H38" i="39" s="1"/>
  <c r="H39" i="39" s="1"/>
  <c r="H40" i="39" s="1"/>
  <c r="H41" i="39" s="1"/>
  <c r="H42" i="39" s="1"/>
  <c r="H43" i="39" s="1"/>
  <c r="H44" i="39" s="1"/>
  <c r="H8" i="39"/>
  <c r="H9" i="39" s="1"/>
  <c r="H10" i="39" s="1"/>
  <c r="H11" i="39" s="1"/>
  <c r="H12" i="39" s="1"/>
  <c r="H13" i="39" s="1"/>
  <c r="H14" i="39" s="1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H31" i="39" s="1"/>
  <c r="N3" i="39"/>
  <c r="M3" i="39"/>
  <c r="L3" i="39"/>
  <c r="J3" i="39"/>
  <c r="H10" i="38"/>
  <c r="H11" i="38" s="1"/>
  <c r="H12" i="38" s="1"/>
  <c r="H13" i="38" s="1"/>
  <c r="H14" i="38" s="1"/>
  <c r="H15" i="38" s="1"/>
  <c r="H8" i="38"/>
  <c r="N3" i="38"/>
  <c r="M3" i="38"/>
  <c r="L3" i="38"/>
  <c r="O3" i="38" s="1"/>
  <c r="J3" i="38"/>
  <c r="N3" i="37"/>
  <c r="M3" i="37"/>
  <c r="J3" i="37"/>
  <c r="N3" i="36"/>
  <c r="M3" i="36"/>
  <c r="J3" i="36"/>
  <c r="H28" i="35"/>
  <c r="H29" i="35" s="1"/>
  <c r="H30" i="35" s="1"/>
  <c r="H31" i="35" s="1"/>
  <c r="H32" i="35" s="1"/>
  <c r="H24" i="35"/>
  <c r="H25" i="35" s="1"/>
  <c r="H22" i="35"/>
  <c r="H21" i="35"/>
  <c r="H13" i="35"/>
  <c r="H14" i="35" s="1"/>
  <c r="H15" i="35" s="1"/>
  <c r="H16" i="35" s="1"/>
  <c r="H17" i="35" s="1"/>
  <c r="H18" i="35" s="1"/>
  <c r="H19" i="35" s="1"/>
  <c r="H11" i="35"/>
  <c r="H9" i="35"/>
  <c r="N3" i="35"/>
  <c r="O3" i="35" s="1"/>
  <c r="L97" i="2" s="1"/>
  <c r="M3" i="35"/>
  <c r="L3" i="35"/>
  <c r="J3" i="35"/>
  <c r="U218" i="34"/>
  <c r="U217" i="34"/>
  <c r="U216" i="34"/>
  <c r="U215" i="34"/>
  <c r="U214" i="34"/>
  <c r="U213" i="34"/>
  <c r="U212" i="34"/>
  <c r="U211" i="34"/>
  <c r="U210" i="34"/>
  <c r="U209" i="34"/>
  <c r="U208" i="34"/>
  <c r="U207" i="34"/>
  <c r="U206" i="34"/>
  <c r="U205" i="34"/>
  <c r="U204" i="34"/>
  <c r="U203" i="34"/>
  <c r="U202" i="34"/>
  <c r="U201" i="34"/>
  <c r="U200" i="34"/>
  <c r="U199" i="34"/>
  <c r="U198" i="34"/>
  <c r="U197" i="34"/>
  <c r="U196" i="34"/>
  <c r="U195" i="34"/>
  <c r="U194" i="34"/>
  <c r="U193" i="34"/>
  <c r="U192" i="34"/>
  <c r="U191" i="34"/>
  <c r="U190" i="34"/>
  <c r="U189" i="34"/>
  <c r="U188" i="34"/>
  <c r="U187" i="34"/>
  <c r="U186" i="34"/>
  <c r="U185" i="34"/>
  <c r="U184" i="34"/>
  <c r="U183" i="34"/>
  <c r="U182" i="34"/>
  <c r="U181" i="34"/>
  <c r="U180" i="34"/>
  <c r="U179" i="34"/>
  <c r="U178" i="34"/>
  <c r="U177" i="34"/>
  <c r="U176" i="34"/>
  <c r="U175" i="34"/>
  <c r="U174" i="34"/>
  <c r="U173" i="34"/>
  <c r="U172" i="34"/>
  <c r="U171" i="34"/>
  <c r="U170" i="34"/>
  <c r="U169" i="34"/>
  <c r="U168" i="34"/>
  <c r="U167" i="34"/>
  <c r="U166" i="34"/>
  <c r="U165" i="34"/>
  <c r="U164" i="34"/>
  <c r="U163" i="34"/>
  <c r="U162" i="34"/>
  <c r="U161" i="34"/>
  <c r="U160" i="34"/>
  <c r="U159" i="34"/>
  <c r="U158" i="34"/>
  <c r="U157" i="34"/>
  <c r="U156" i="34"/>
  <c r="U155" i="34"/>
  <c r="U154" i="34"/>
  <c r="U153" i="34"/>
  <c r="U152" i="34"/>
  <c r="U151" i="34"/>
  <c r="U150" i="34"/>
  <c r="U149" i="34"/>
  <c r="U148" i="34"/>
  <c r="U147" i="34"/>
  <c r="U146" i="34"/>
  <c r="U145" i="34"/>
  <c r="U144" i="34"/>
  <c r="U143" i="34"/>
  <c r="U142" i="34"/>
  <c r="U141" i="34"/>
  <c r="U140" i="34"/>
  <c r="U139" i="34"/>
  <c r="U138" i="34"/>
  <c r="U137" i="34"/>
  <c r="U136" i="34"/>
  <c r="U135" i="34"/>
  <c r="U134" i="34"/>
  <c r="U133" i="34"/>
  <c r="U132" i="34"/>
  <c r="U131" i="34"/>
  <c r="U130" i="34"/>
  <c r="U129" i="34"/>
  <c r="U128" i="34"/>
  <c r="U127" i="34"/>
  <c r="U126" i="34"/>
  <c r="U125" i="34"/>
  <c r="U124" i="34"/>
  <c r="U123" i="34"/>
  <c r="U122" i="34"/>
  <c r="U121" i="34"/>
  <c r="U120" i="34"/>
  <c r="U119" i="34"/>
  <c r="U118" i="34"/>
  <c r="U117" i="34"/>
  <c r="U116" i="34"/>
  <c r="U115" i="34"/>
  <c r="U114" i="34"/>
  <c r="U113" i="34"/>
  <c r="U112" i="34"/>
  <c r="U111" i="34"/>
  <c r="U110" i="34"/>
  <c r="H73" i="34"/>
  <c r="H74" i="34" s="1"/>
  <c r="H75" i="34" s="1"/>
  <c r="H72" i="34"/>
  <c r="H45" i="34"/>
  <c r="H46" i="34" s="1"/>
  <c r="H47" i="34" s="1"/>
  <c r="H48" i="34" s="1"/>
  <c r="H49" i="34" s="1"/>
  <c r="H50" i="34" s="1"/>
  <c r="H51" i="34" s="1"/>
  <c r="H52" i="34" s="1"/>
  <c r="H53" i="34" s="1"/>
  <c r="H54" i="34" s="1"/>
  <c r="H55" i="34" s="1"/>
  <c r="H56" i="34" s="1"/>
  <c r="H57" i="34" s="1"/>
  <c r="H58" i="34" s="1"/>
  <c r="H59" i="34" s="1"/>
  <c r="H60" i="34" s="1"/>
  <c r="H61" i="34" s="1"/>
  <c r="H62" i="34" s="1"/>
  <c r="H63" i="34" s="1"/>
  <c r="H64" i="34" s="1"/>
  <c r="H65" i="34" s="1"/>
  <c r="H66" i="34" s="1"/>
  <c r="H67" i="34" s="1"/>
  <c r="H68" i="34" s="1"/>
  <c r="H34" i="34"/>
  <c r="H35" i="34" s="1"/>
  <c r="H36" i="34" s="1"/>
  <c r="H37" i="34" s="1"/>
  <c r="H38" i="34" s="1"/>
  <c r="H39" i="34" s="1"/>
  <c r="H40" i="34" s="1"/>
  <c r="H41" i="34" s="1"/>
  <c r="H42" i="34" s="1"/>
  <c r="H43" i="34" s="1"/>
  <c r="H20" i="34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19" i="34"/>
  <c r="H8" i="34"/>
  <c r="H9" i="34" s="1"/>
  <c r="H10" i="34" s="1"/>
  <c r="H11" i="34" s="1"/>
  <c r="H12" i="34" s="1"/>
  <c r="H13" i="34" s="1"/>
  <c r="H14" i="34" s="1"/>
  <c r="H15" i="34" s="1"/>
  <c r="H16" i="34" s="1"/>
  <c r="H17" i="34" s="1"/>
  <c r="N3" i="34"/>
  <c r="M3" i="34"/>
  <c r="L3" i="34"/>
  <c r="O3" i="34" s="1"/>
  <c r="L41" i="2" s="1"/>
  <c r="J3" i="34"/>
  <c r="H14" i="33"/>
  <c r="H15" i="33" s="1"/>
  <c r="H16" i="33" s="1"/>
  <c r="H17" i="33" s="1"/>
  <c r="H18" i="33" s="1"/>
  <c r="H19" i="33" s="1"/>
  <c r="H20" i="33" s="1"/>
  <c r="H21" i="33" s="1"/>
  <c r="H22" i="33" s="1"/>
  <c r="H23" i="33" s="1"/>
  <c r="H24" i="33" s="1"/>
  <c r="H25" i="33" s="1"/>
  <c r="H26" i="33" s="1"/>
  <c r="H27" i="33" s="1"/>
  <c r="H28" i="33" s="1"/>
  <c r="H29" i="33" s="1"/>
  <c r="H30" i="33" s="1"/>
  <c r="H31" i="33" s="1"/>
  <c r="H32" i="33" s="1"/>
  <c r="H33" i="33" s="1"/>
  <c r="H34" i="33" s="1"/>
  <c r="H35" i="33" s="1"/>
  <c r="H36" i="33" s="1"/>
  <c r="H37" i="33" s="1"/>
  <c r="H38" i="33" s="1"/>
  <c r="H39" i="33" s="1"/>
  <c r="H40" i="33" s="1"/>
  <c r="H41" i="33" s="1"/>
  <c r="H42" i="33" s="1"/>
  <c r="H43" i="33" s="1"/>
  <c r="H8" i="33"/>
  <c r="H9" i="33" s="1"/>
  <c r="H10" i="33" s="1"/>
  <c r="H11" i="33" s="1"/>
  <c r="H12" i="33" s="1"/>
  <c r="O3" i="33"/>
  <c r="N3" i="33"/>
  <c r="M3" i="33"/>
  <c r="L3" i="33"/>
  <c r="J3" i="33"/>
  <c r="N3" i="32"/>
  <c r="M3" i="32"/>
  <c r="O3" i="32" s="1"/>
  <c r="L25" i="2" s="1"/>
  <c r="J3" i="32"/>
  <c r="H148" i="31"/>
  <c r="H149" i="31" s="1"/>
  <c r="H150" i="31" s="1"/>
  <c r="H151" i="31" s="1"/>
  <c r="H152" i="31" s="1"/>
  <c r="H153" i="31" s="1"/>
  <c r="H154" i="31" s="1"/>
  <c r="H155" i="31" s="1"/>
  <c r="H156" i="31" s="1"/>
  <c r="H157" i="31" s="1"/>
  <c r="H158" i="31" s="1"/>
  <c r="H159" i="31" s="1"/>
  <c r="H160" i="31" s="1"/>
  <c r="H161" i="31" s="1"/>
  <c r="H162" i="31" s="1"/>
  <c r="H163" i="31" s="1"/>
  <c r="H164" i="31" s="1"/>
  <c r="H145" i="31"/>
  <c r="H146" i="31" s="1"/>
  <c r="H147" i="31" s="1"/>
  <c r="H95" i="31"/>
  <c r="H96" i="31" s="1"/>
  <c r="H97" i="31" s="1"/>
  <c r="H98" i="31" s="1"/>
  <c r="H99" i="31" s="1"/>
  <c r="H100" i="31" s="1"/>
  <c r="H101" i="31" s="1"/>
  <c r="H102" i="31" s="1"/>
  <c r="H103" i="31" s="1"/>
  <c r="H104" i="31" s="1"/>
  <c r="H105" i="31" s="1"/>
  <c r="H106" i="31" s="1"/>
  <c r="H107" i="31" s="1"/>
  <c r="H108" i="31" s="1"/>
  <c r="H109" i="31" s="1"/>
  <c r="H110" i="31" s="1"/>
  <c r="H111" i="31" s="1"/>
  <c r="H112" i="31" s="1"/>
  <c r="H113" i="31" s="1"/>
  <c r="H114" i="31" s="1"/>
  <c r="H115" i="31" s="1"/>
  <c r="H116" i="31" s="1"/>
  <c r="H117" i="31" s="1"/>
  <c r="H118" i="31" s="1"/>
  <c r="H119" i="31" s="1"/>
  <c r="H120" i="31" s="1"/>
  <c r="H121" i="31" s="1"/>
  <c r="H122" i="31" s="1"/>
  <c r="H123" i="31" s="1"/>
  <c r="H124" i="31" s="1"/>
  <c r="H125" i="31" s="1"/>
  <c r="H126" i="31" s="1"/>
  <c r="H127" i="31" s="1"/>
  <c r="H128" i="31" s="1"/>
  <c r="H129" i="31" s="1"/>
  <c r="H130" i="31" s="1"/>
  <c r="H131" i="31" s="1"/>
  <c r="H132" i="31" s="1"/>
  <c r="H133" i="31" s="1"/>
  <c r="H134" i="31" s="1"/>
  <c r="H135" i="31" s="1"/>
  <c r="H136" i="31" s="1"/>
  <c r="H137" i="31" s="1"/>
  <c r="H138" i="31" s="1"/>
  <c r="H139" i="31" s="1"/>
  <c r="H140" i="31" s="1"/>
  <c r="H141" i="31" s="1"/>
  <c r="H142" i="31" s="1"/>
  <c r="H143" i="31" s="1"/>
  <c r="H94" i="31"/>
  <c r="H26" i="31"/>
  <c r="H27" i="31" s="1"/>
  <c r="H28" i="31" s="1"/>
  <c r="H29" i="31" s="1"/>
  <c r="H30" i="31" s="1"/>
  <c r="H31" i="31" s="1"/>
  <c r="H32" i="31" s="1"/>
  <c r="H33" i="31" s="1"/>
  <c r="H34" i="31" s="1"/>
  <c r="H35" i="31" s="1"/>
  <c r="H36" i="31" s="1"/>
  <c r="H37" i="31" s="1"/>
  <c r="H38" i="31" s="1"/>
  <c r="H39" i="31" s="1"/>
  <c r="H40" i="31" s="1"/>
  <c r="H41" i="31" s="1"/>
  <c r="H42" i="31" s="1"/>
  <c r="H43" i="31" s="1"/>
  <c r="H44" i="31" s="1"/>
  <c r="H45" i="31" s="1"/>
  <c r="H46" i="31" s="1"/>
  <c r="H47" i="31" s="1"/>
  <c r="H48" i="31" s="1"/>
  <c r="H49" i="31" s="1"/>
  <c r="H50" i="31" s="1"/>
  <c r="H51" i="31" s="1"/>
  <c r="H52" i="31" s="1"/>
  <c r="H53" i="31" s="1"/>
  <c r="H54" i="31" s="1"/>
  <c r="H55" i="31" s="1"/>
  <c r="H56" i="31" s="1"/>
  <c r="H57" i="31" s="1"/>
  <c r="H58" i="31" s="1"/>
  <c r="H59" i="31" s="1"/>
  <c r="H60" i="31" s="1"/>
  <c r="H61" i="31" s="1"/>
  <c r="H62" i="31" s="1"/>
  <c r="H63" i="31" s="1"/>
  <c r="H64" i="31" s="1"/>
  <c r="H65" i="31" s="1"/>
  <c r="H66" i="31" s="1"/>
  <c r="H67" i="31" s="1"/>
  <c r="H68" i="31" s="1"/>
  <c r="H69" i="31" s="1"/>
  <c r="H70" i="31" s="1"/>
  <c r="H71" i="31" s="1"/>
  <c r="H72" i="31" s="1"/>
  <c r="H73" i="31" s="1"/>
  <c r="H74" i="31" s="1"/>
  <c r="H75" i="31" s="1"/>
  <c r="H76" i="31" s="1"/>
  <c r="H77" i="31" s="1"/>
  <c r="H78" i="31" s="1"/>
  <c r="H79" i="31" s="1"/>
  <c r="H80" i="31" s="1"/>
  <c r="H81" i="31" s="1"/>
  <c r="H82" i="31" s="1"/>
  <c r="H83" i="31" s="1"/>
  <c r="H84" i="31" s="1"/>
  <c r="H85" i="31" s="1"/>
  <c r="H86" i="31" s="1"/>
  <c r="H87" i="31" s="1"/>
  <c r="H88" i="31" s="1"/>
  <c r="H89" i="31" s="1"/>
  <c r="H90" i="31" s="1"/>
  <c r="H91" i="31" s="1"/>
  <c r="H92" i="31" s="1"/>
  <c r="H25" i="31"/>
  <c r="H8" i="31"/>
  <c r="H9" i="31" s="1"/>
  <c r="H10" i="31" s="1"/>
  <c r="H11" i="31" s="1"/>
  <c r="H12" i="31" s="1"/>
  <c r="H13" i="31" s="1"/>
  <c r="H14" i="31" s="1"/>
  <c r="H15" i="31" s="1"/>
  <c r="H16" i="31" s="1"/>
  <c r="H17" i="31" s="1"/>
  <c r="H18" i="31" s="1"/>
  <c r="H19" i="31" s="1"/>
  <c r="H20" i="31" s="1"/>
  <c r="H21" i="31" s="1"/>
  <c r="H22" i="31" s="1"/>
  <c r="H23" i="31" s="1"/>
  <c r="N3" i="31"/>
  <c r="M3" i="31"/>
  <c r="O3" i="31" s="1"/>
  <c r="L3" i="31"/>
  <c r="J3" i="31"/>
  <c r="H13" i="30"/>
  <c r="H14" i="30" s="1"/>
  <c r="H11" i="30"/>
  <c r="H9" i="30"/>
  <c r="N3" i="30"/>
  <c r="M3" i="30"/>
  <c r="L3" i="30"/>
  <c r="O3" i="30" s="1"/>
  <c r="L23" i="2" s="1"/>
  <c r="J3" i="30"/>
  <c r="N3" i="29"/>
  <c r="J14" i="2" s="1"/>
  <c r="M3" i="29"/>
  <c r="J3" i="29"/>
  <c r="H15" i="28"/>
  <c r="H13" i="28"/>
  <c r="H11" i="28"/>
  <c r="H9" i="28"/>
  <c r="N3" i="28"/>
  <c r="M3" i="28"/>
  <c r="I22" i="2" s="1"/>
  <c r="L3" i="28"/>
  <c r="J3" i="28"/>
  <c r="H28" i="27"/>
  <c r="H29" i="27" s="1"/>
  <c r="H30" i="27" s="1"/>
  <c r="H31" i="27" s="1"/>
  <c r="H32" i="27" s="1"/>
  <c r="H33" i="27" s="1"/>
  <c r="H23" i="27"/>
  <c r="H24" i="27" s="1"/>
  <c r="H25" i="27" s="1"/>
  <c r="H17" i="27"/>
  <c r="H18" i="27" s="1"/>
  <c r="H19" i="27" s="1"/>
  <c r="H20" i="27" s="1"/>
  <c r="H21" i="27" s="1"/>
  <c r="H15" i="27"/>
  <c r="H14" i="27"/>
  <c r="H13" i="27"/>
  <c r="H11" i="27"/>
  <c r="H9" i="27"/>
  <c r="H8" i="27"/>
  <c r="N3" i="27"/>
  <c r="M3" i="27"/>
  <c r="L3" i="27"/>
  <c r="O3" i="27" s="1"/>
  <c r="L82" i="2" s="1"/>
  <c r="J3" i="27"/>
  <c r="H59" i="26"/>
  <c r="H50" i="26"/>
  <c r="H51" i="26" s="1"/>
  <c r="H52" i="26" s="1"/>
  <c r="H53" i="26" s="1"/>
  <c r="H54" i="26" s="1"/>
  <c r="H55" i="26" s="1"/>
  <c r="H56" i="26" s="1"/>
  <c r="H57" i="26" s="1"/>
  <c r="H41" i="26"/>
  <c r="H42" i="26" s="1"/>
  <c r="H43" i="26" s="1"/>
  <c r="H44" i="26" s="1"/>
  <c r="H45" i="26" s="1"/>
  <c r="H46" i="26" s="1"/>
  <c r="H47" i="26" s="1"/>
  <c r="H48" i="26" s="1"/>
  <c r="H40" i="26"/>
  <c r="H33" i="26"/>
  <c r="H34" i="26" s="1"/>
  <c r="H35" i="26" s="1"/>
  <c r="H36" i="26" s="1"/>
  <c r="H37" i="26" s="1"/>
  <c r="H38" i="26" s="1"/>
  <c r="H23" i="26"/>
  <c r="H24" i="26" s="1"/>
  <c r="H25" i="26" s="1"/>
  <c r="H26" i="26" s="1"/>
  <c r="H27" i="26" s="1"/>
  <c r="H28" i="26" s="1"/>
  <c r="H29" i="26" s="1"/>
  <c r="H30" i="26" s="1"/>
  <c r="H31" i="26" s="1"/>
  <c r="H14" i="26"/>
  <c r="H15" i="26" s="1"/>
  <c r="H16" i="26" s="1"/>
  <c r="H17" i="26" s="1"/>
  <c r="H18" i="26" s="1"/>
  <c r="H19" i="26" s="1"/>
  <c r="H20" i="26" s="1"/>
  <c r="H21" i="26" s="1"/>
  <c r="H8" i="26"/>
  <c r="H9" i="26" s="1"/>
  <c r="H10" i="26" s="1"/>
  <c r="H11" i="26" s="1"/>
  <c r="H12" i="26" s="1"/>
  <c r="N3" i="26"/>
  <c r="M3" i="26"/>
  <c r="L3" i="26"/>
  <c r="J3" i="26"/>
  <c r="H14" i="25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9" i="25"/>
  <c r="H10" i="25" s="1"/>
  <c r="H11" i="25" s="1"/>
  <c r="H12" i="25" s="1"/>
  <c r="H8" i="25"/>
  <c r="N3" i="25"/>
  <c r="M3" i="25"/>
  <c r="L3" i="25"/>
  <c r="J3" i="25"/>
  <c r="H28" i="24"/>
  <c r="H29" i="24" s="1"/>
  <c r="H22" i="24"/>
  <c r="H23" i="24" s="1"/>
  <c r="H24" i="24" s="1"/>
  <c r="H25" i="24" s="1"/>
  <c r="H26" i="24" s="1"/>
  <c r="H21" i="24"/>
  <c r="H20" i="24"/>
  <c r="H15" i="24"/>
  <c r="H16" i="24" s="1"/>
  <c r="H17" i="24" s="1"/>
  <c r="H18" i="24" s="1"/>
  <c r="H9" i="24"/>
  <c r="H10" i="24" s="1"/>
  <c r="H11" i="24" s="1"/>
  <c r="H12" i="24" s="1"/>
  <c r="H13" i="24" s="1"/>
  <c r="N3" i="24"/>
  <c r="M3" i="24"/>
  <c r="L3" i="24"/>
  <c r="H13" i="2" s="1"/>
  <c r="J3" i="24"/>
  <c r="H58" i="23"/>
  <c r="H59" i="23" s="1"/>
  <c r="H60" i="23" s="1"/>
  <c r="H61" i="23" s="1"/>
  <c r="H62" i="23" s="1"/>
  <c r="H63" i="23" s="1"/>
  <c r="H64" i="23" s="1"/>
  <c r="H65" i="23" s="1"/>
  <c r="H66" i="23" s="1"/>
  <c r="H67" i="23" s="1"/>
  <c r="H68" i="23" s="1"/>
  <c r="H69" i="23" s="1"/>
  <c r="H70" i="23" s="1"/>
  <c r="H71" i="23" s="1"/>
  <c r="H72" i="23" s="1"/>
  <c r="H73" i="23" s="1"/>
  <c r="H74" i="23" s="1"/>
  <c r="H75" i="23" s="1"/>
  <c r="H76" i="23" s="1"/>
  <c r="H30" i="23"/>
  <c r="H31" i="23" s="1"/>
  <c r="H32" i="23" s="1"/>
  <c r="H33" i="23" s="1"/>
  <c r="H34" i="23" s="1"/>
  <c r="H35" i="23" s="1"/>
  <c r="H36" i="23" s="1"/>
  <c r="H37" i="23" s="1"/>
  <c r="H38" i="23" s="1"/>
  <c r="H39" i="23" s="1"/>
  <c r="H40" i="23" s="1"/>
  <c r="H41" i="23" s="1"/>
  <c r="H42" i="23" s="1"/>
  <c r="H43" i="23" s="1"/>
  <c r="H44" i="23" s="1"/>
  <c r="H45" i="23" s="1"/>
  <c r="H46" i="23" s="1"/>
  <c r="H47" i="23" s="1"/>
  <c r="H48" i="23" s="1"/>
  <c r="H49" i="23" s="1"/>
  <c r="H50" i="23" s="1"/>
  <c r="H51" i="23" s="1"/>
  <c r="H52" i="23" s="1"/>
  <c r="H53" i="23" s="1"/>
  <c r="H54" i="23" s="1"/>
  <c r="H55" i="23" s="1"/>
  <c r="H56" i="23" s="1"/>
  <c r="H8" i="23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N3" i="23"/>
  <c r="M3" i="23"/>
  <c r="L3" i="23"/>
  <c r="H96" i="2" s="1"/>
  <c r="J3" i="23"/>
  <c r="N3" i="22"/>
  <c r="M3" i="22"/>
  <c r="O3" i="22" s="1"/>
  <c r="L91" i="2" s="1"/>
  <c r="J3" i="22"/>
  <c r="H48" i="21"/>
  <c r="H49" i="21" s="1"/>
  <c r="H50" i="21" s="1"/>
  <c r="H51" i="21" s="1"/>
  <c r="H52" i="21" s="1"/>
  <c r="H53" i="21" s="1"/>
  <c r="H54" i="21" s="1"/>
  <c r="H55" i="21" s="1"/>
  <c r="H56" i="21" s="1"/>
  <c r="H57" i="21" s="1"/>
  <c r="H58" i="21" s="1"/>
  <c r="H59" i="21" s="1"/>
  <c r="H60" i="21" s="1"/>
  <c r="H61" i="21" s="1"/>
  <c r="H62" i="21" s="1"/>
  <c r="H63" i="21" s="1"/>
  <c r="H64" i="21" s="1"/>
  <c r="H65" i="21" s="1"/>
  <c r="H66" i="21" s="1"/>
  <c r="H67" i="21" s="1"/>
  <c r="H68" i="21" s="1"/>
  <c r="H69" i="21" s="1"/>
  <c r="H13" i="2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6" i="21" s="1"/>
  <c r="H37" i="21" s="1"/>
  <c r="H38" i="21" s="1"/>
  <c r="H39" i="21" s="1"/>
  <c r="H40" i="21" s="1"/>
  <c r="H41" i="21" s="1"/>
  <c r="H42" i="21" s="1"/>
  <c r="H43" i="21" s="1"/>
  <c r="H44" i="21" s="1"/>
  <c r="H45" i="21" s="1"/>
  <c r="H46" i="21" s="1"/>
  <c r="H8" i="21"/>
  <c r="H9" i="21" s="1"/>
  <c r="H10" i="21" s="1"/>
  <c r="H11" i="21" s="1"/>
  <c r="N3" i="21"/>
  <c r="M3" i="21"/>
  <c r="L3" i="21"/>
  <c r="O3" i="21" s="1"/>
  <c r="J3" i="21"/>
  <c r="Z172" i="20"/>
  <c r="Z171" i="20"/>
  <c r="Z170" i="20"/>
  <c r="Z169" i="20"/>
  <c r="Z168" i="20"/>
  <c r="Z167" i="20"/>
  <c r="Z166" i="20"/>
  <c r="Z165" i="20"/>
  <c r="Z164" i="20"/>
  <c r="Z163" i="20"/>
  <c r="Z162" i="20"/>
  <c r="Z161" i="20"/>
  <c r="Z160" i="20"/>
  <c r="Z159" i="20"/>
  <c r="Z158" i="20"/>
  <c r="Z157" i="20"/>
  <c r="Z156" i="20"/>
  <c r="Z155" i="20"/>
  <c r="Z154" i="20"/>
  <c r="Z153" i="20"/>
  <c r="Z152" i="20"/>
  <c r="Z151" i="20"/>
  <c r="Z150" i="20"/>
  <c r="Z149" i="20"/>
  <c r="Z148" i="20"/>
  <c r="Z147" i="20"/>
  <c r="Z146" i="20"/>
  <c r="Z145" i="20"/>
  <c r="Z144" i="20"/>
  <c r="Z143" i="20"/>
  <c r="Z142" i="20"/>
  <c r="Z141" i="20"/>
  <c r="H141" i="20"/>
  <c r="H142" i="20" s="1"/>
  <c r="H143" i="20" s="1"/>
  <c r="Z140" i="20"/>
  <c r="Z139" i="20"/>
  <c r="Z138" i="20"/>
  <c r="Z137" i="20"/>
  <c r="Z136" i="20"/>
  <c r="Z135" i="20"/>
  <c r="Z134" i="20"/>
  <c r="Z133" i="20"/>
  <c r="Z132" i="20"/>
  <c r="Z131" i="20"/>
  <c r="Z130" i="20"/>
  <c r="Z129" i="20"/>
  <c r="Z128" i="20"/>
  <c r="Z127" i="20"/>
  <c r="Z126" i="20"/>
  <c r="Z125" i="20"/>
  <c r="Z124" i="20"/>
  <c r="Z123" i="20"/>
  <c r="Z122" i="20"/>
  <c r="Z121" i="20"/>
  <c r="Z120" i="20"/>
  <c r="Z119" i="20"/>
  <c r="Z118" i="20"/>
  <c r="Z117" i="20"/>
  <c r="Z116" i="20"/>
  <c r="Z115" i="20"/>
  <c r="Z114" i="20"/>
  <c r="Z113" i="20"/>
  <c r="Z112" i="20"/>
  <c r="Z111" i="20"/>
  <c r="Z110" i="20"/>
  <c r="Z109" i="20"/>
  <c r="Z108" i="20"/>
  <c r="Z107" i="20"/>
  <c r="Z106" i="20"/>
  <c r="Z105" i="20"/>
  <c r="Z104" i="20"/>
  <c r="Z103" i="20"/>
  <c r="Z102" i="20"/>
  <c r="Z101" i="20"/>
  <c r="Z100" i="20"/>
  <c r="Z99" i="20"/>
  <c r="Z98" i="20"/>
  <c r="Z97" i="20"/>
  <c r="Z96" i="20"/>
  <c r="Z95" i="20"/>
  <c r="Z94" i="20"/>
  <c r="Z93" i="20"/>
  <c r="Z92" i="20"/>
  <c r="Z91" i="20"/>
  <c r="Z90" i="20"/>
  <c r="Z88" i="20"/>
  <c r="Z87" i="20"/>
  <c r="Z86" i="20"/>
  <c r="Z85" i="20"/>
  <c r="H85" i="20"/>
  <c r="H86" i="20" s="1"/>
  <c r="H87" i="20" s="1"/>
  <c r="H88" i="20" s="1"/>
  <c r="H89" i="20" s="1"/>
  <c r="H90" i="20" s="1"/>
  <c r="H91" i="20" s="1"/>
  <c r="H92" i="20" s="1"/>
  <c r="H93" i="20" s="1"/>
  <c r="H94" i="20" s="1"/>
  <c r="H95" i="20" s="1"/>
  <c r="H96" i="20" s="1"/>
  <c r="H97" i="20" s="1"/>
  <c r="H98" i="20" s="1"/>
  <c r="H99" i="20" s="1"/>
  <c r="H100" i="20" s="1"/>
  <c r="H101" i="20" s="1"/>
  <c r="H102" i="20" s="1"/>
  <c r="H103" i="20" s="1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114" i="20" s="1"/>
  <c r="H115" i="20" s="1"/>
  <c r="H116" i="20" s="1"/>
  <c r="H117" i="20" s="1"/>
  <c r="H118" i="20" s="1"/>
  <c r="H119" i="20" s="1"/>
  <c r="H120" i="20" s="1"/>
  <c r="H121" i="20" s="1"/>
  <c r="H122" i="20" s="1"/>
  <c r="H123" i="20" s="1"/>
  <c r="H124" i="20" s="1"/>
  <c r="H125" i="20" s="1"/>
  <c r="H126" i="20" s="1"/>
  <c r="H127" i="20" s="1"/>
  <c r="H128" i="20" s="1"/>
  <c r="H129" i="20" s="1"/>
  <c r="H130" i="20" s="1"/>
  <c r="H131" i="20" s="1"/>
  <c r="H132" i="20" s="1"/>
  <c r="H133" i="20" s="1"/>
  <c r="H134" i="20" s="1"/>
  <c r="H135" i="20" s="1"/>
  <c r="H136" i="20" s="1"/>
  <c r="H137" i="20" s="1"/>
  <c r="H138" i="20" s="1"/>
  <c r="H139" i="20" s="1"/>
  <c r="Z84" i="20"/>
  <c r="Z83" i="20"/>
  <c r="Z82" i="20"/>
  <c r="Z81" i="20"/>
  <c r="Z80" i="20"/>
  <c r="Z79" i="20"/>
  <c r="Z78" i="20"/>
  <c r="Z76" i="20"/>
  <c r="Z75" i="20"/>
  <c r="Z74" i="20"/>
  <c r="Z73" i="20"/>
  <c r="Z72" i="20"/>
  <c r="Z71" i="20"/>
  <c r="Z70" i="20"/>
  <c r="Z69" i="20"/>
  <c r="Z68" i="20"/>
  <c r="Z67" i="20"/>
  <c r="Z66" i="20"/>
  <c r="Z65" i="20"/>
  <c r="Z64" i="20"/>
  <c r="Z63" i="20"/>
  <c r="Z62" i="20"/>
  <c r="Z61" i="20"/>
  <c r="Z60" i="20"/>
  <c r="Z59" i="20"/>
  <c r="Z58" i="20"/>
  <c r="Z57" i="20"/>
  <c r="Z56" i="20"/>
  <c r="Z55" i="20"/>
  <c r="Z54" i="20"/>
  <c r="Z53" i="20"/>
  <c r="Z52" i="20"/>
  <c r="Z51" i="20"/>
  <c r="Z50" i="20"/>
  <c r="Z49" i="20"/>
  <c r="Z48" i="20"/>
  <c r="Z47" i="20"/>
  <c r="Z46" i="20"/>
  <c r="Z45" i="20"/>
  <c r="Z44" i="20"/>
  <c r="Z43" i="20"/>
  <c r="Z42" i="20"/>
  <c r="H42" i="20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Z41" i="20"/>
  <c r="H41" i="20"/>
  <c r="Z40" i="20"/>
  <c r="Z39" i="20"/>
  <c r="Z38" i="20"/>
  <c r="Z37" i="20"/>
  <c r="Z36" i="20"/>
  <c r="Z35" i="20"/>
  <c r="Z34" i="20"/>
  <c r="Z33" i="20"/>
  <c r="H33" i="20"/>
  <c r="H34" i="20" s="1"/>
  <c r="H35" i="20" s="1"/>
  <c r="H36" i="20" s="1"/>
  <c r="H37" i="20" s="1"/>
  <c r="H38" i="20" s="1"/>
  <c r="H39" i="20" s="1"/>
  <c r="Z32" i="20"/>
  <c r="H32" i="20"/>
  <c r="Z31" i="20"/>
  <c r="Z30" i="20"/>
  <c r="Z29" i="20"/>
  <c r="Z28" i="20"/>
  <c r="X27" i="20"/>
  <c r="Z27" i="20" s="1"/>
  <c r="Z26" i="20"/>
  <c r="Z25" i="20"/>
  <c r="Z24" i="20"/>
  <c r="Z23" i="20"/>
  <c r="Z22" i="20"/>
  <c r="Z21" i="20"/>
  <c r="X20" i="20"/>
  <c r="Z20" i="20" s="1"/>
  <c r="X19" i="20"/>
  <c r="Z19" i="20" s="1"/>
  <c r="U18" i="20"/>
  <c r="Z18" i="20" s="1"/>
  <c r="Z17" i="20"/>
  <c r="H8" i="20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O3" i="20"/>
  <c r="N3" i="20"/>
  <c r="M3" i="20"/>
  <c r="L3" i="20"/>
  <c r="J3" i="20"/>
  <c r="H12" i="19"/>
  <c r="H10" i="19"/>
  <c r="N3" i="19"/>
  <c r="M3" i="19"/>
  <c r="I60" i="2" s="1"/>
  <c r="L3" i="19"/>
  <c r="J3" i="19"/>
  <c r="H24" i="18"/>
  <c r="H20" i="18"/>
  <c r="H21" i="18" s="1"/>
  <c r="H22" i="18" s="1"/>
  <c r="H16" i="18"/>
  <c r="H17" i="18" s="1"/>
  <c r="H18" i="18" s="1"/>
  <c r="H12" i="18"/>
  <c r="H13" i="18" s="1"/>
  <c r="H14" i="18" s="1"/>
  <c r="H9" i="18"/>
  <c r="H10" i="18" s="1"/>
  <c r="N3" i="18"/>
  <c r="M3" i="18"/>
  <c r="O3" i="18" s="1"/>
  <c r="L54" i="2" s="1"/>
  <c r="L3" i="18"/>
  <c r="J3" i="18"/>
  <c r="H9" i="17"/>
  <c r="H10" i="17" s="1"/>
  <c r="H11" i="17" s="1"/>
  <c r="H12" i="17" s="1"/>
  <c r="N3" i="17"/>
  <c r="M3" i="17"/>
  <c r="L3" i="17"/>
  <c r="J3" i="17"/>
  <c r="H45" i="16"/>
  <c r="H46" i="16" s="1"/>
  <c r="H47" i="16" s="1"/>
  <c r="H48" i="16" s="1"/>
  <c r="H49" i="16" s="1"/>
  <c r="H50" i="16" s="1"/>
  <c r="H44" i="16"/>
  <c r="H30" i="16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21" i="16"/>
  <c r="H22" i="16" s="1"/>
  <c r="H23" i="16" s="1"/>
  <c r="H24" i="16" s="1"/>
  <c r="H25" i="16" s="1"/>
  <c r="H26" i="16" s="1"/>
  <c r="H27" i="16" s="1"/>
  <c r="H28" i="16" s="1"/>
  <c r="H8" i="16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N3" i="16"/>
  <c r="J40" i="2" s="1"/>
  <c r="M3" i="16"/>
  <c r="L3" i="16"/>
  <c r="J3" i="16"/>
  <c r="H8" i="15"/>
  <c r="N3" i="15"/>
  <c r="O4" i="15" s="1"/>
  <c r="M3" i="15"/>
  <c r="L3" i="15"/>
  <c r="J3" i="15"/>
  <c r="H71" i="14"/>
  <c r="H72" i="14" s="1"/>
  <c r="H73" i="14" s="1"/>
  <c r="H74" i="14" s="1"/>
  <c r="H75" i="14" s="1"/>
  <c r="H76" i="14" s="1"/>
  <c r="H77" i="14" s="1"/>
  <c r="H78" i="14" s="1"/>
  <c r="H79" i="14" s="1"/>
  <c r="H80" i="14" s="1"/>
  <c r="H81" i="14" s="1"/>
  <c r="H82" i="14" s="1"/>
  <c r="H83" i="14" s="1"/>
  <c r="H84" i="14" s="1"/>
  <c r="H85" i="14" s="1"/>
  <c r="H86" i="14" s="1"/>
  <c r="H87" i="14" s="1"/>
  <c r="H70" i="14"/>
  <c r="H21" i="14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38" i="14" s="1"/>
  <c r="H39" i="14" s="1"/>
  <c r="H40" i="14" s="1"/>
  <c r="H41" i="14" s="1"/>
  <c r="H42" i="14" s="1"/>
  <c r="H43" i="14" s="1"/>
  <c r="H44" i="14" s="1"/>
  <c r="H45" i="14" s="1"/>
  <c r="H46" i="14" s="1"/>
  <c r="H47" i="14" s="1"/>
  <c r="H48" i="14" s="1"/>
  <c r="H49" i="14" s="1"/>
  <c r="H50" i="14" s="1"/>
  <c r="H51" i="14" s="1"/>
  <c r="H52" i="14" s="1"/>
  <c r="H53" i="14" s="1"/>
  <c r="H54" i="14" s="1"/>
  <c r="H55" i="14" s="1"/>
  <c r="H56" i="14" s="1"/>
  <c r="H57" i="14" s="1"/>
  <c r="H58" i="14" s="1"/>
  <c r="H59" i="14" s="1"/>
  <c r="H60" i="14" s="1"/>
  <c r="H61" i="14" s="1"/>
  <c r="H62" i="14" s="1"/>
  <c r="H63" i="14" s="1"/>
  <c r="H64" i="14" s="1"/>
  <c r="H65" i="14" s="1"/>
  <c r="H66" i="14" s="1"/>
  <c r="H67" i="14" s="1"/>
  <c r="H68" i="14" s="1"/>
  <c r="H8" i="14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N3" i="14"/>
  <c r="M3" i="14"/>
  <c r="I105" i="2" s="1"/>
  <c r="L3" i="14"/>
  <c r="H105" i="2" s="1"/>
  <c r="J3" i="14"/>
  <c r="H16" i="13"/>
  <c r="H17" i="13" s="1"/>
  <c r="H18" i="13" s="1"/>
  <c r="H19" i="13" s="1"/>
  <c r="H14" i="13"/>
  <c r="H10" i="13"/>
  <c r="H11" i="13" s="1"/>
  <c r="H12" i="13" s="1"/>
  <c r="H8" i="13"/>
  <c r="N3" i="13"/>
  <c r="M3" i="13"/>
  <c r="I100" i="2" s="1"/>
  <c r="L3" i="13"/>
  <c r="J3" i="13"/>
  <c r="N3" i="12"/>
  <c r="J101" i="2" s="1"/>
  <c r="M3" i="12"/>
  <c r="O3" i="12" s="1"/>
  <c r="L101" i="2" s="1"/>
  <c r="J3" i="12"/>
  <c r="H53" i="1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8" i="1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N3" i="11"/>
  <c r="M3" i="11"/>
  <c r="I94" i="2" s="1"/>
  <c r="L3" i="11"/>
  <c r="O3" i="11" s="1"/>
  <c r="L94" i="2" s="1"/>
  <c r="J3" i="11"/>
  <c r="H116" i="10"/>
  <c r="H117" i="10" s="1"/>
  <c r="H118" i="10" s="1"/>
  <c r="H119" i="10" s="1"/>
  <c r="H120" i="10" s="1"/>
  <c r="H121" i="10" s="1"/>
  <c r="H122" i="10" s="1"/>
  <c r="H123" i="10" s="1"/>
  <c r="H51" i="10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20" i="10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19" i="10"/>
  <c r="H8" i="10"/>
  <c r="H9" i="10" s="1"/>
  <c r="H10" i="10" s="1"/>
  <c r="H11" i="10" s="1"/>
  <c r="H12" i="10" s="1"/>
  <c r="H13" i="10" s="1"/>
  <c r="H14" i="10" s="1"/>
  <c r="H15" i="10" s="1"/>
  <c r="H16" i="10" s="1"/>
  <c r="H17" i="10" s="1"/>
  <c r="N3" i="10"/>
  <c r="M3" i="10"/>
  <c r="I83" i="2" s="1"/>
  <c r="L3" i="10"/>
  <c r="J3" i="10"/>
  <c r="H37" i="9"/>
  <c r="H38" i="9" s="1"/>
  <c r="H39" i="9" s="1"/>
  <c r="H26" i="9"/>
  <c r="H27" i="9" s="1"/>
  <c r="H28" i="9" s="1"/>
  <c r="H29" i="9" s="1"/>
  <c r="H30" i="9" s="1"/>
  <c r="H31" i="9" s="1"/>
  <c r="H32" i="9" s="1"/>
  <c r="H33" i="9" s="1"/>
  <c r="H34" i="9" s="1"/>
  <c r="H35" i="9" s="1"/>
  <c r="H25" i="9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N3" i="9"/>
  <c r="M3" i="9"/>
  <c r="I20" i="2" s="1"/>
  <c r="J3" i="9"/>
  <c r="N3" i="8"/>
  <c r="J64" i="2" s="1"/>
  <c r="M3" i="8"/>
  <c r="O3" i="8" s="1"/>
  <c r="L64" i="2" s="1"/>
  <c r="J3" i="8"/>
  <c r="H16" i="7"/>
  <c r="H15" i="7"/>
  <c r="H13" i="7"/>
  <c r="H12" i="7"/>
  <c r="H8" i="7"/>
  <c r="H9" i="7" s="1"/>
  <c r="H10" i="7" s="1"/>
  <c r="N3" i="7"/>
  <c r="J48" i="2" s="1"/>
  <c r="M3" i="7"/>
  <c r="I48" i="2" s="1"/>
  <c r="L3" i="7"/>
  <c r="J3" i="7"/>
  <c r="H10" i="6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9" i="6"/>
  <c r="H8" i="6"/>
  <c r="N3" i="6"/>
  <c r="M3" i="6"/>
  <c r="L3" i="6"/>
  <c r="O3" i="6" s="1"/>
  <c r="L39" i="2" s="1"/>
  <c r="J3" i="6"/>
  <c r="O3" i="5"/>
  <c r="N3" i="5"/>
  <c r="H20" i="4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19" i="4"/>
  <c r="H9" i="4"/>
  <c r="H10" i="4" s="1"/>
  <c r="H11" i="4" s="1"/>
  <c r="H12" i="4" s="1"/>
  <c r="H13" i="4" s="1"/>
  <c r="H14" i="4" s="1"/>
  <c r="H15" i="4" s="1"/>
  <c r="H16" i="4" s="1"/>
  <c r="H17" i="4" s="1"/>
  <c r="H8" i="4"/>
  <c r="N3" i="4"/>
  <c r="J15" i="2" s="1"/>
  <c r="M3" i="4"/>
  <c r="I15" i="2" s="1"/>
  <c r="L3" i="4"/>
  <c r="L109" i="2"/>
  <c r="K108" i="2"/>
  <c r="J108" i="2"/>
  <c r="I108" i="2"/>
  <c r="L107" i="2"/>
  <c r="J107" i="2"/>
  <c r="I107" i="2"/>
  <c r="H107" i="2"/>
  <c r="E107" i="2"/>
  <c r="C107" i="2"/>
  <c r="J106" i="2"/>
  <c r="I106" i="2"/>
  <c r="H106" i="2"/>
  <c r="C106" i="2"/>
  <c r="K105" i="2"/>
  <c r="J105" i="2"/>
  <c r="E105" i="2"/>
  <c r="C105" i="2"/>
  <c r="L104" i="2"/>
  <c r="J104" i="2"/>
  <c r="I104" i="2"/>
  <c r="H104" i="2"/>
  <c r="E104" i="2"/>
  <c r="C104" i="2"/>
  <c r="J103" i="2"/>
  <c r="I103" i="2"/>
  <c r="H103" i="2"/>
  <c r="C103" i="2"/>
  <c r="L102" i="2"/>
  <c r="J102" i="2"/>
  <c r="I102" i="2"/>
  <c r="H102" i="2"/>
  <c r="E102" i="2"/>
  <c r="C102" i="2"/>
  <c r="H101" i="2"/>
  <c r="E101" i="2"/>
  <c r="C101" i="2"/>
  <c r="J100" i="2"/>
  <c r="H100" i="2"/>
  <c r="E100" i="2"/>
  <c r="C100" i="2"/>
  <c r="J99" i="2"/>
  <c r="I99" i="2"/>
  <c r="H99" i="2"/>
  <c r="E99" i="2"/>
  <c r="C99" i="2"/>
  <c r="L98" i="2"/>
  <c r="J98" i="2"/>
  <c r="I98" i="2"/>
  <c r="H98" i="2"/>
  <c r="E98" i="2"/>
  <c r="C98" i="2"/>
  <c r="I97" i="2"/>
  <c r="H97" i="2"/>
  <c r="E97" i="2"/>
  <c r="C97" i="2"/>
  <c r="J96" i="2"/>
  <c r="I96" i="2"/>
  <c r="E96" i="2"/>
  <c r="C96" i="2"/>
  <c r="J95" i="2"/>
  <c r="I95" i="2"/>
  <c r="H95" i="2"/>
  <c r="J94" i="2"/>
  <c r="H94" i="2"/>
  <c r="E94" i="2"/>
  <c r="C94" i="2"/>
  <c r="J93" i="2"/>
  <c r="I93" i="2"/>
  <c r="H93" i="2"/>
  <c r="C93" i="2"/>
  <c r="L92" i="2"/>
  <c r="J92" i="2"/>
  <c r="I92" i="2"/>
  <c r="H92" i="2"/>
  <c r="C92" i="2"/>
  <c r="J91" i="2"/>
  <c r="I91" i="2"/>
  <c r="H91" i="2"/>
  <c r="E91" i="2"/>
  <c r="C91" i="2"/>
  <c r="J90" i="2"/>
  <c r="I90" i="2"/>
  <c r="H90" i="2"/>
  <c r="E90" i="2"/>
  <c r="L89" i="2"/>
  <c r="J89" i="2"/>
  <c r="I89" i="2"/>
  <c r="H89" i="2"/>
  <c r="C89" i="2"/>
  <c r="J88" i="2"/>
  <c r="I88" i="2"/>
  <c r="H88" i="2"/>
  <c r="C88" i="2"/>
  <c r="J87" i="2"/>
  <c r="I87" i="2"/>
  <c r="H87" i="2"/>
  <c r="C87" i="2"/>
  <c r="J86" i="2"/>
  <c r="I86" i="2"/>
  <c r="H86" i="2"/>
  <c r="C86" i="2"/>
  <c r="J85" i="2"/>
  <c r="I85" i="2"/>
  <c r="H85" i="2"/>
  <c r="C85" i="2"/>
  <c r="L84" i="2"/>
  <c r="J84" i="2"/>
  <c r="I84" i="2"/>
  <c r="H84" i="2"/>
  <c r="E84" i="2"/>
  <c r="C84" i="2"/>
  <c r="J83" i="2"/>
  <c r="H83" i="2"/>
  <c r="E83" i="2"/>
  <c r="C83" i="2"/>
  <c r="J82" i="2"/>
  <c r="I82" i="2"/>
  <c r="E82" i="2"/>
  <c r="C82" i="2"/>
  <c r="J81" i="2"/>
  <c r="I81" i="2"/>
  <c r="H81" i="2"/>
  <c r="E81" i="2"/>
  <c r="C81" i="2"/>
  <c r="L80" i="2"/>
  <c r="J80" i="2"/>
  <c r="I80" i="2"/>
  <c r="H80" i="2"/>
  <c r="E80" i="2"/>
  <c r="C80" i="2"/>
  <c r="J79" i="2"/>
  <c r="I79" i="2"/>
  <c r="H79" i="2"/>
  <c r="C79" i="2"/>
  <c r="J78" i="2"/>
  <c r="I78" i="2"/>
  <c r="H78" i="2"/>
  <c r="E78" i="2"/>
  <c r="C78" i="2"/>
  <c r="J77" i="2"/>
  <c r="I77" i="2"/>
  <c r="H77" i="2"/>
  <c r="E77" i="2"/>
  <c r="C77" i="2"/>
  <c r="J76" i="2"/>
  <c r="I76" i="2"/>
  <c r="H76" i="2"/>
  <c r="E76" i="2"/>
  <c r="C76" i="2"/>
  <c r="J75" i="2"/>
  <c r="I75" i="2"/>
  <c r="H75" i="2"/>
  <c r="E75" i="2"/>
  <c r="C75" i="2"/>
  <c r="J74" i="2"/>
  <c r="I74" i="2"/>
  <c r="H74" i="2"/>
  <c r="C74" i="2"/>
  <c r="J73" i="2"/>
  <c r="I73" i="2"/>
  <c r="H73" i="2"/>
  <c r="E73" i="2"/>
  <c r="C73" i="2"/>
  <c r="L72" i="2"/>
  <c r="K72" i="2"/>
  <c r="J72" i="2"/>
  <c r="I72" i="2"/>
  <c r="H72" i="2"/>
  <c r="E72" i="2"/>
  <c r="C72" i="2"/>
  <c r="L71" i="2"/>
  <c r="J71" i="2"/>
  <c r="I71" i="2"/>
  <c r="H71" i="2"/>
  <c r="E71" i="2"/>
  <c r="C71" i="2"/>
  <c r="J70" i="2"/>
  <c r="I70" i="2"/>
  <c r="H70" i="2"/>
  <c r="C70" i="2"/>
  <c r="J69" i="2"/>
  <c r="I69" i="2"/>
  <c r="H69" i="2"/>
  <c r="C69" i="2"/>
  <c r="J68" i="2"/>
  <c r="I68" i="2"/>
  <c r="H68" i="2"/>
  <c r="E68" i="2"/>
  <c r="C68" i="2"/>
  <c r="L67" i="2"/>
  <c r="J67" i="2"/>
  <c r="I67" i="2"/>
  <c r="H67" i="2"/>
  <c r="C67" i="2"/>
  <c r="L66" i="2"/>
  <c r="J66" i="2"/>
  <c r="I66" i="2"/>
  <c r="H66" i="2"/>
  <c r="E66" i="2"/>
  <c r="C66" i="2"/>
  <c r="J65" i="2"/>
  <c r="I65" i="2"/>
  <c r="H65" i="2"/>
  <c r="C65" i="2"/>
  <c r="H64" i="2"/>
  <c r="E64" i="2"/>
  <c r="C64" i="2"/>
  <c r="L63" i="2"/>
  <c r="J63" i="2"/>
  <c r="I63" i="2"/>
  <c r="H63" i="2"/>
  <c r="E63" i="2"/>
  <c r="C63" i="2"/>
  <c r="J62" i="2"/>
  <c r="I62" i="2"/>
  <c r="H62" i="2"/>
  <c r="C62" i="2"/>
  <c r="J61" i="2"/>
  <c r="I61" i="2"/>
  <c r="H61" i="2"/>
  <c r="C61" i="2"/>
  <c r="J60" i="2"/>
  <c r="E60" i="2"/>
  <c r="C60" i="2"/>
  <c r="L59" i="2"/>
  <c r="K59" i="2"/>
  <c r="J59" i="2"/>
  <c r="I59" i="2"/>
  <c r="H59" i="2"/>
  <c r="L58" i="2"/>
  <c r="J58" i="2"/>
  <c r="I58" i="2"/>
  <c r="H58" i="2"/>
  <c r="C58" i="2"/>
  <c r="L57" i="2"/>
  <c r="J57" i="2"/>
  <c r="I57" i="2"/>
  <c r="H57" i="2"/>
  <c r="E57" i="2"/>
  <c r="C57" i="2"/>
  <c r="L56" i="2"/>
  <c r="J56" i="2"/>
  <c r="I56" i="2"/>
  <c r="H56" i="2"/>
  <c r="C56" i="2"/>
  <c r="J55" i="2"/>
  <c r="I55" i="2"/>
  <c r="H55" i="2"/>
  <c r="E55" i="2"/>
  <c r="C55" i="2"/>
  <c r="J54" i="2"/>
  <c r="H54" i="2"/>
  <c r="E54" i="2"/>
  <c r="C54" i="2"/>
  <c r="L53" i="2"/>
  <c r="J53" i="2"/>
  <c r="I53" i="2"/>
  <c r="H53" i="2"/>
  <c r="E53" i="2"/>
  <c r="C53" i="2"/>
  <c r="J52" i="2"/>
  <c r="I52" i="2"/>
  <c r="H52" i="2"/>
  <c r="C52" i="2"/>
  <c r="J51" i="2"/>
  <c r="I51" i="2"/>
  <c r="H51" i="2"/>
  <c r="E51" i="2"/>
  <c r="C51" i="2"/>
  <c r="J50" i="2"/>
  <c r="I50" i="2"/>
  <c r="H50" i="2"/>
  <c r="E50" i="2"/>
  <c r="C50" i="2"/>
  <c r="J49" i="2"/>
  <c r="I49" i="2"/>
  <c r="H49" i="2"/>
  <c r="E49" i="2"/>
  <c r="C49" i="2"/>
  <c r="H48" i="2"/>
  <c r="E48" i="2"/>
  <c r="C48" i="2"/>
  <c r="L47" i="2"/>
  <c r="J47" i="2"/>
  <c r="I47" i="2"/>
  <c r="H47" i="2"/>
  <c r="E47" i="2"/>
  <c r="C47" i="2"/>
  <c r="L46" i="2"/>
  <c r="J46" i="2"/>
  <c r="I46" i="2"/>
  <c r="H46" i="2"/>
  <c r="E46" i="2"/>
  <c r="C46" i="2"/>
  <c r="L45" i="2"/>
  <c r="J45" i="2"/>
  <c r="I45" i="2"/>
  <c r="H45" i="2"/>
  <c r="C45" i="2"/>
  <c r="K44" i="2"/>
  <c r="J44" i="2"/>
  <c r="I44" i="2"/>
  <c r="H44" i="2"/>
  <c r="J43" i="2"/>
  <c r="I43" i="2"/>
  <c r="H43" i="2"/>
  <c r="E43" i="2"/>
  <c r="C43" i="2"/>
  <c r="J42" i="2"/>
  <c r="I42" i="2"/>
  <c r="H42" i="2"/>
  <c r="C42" i="2"/>
  <c r="J41" i="2"/>
  <c r="I41" i="2"/>
  <c r="H41" i="2"/>
  <c r="E41" i="2"/>
  <c r="C41" i="2"/>
  <c r="I40" i="2"/>
  <c r="H40" i="2"/>
  <c r="E40" i="2"/>
  <c r="C40" i="2"/>
  <c r="J39" i="2"/>
  <c r="I39" i="2"/>
  <c r="H39" i="2"/>
  <c r="E39" i="2"/>
  <c r="C39" i="2"/>
  <c r="J38" i="2"/>
  <c r="I38" i="2"/>
  <c r="H38" i="2"/>
  <c r="E38" i="2"/>
  <c r="C38" i="2"/>
  <c r="J37" i="2"/>
  <c r="I37" i="2"/>
  <c r="H37" i="2"/>
  <c r="E37" i="2"/>
  <c r="C37" i="2"/>
  <c r="J36" i="2"/>
  <c r="I36" i="2"/>
  <c r="E36" i="2"/>
  <c r="C36" i="2"/>
  <c r="L35" i="2"/>
  <c r="J35" i="2"/>
  <c r="I35" i="2"/>
  <c r="H35" i="2"/>
  <c r="E35" i="2"/>
  <c r="J34" i="2"/>
  <c r="I34" i="2"/>
  <c r="H34" i="2"/>
  <c r="E34" i="2"/>
  <c r="C34" i="2"/>
  <c r="J33" i="2"/>
  <c r="I33" i="2"/>
  <c r="H33" i="2"/>
  <c r="E33" i="2"/>
  <c r="C33" i="2"/>
  <c r="J32" i="2"/>
  <c r="I32" i="2"/>
  <c r="H32" i="2"/>
  <c r="C32" i="2"/>
  <c r="J31" i="2"/>
  <c r="I31" i="2"/>
  <c r="H31" i="2"/>
  <c r="E31" i="2"/>
  <c r="C31" i="2"/>
  <c r="J30" i="2"/>
  <c r="I30" i="2"/>
  <c r="H30" i="2"/>
  <c r="E30" i="2"/>
  <c r="C30" i="2"/>
  <c r="J29" i="2"/>
  <c r="I29" i="2"/>
  <c r="H29" i="2"/>
  <c r="E29" i="2"/>
  <c r="C29" i="2"/>
  <c r="L28" i="2"/>
  <c r="K28" i="2"/>
  <c r="J28" i="2"/>
  <c r="I28" i="2"/>
  <c r="H28" i="2"/>
  <c r="J27" i="2"/>
  <c r="I27" i="2"/>
  <c r="C27" i="2"/>
  <c r="J26" i="2"/>
  <c r="I26" i="2"/>
  <c r="H26" i="2"/>
  <c r="E26" i="2"/>
  <c r="C26" i="2"/>
  <c r="J25" i="2"/>
  <c r="I25" i="2"/>
  <c r="H25" i="2"/>
  <c r="E25" i="2"/>
  <c r="C25" i="2"/>
  <c r="L24" i="2"/>
  <c r="J24" i="2"/>
  <c r="I24" i="2"/>
  <c r="H24" i="2"/>
  <c r="E24" i="2"/>
  <c r="C24" i="2"/>
  <c r="J23" i="2"/>
  <c r="I23" i="2"/>
  <c r="H23" i="2"/>
  <c r="E23" i="2"/>
  <c r="C23" i="2"/>
  <c r="J22" i="2"/>
  <c r="H22" i="2"/>
  <c r="E22" i="2"/>
  <c r="C22" i="2"/>
  <c r="L21" i="2"/>
  <c r="J21" i="2"/>
  <c r="I21" i="2"/>
  <c r="H21" i="2"/>
  <c r="C21" i="2"/>
  <c r="J20" i="2"/>
  <c r="H20" i="2"/>
  <c r="E20" i="2"/>
  <c r="C20" i="2"/>
  <c r="L19" i="2"/>
  <c r="J19" i="2"/>
  <c r="I19" i="2"/>
  <c r="H19" i="2"/>
  <c r="C19" i="2"/>
  <c r="J18" i="2"/>
  <c r="I18" i="2"/>
  <c r="H18" i="2"/>
  <c r="E18" i="2"/>
  <c r="C18" i="2"/>
  <c r="J17" i="2"/>
  <c r="I17" i="2"/>
  <c r="H17" i="2"/>
  <c r="C17" i="2"/>
  <c r="J16" i="2"/>
  <c r="I16" i="2"/>
  <c r="H16" i="2"/>
  <c r="C16" i="2"/>
  <c r="H15" i="2"/>
  <c r="E15" i="2"/>
  <c r="C15" i="2"/>
  <c r="I14" i="2"/>
  <c r="H14" i="2"/>
  <c r="E14" i="2"/>
  <c r="C14" i="2"/>
  <c r="J13" i="2"/>
  <c r="I13" i="2"/>
  <c r="E13" i="2"/>
  <c r="C13" i="2"/>
  <c r="L12" i="2"/>
  <c r="J12" i="2"/>
  <c r="H12" i="2"/>
  <c r="E12" i="2"/>
  <c r="C12" i="2"/>
  <c r="L11" i="2"/>
  <c r="J11" i="2"/>
  <c r="I11" i="2"/>
  <c r="H11" i="2"/>
  <c r="C11" i="2"/>
  <c r="J10" i="2"/>
  <c r="I10" i="2"/>
  <c r="H10" i="2"/>
  <c r="E10" i="2"/>
  <c r="C10" i="2"/>
  <c r="J9" i="2"/>
  <c r="I9" i="2"/>
  <c r="H9" i="2"/>
  <c r="C9" i="2"/>
  <c r="J8" i="2"/>
  <c r="I8" i="2"/>
  <c r="H8" i="2"/>
  <c r="C8" i="2"/>
  <c r="L7" i="2"/>
  <c r="J7" i="2"/>
  <c r="I7" i="2"/>
  <c r="H7" i="2"/>
  <c r="E7" i="2"/>
  <c r="C7" i="2"/>
  <c r="L6" i="2"/>
  <c r="J6" i="2"/>
  <c r="I6" i="2"/>
  <c r="H6" i="2"/>
  <c r="E6" i="2"/>
  <c r="C6" i="2"/>
  <c r="J5" i="2"/>
  <c r="H5" i="2"/>
  <c r="E5" i="2"/>
  <c r="C5" i="2"/>
  <c r="L4" i="2"/>
  <c r="J4" i="2"/>
  <c r="I4" i="2"/>
  <c r="H4" i="2"/>
  <c r="E4" i="2"/>
  <c r="C4" i="2"/>
  <c r="L3" i="2"/>
  <c r="J3" i="2"/>
  <c r="I3" i="2"/>
  <c r="H3" i="2"/>
  <c r="C3" i="2"/>
  <c r="L2" i="2"/>
  <c r="J2" i="2"/>
  <c r="I2" i="2"/>
  <c r="H2" i="2"/>
  <c r="E2" i="2"/>
  <c r="C2" i="2"/>
  <c r="N3" i="1"/>
  <c r="M3" i="1"/>
  <c r="I5" i="2" s="1"/>
  <c r="J3" i="1"/>
  <c r="O3" i="7" l="1"/>
  <c r="L48" i="2" s="1"/>
  <c r="O3" i="17"/>
  <c r="L43" i="2" s="1"/>
  <c r="O3" i="19"/>
  <c r="L60" i="2" s="1"/>
  <c r="O3" i="23"/>
  <c r="L96" i="2" s="1"/>
  <c r="O3" i="24"/>
  <c r="L13" i="2" s="1"/>
  <c r="O3" i="25"/>
  <c r="L73" i="2" s="1"/>
  <c r="O3" i="36"/>
  <c r="L78" i="2" s="1"/>
  <c r="O3" i="60"/>
  <c r="L10" i="2" s="1"/>
  <c r="O3" i="70"/>
  <c r="L32" i="2" s="1"/>
  <c r="O3" i="79"/>
  <c r="L74" i="2" s="1"/>
  <c r="O3" i="94"/>
  <c r="L93" i="2" s="1"/>
  <c r="O3" i="105"/>
  <c r="L44" i="2" s="1"/>
  <c r="O3" i="107"/>
  <c r="O3" i="109"/>
  <c r="L108" i="2" s="1"/>
  <c r="O3" i="64"/>
  <c r="L99" i="2" s="1"/>
  <c r="O3" i="68"/>
  <c r="I54" i="2"/>
  <c r="H60" i="2"/>
  <c r="O3" i="4"/>
  <c r="L15" i="2" s="1"/>
  <c r="O3" i="37"/>
  <c r="L68" i="2" s="1"/>
  <c r="H8" i="64"/>
  <c r="H9" i="64" s="1"/>
  <c r="H10" i="64" s="1"/>
  <c r="H11" i="64" s="1"/>
  <c r="H12" i="64" s="1"/>
  <c r="H13" i="64" s="1"/>
  <c r="H14" i="64" s="1"/>
  <c r="H15" i="64" s="1"/>
  <c r="H16" i="64" s="1"/>
  <c r="H17" i="64" s="1"/>
  <c r="H18" i="64" s="1"/>
  <c r="H19" i="64" s="1"/>
  <c r="H20" i="64" s="1"/>
  <c r="H21" i="64" s="1"/>
  <c r="H22" i="64" s="1"/>
  <c r="H23" i="64" s="1"/>
  <c r="H24" i="64" s="1"/>
  <c r="O3" i="74"/>
  <c r="L17" i="2" s="1"/>
  <c r="O3" i="81"/>
  <c r="L103" i="2" s="1"/>
  <c r="O3" i="88"/>
  <c r="L70" i="2" s="1"/>
  <c r="O3" i="101"/>
  <c r="L38" i="2" s="1"/>
  <c r="I64" i="2"/>
  <c r="I101" i="2"/>
  <c r="L3" i="9"/>
  <c r="O3" i="9" s="1"/>
  <c r="L20" i="2" s="1"/>
  <c r="O3" i="10"/>
  <c r="L83" i="2" s="1"/>
  <c r="O3" i="28"/>
  <c r="L22" i="2" s="1"/>
  <c r="O3" i="29"/>
  <c r="L14" i="2" s="1"/>
  <c r="O3" i="39"/>
  <c r="L76" i="2" s="1"/>
  <c r="O3" i="40"/>
  <c r="L34" i="2" s="1"/>
  <c r="O3" i="58"/>
  <c r="L18" i="2" s="1"/>
  <c r="O3" i="61"/>
  <c r="L37" i="2" s="1"/>
  <c r="O3" i="78"/>
  <c r="L88" i="2" s="1"/>
  <c r="O3" i="90"/>
  <c r="L79" i="2" s="1"/>
  <c r="O3" i="93"/>
  <c r="L42" i="2" s="1"/>
  <c r="J97" i="2"/>
  <c r="O3" i="13"/>
  <c r="L100" i="2" s="1"/>
  <c r="O3" i="15"/>
  <c r="L30" i="2" s="1"/>
  <c r="O3" i="50"/>
  <c r="L81" i="2" s="1"/>
  <c r="O3" i="53"/>
  <c r="L29" i="2" s="1"/>
  <c r="O3" i="69"/>
  <c r="L62" i="2" s="1"/>
  <c r="O3" i="98"/>
  <c r="L61" i="2" s="1"/>
  <c r="H82" i="2"/>
  <c r="O3" i="26"/>
  <c r="L49" i="2" s="1"/>
  <c r="O3" i="73"/>
  <c r="L31" i="2" s="1"/>
  <c r="O3" i="75"/>
  <c r="L87" i="2" s="1"/>
  <c r="O3" i="83"/>
  <c r="L69" i="2" s="1"/>
  <c r="O3" i="95"/>
  <c r="L16" i="2" s="1"/>
  <c r="O3" i="97"/>
  <c r="L9" i="2" s="1"/>
  <c r="O3" i="102"/>
  <c r="L77" i="2" s="1"/>
  <c r="O3" i="1"/>
  <c r="L5" i="2" s="1"/>
  <c r="O3" i="14"/>
  <c r="L105" i="2" s="1"/>
  <c r="O3" i="16"/>
  <c r="L40" i="2" s="1"/>
  <c r="O3" i="45"/>
  <c r="L50" i="2" s="1"/>
  <c r="K95" i="2" l="1"/>
  <c r="L95" i="2"/>
</calcChain>
</file>

<file path=xl/sharedStrings.xml><?xml version="1.0" encoding="utf-8"?>
<sst xmlns="http://schemas.openxmlformats.org/spreadsheetml/2006/main" count="8171" uniqueCount="1319">
  <si>
    <t xml:space="preserve">【 醫療機構、藥局 】(第 四 級管制藥品)                            </t>
  </si>
  <si>
    <t>藥代：ALPR</t>
  </si>
  <si>
    <t xml:space="preserve">管 制 藥 品 收 支 結 存 簿 冊                                 </t>
  </si>
  <si>
    <t>名稱</t>
  </si>
  <si>
    <t>字號</t>
  </si>
  <si>
    <t>上期結存</t>
  </si>
  <si>
    <t>收入</t>
  </si>
  <si>
    <t>支出</t>
  </si>
  <si>
    <t>結存</t>
  </si>
  <si>
    <t>藥品名稱</t>
  </si>
  <si>
    <t>Gendergin 0.5mg</t>
  </si>
  <si>
    <t>管制藥品成分及含量</t>
  </si>
  <si>
    <t>Alprazolam 0.5mg</t>
  </si>
  <si>
    <t>042514</t>
  </si>
  <si>
    <t>管制級別</t>
  </si>
  <si>
    <t>四</t>
  </si>
  <si>
    <t>製造廠名稱</t>
  </si>
  <si>
    <t>健亞生物科技(股)公司</t>
  </si>
  <si>
    <t>藥品許可證字號</t>
  </si>
  <si>
    <t>衛署藥製字第042514號</t>
  </si>
  <si>
    <t>最小單位</t>
  </si>
  <si>
    <t>粒</t>
  </si>
  <si>
    <t>日    期</t>
  </si>
  <si>
    <t>收支原因</t>
  </si>
  <si>
    <t>收入數量</t>
  </si>
  <si>
    <t>收入藥品批號</t>
  </si>
  <si>
    <t>支出數量</t>
  </si>
  <si>
    <t>結存數量</t>
  </si>
  <si>
    <t>備  註</t>
  </si>
  <si>
    <t>115/01/01</t>
  </si>
  <si>
    <t>編號</t>
  </si>
  <si>
    <t>藥代</t>
  </si>
  <si>
    <t>中文名稱</t>
  </si>
  <si>
    <t>字號2</t>
  </si>
  <si>
    <t>字號3</t>
  </si>
  <si>
    <t>欄5</t>
  </si>
  <si>
    <t>效期
(會變色)</t>
  </si>
  <si>
    <t>無轉讓*</t>
  </si>
  <si>
    <t>江鎰
(QDA10600000101)</t>
  </si>
  <si>
    <t>蔓達特(QDA100000003)</t>
  </si>
  <si>
    <t>ALE1</t>
  </si>
  <si>
    <t>安立平 15mg</t>
  </si>
  <si>
    <t>衛署藥製字第</t>
  </si>
  <si>
    <t>ALE2</t>
  </si>
  <si>
    <t>安慮平 15mg</t>
  </si>
  <si>
    <t>衛署藥輸字第018425號</t>
  </si>
  <si>
    <t>衛署藥輸字第</t>
  </si>
  <si>
    <t>*</t>
  </si>
  <si>
    <t>ALP2</t>
  </si>
  <si>
    <t>安柏寧 0.5mg</t>
  </si>
  <si>
    <t>不使用</t>
  </si>
  <si>
    <t>健得靜 0.5mg</t>
  </si>
  <si>
    <t>ALPR3</t>
  </si>
  <si>
    <t>煩力平 0.5mg</t>
  </si>
  <si>
    <t>ALPR4/ALP1</t>
  </si>
  <si>
    <t>安邦錠 0.5mg</t>
  </si>
  <si>
    <t>ALPR6</t>
  </si>
  <si>
    <t>歐普樂錠 0.5mg</t>
  </si>
  <si>
    <t>衛署藥製字第045070號</t>
  </si>
  <si>
    <t>ALPR/ALPR寶</t>
  </si>
  <si>
    <t>安寶寧 2mg</t>
  </si>
  <si>
    <t>衛署藥製字第047961號</t>
  </si>
  <si>
    <t>ANX1</t>
  </si>
  <si>
    <t>安靜錠 0.5mg</t>
  </si>
  <si>
    <t>ANX8</t>
  </si>
  <si>
    <t>安心平 2mg</t>
  </si>
  <si>
    <t>衛部藥製字第058561號</t>
  </si>
  <si>
    <t>衛部藥製字第</t>
  </si>
  <si>
    <t>ANX9</t>
  </si>
  <si>
    <t>安靜錠 1mg</t>
  </si>
  <si>
    <t>APO0</t>
  </si>
  <si>
    <t>安保舒痛 37.5mg/325mg</t>
  </si>
  <si>
    <t>APO1</t>
  </si>
  <si>
    <t>安保美喜 10mg</t>
  </si>
  <si>
    <t>ATIV</t>
  </si>
  <si>
    <t>安定文 0.5mg</t>
  </si>
  <si>
    <t>BRO6/BROMA3</t>
  </si>
  <si>
    <t>牟靜錠 3mg</t>
  </si>
  <si>
    <t>衛署藥製字第026080號</t>
  </si>
  <si>
    <t>BRO7/BROAN</t>
  </si>
  <si>
    <t>優寧錠 3mg</t>
  </si>
  <si>
    <t>衛署藥製字第029503號</t>
  </si>
  <si>
    <t>CAL4</t>
  </si>
  <si>
    <t>康眠定 5mg</t>
  </si>
  <si>
    <t>CAM1</t>
  </si>
  <si>
    <t>卡莫德膠囊 50mg</t>
  </si>
  <si>
    <t>衛署藥製字第043597號</t>
  </si>
  <si>
    <t>CLO1/RIVT/</t>
  </si>
  <si>
    <t>克癇平 0.5mg</t>
  </si>
  <si>
    <t>CLO4/CLO6</t>
  </si>
  <si>
    <t>克癇平 2mg</t>
  </si>
  <si>
    <t>衛署藥製字第045345號</t>
  </si>
  <si>
    <t>CON2</t>
  </si>
  <si>
    <t>專思達長效 18mg</t>
  </si>
  <si>
    <t>CON3</t>
  </si>
  <si>
    <t>專思達長效 36mg</t>
  </si>
  <si>
    <t>CON6</t>
  </si>
  <si>
    <t>專思達長效錠 27mg</t>
  </si>
  <si>
    <t>DAC2</t>
  </si>
  <si>
    <t>安得眠 10mg</t>
  </si>
  <si>
    <t>DAL</t>
  </si>
  <si>
    <t>當眠多 30mg</t>
  </si>
  <si>
    <t>DAL1</t>
  </si>
  <si>
    <t>當眠多 15mg</t>
  </si>
  <si>
    <t>衛署藥製字第036679號</t>
  </si>
  <si>
    <t>DGEP3</t>
  </si>
  <si>
    <t>"井田"醫嗽寧錠</t>
  </si>
  <si>
    <t>衛署藥製字第019360號</t>
  </si>
  <si>
    <t>DIA8</t>
  </si>
  <si>
    <t>大安源 2mg</t>
  </si>
  <si>
    <t>內衛藥製字第</t>
  </si>
  <si>
    <t>DIAL/DIA1</t>
  </si>
  <si>
    <t>當立平 2mg</t>
  </si>
  <si>
    <t>DIP7</t>
  </si>
  <si>
    <t>大益神膠囊 10mg</t>
  </si>
  <si>
    <t>DORM</t>
  </si>
  <si>
    <t>導美睡 7.5mg</t>
  </si>
  <si>
    <t>衛署藥輸字第017577號</t>
  </si>
  <si>
    <t>DUP0</t>
  </si>
  <si>
    <t>樂平片 0.5mg</t>
  </si>
  <si>
    <t>ELI</t>
  </si>
  <si>
    <t>宜利寧 20mg</t>
  </si>
  <si>
    <t>EPI21</t>
  </si>
  <si>
    <t>WEISUFU</t>
  </si>
  <si>
    <t>胃舒服錠</t>
  </si>
  <si>
    <t>ERA/ ERA2(不使用)</t>
  </si>
  <si>
    <t>易舒 0.25mg</t>
  </si>
  <si>
    <t>ERA-4 /ERI</t>
  </si>
  <si>
    <t>癒利舒盼 0.25mg</t>
  </si>
  <si>
    <t>ESO1</t>
  </si>
  <si>
    <t>益思眠 2mg</t>
  </si>
  <si>
    <t>ESTA/ELA</t>
  </si>
  <si>
    <t>易眠錠 2mg</t>
  </si>
  <si>
    <t>ESZO/ESZ2/ESZ</t>
  </si>
  <si>
    <t>艾斯樂 2mg</t>
  </si>
  <si>
    <t>EUR0</t>
  </si>
  <si>
    <t>悠樂丁 2mg</t>
  </si>
  <si>
    <t>FAL</t>
  </si>
  <si>
    <t>服爾眠 2mg</t>
  </si>
  <si>
    <t>衛署藥製字第048472號</t>
  </si>
  <si>
    <t>FLU2/FLUH</t>
  </si>
  <si>
    <t>福安源 0.25mg</t>
  </si>
  <si>
    <t>FLUI</t>
  </si>
  <si>
    <t>FLUZEPAM 2MG</t>
  </si>
  <si>
    <t>復爾靜</t>
  </si>
  <si>
    <t>衛署藥製字第040148號</t>
  </si>
  <si>
    <t>FRI</t>
  </si>
  <si>
    <t>服利寧 10mg</t>
  </si>
  <si>
    <t>衛署藥輸字第023071號</t>
  </si>
  <si>
    <t>GEN4</t>
  </si>
  <si>
    <t>健得靜持續錠 1mg</t>
  </si>
  <si>
    <t>GEN5/ GENA</t>
  </si>
  <si>
    <t>健康得眠 7.5mg</t>
  </si>
  <si>
    <t>衛署藥字製第</t>
  </si>
  <si>
    <t>HALC</t>
  </si>
  <si>
    <t>酣樂欣 0.25mg</t>
  </si>
  <si>
    <t>IMO2/ IMO3</t>
  </si>
  <si>
    <t>宜眠安 7.5mg</t>
  </si>
  <si>
    <t>KIN1/ ALPR5/ KIN6</t>
  </si>
  <si>
    <t>景安寧 0.5mg</t>
  </si>
  <si>
    <t>KIN2/ KIN5</t>
  </si>
  <si>
    <t>金座錠 2mg</t>
  </si>
  <si>
    <t>LAR0</t>
  </si>
  <si>
    <t>樂眠錠 2mg</t>
  </si>
  <si>
    <t>衛署藥製字第033929號</t>
  </si>
  <si>
    <t>LEND/LEN0</t>
  </si>
  <si>
    <t>戀多眠 0.25mg</t>
  </si>
  <si>
    <t>LEX</t>
  </si>
  <si>
    <t>立舒定 3mg</t>
  </si>
  <si>
    <t>LEX1</t>
  </si>
  <si>
    <t>立舒定 1.5mg</t>
  </si>
  <si>
    <t>LOR2</t>
  </si>
  <si>
    <t>樂立靜錠 1mg</t>
  </si>
  <si>
    <t>衛署藥製字第022816號</t>
  </si>
  <si>
    <t>LOW0</t>
  </si>
  <si>
    <t>樂穩錠 0.5mg</t>
  </si>
  <si>
    <t>METH</t>
  </si>
  <si>
    <t>思有得持續膠囊22mg</t>
  </si>
  <si>
    <t>衛部藥製字第060165號</t>
  </si>
  <si>
    <t>METJ</t>
  </si>
  <si>
    <t>Methydur S.R 33mg</t>
  </si>
  <si>
    <t>思有得持續膠囊33mg</t>
  </si>
  <si>
    <t>衛署藥製字第060152號</t>
  </si>
  <si>
    <t>MOD2</t>
  </si>
  <si>
    <t>美得眠 2mg</t>
  </si>
  <si>
    <t>MOD3</t>
  </si>
  <si>
    <t>美得眠 1mg</t>
  </si>
  <si>
    <t>衛署藥製字第045779號</t>
  </si>
  <si>
    <t>MUA0</t>
  </si>
  <si>
    <t>妙而通持續錠 100mg</t>
  </si>
  <si>
    <t>衛署藥製字第042770號</t>
  </si>
  <si>
    <t>NAR1</t>
  </si>
  <si>
    <t>納靜膜衣錠 5mg</t>
  </si>
  <si>
    <t>ONSL</t>
  </si>
  <si>
    <t>入眠順 10mg</t>
  </si>
  <si>
    <t>OPI</t>
  </si>
  <si>
    <t>奧必膜衣錠 37.5mg</t>
  </si>
  <si>
    <t>衛部藥製字第058168號</t>
  </si>
  <si>
    <t>PHE</t>
  </si>
  <si>
    <t>苯巴比特魯錠 30mg</t>
  </si>
  <si>
    <t>RIP</t>
  </si>
  <si>
    <t>利平靜 0.5mg</t>
  </si>
  <si>
    <t>衛署藥製字第058017號</t>
  </si>
  <si>
    <t>RIT</t>
  </si>
  <si>
    <t>利他能 10mg</t>
  </si>
  <si>
    <t>RIT1</t>
  </si>
  <si>
    <t>衛部藥輸字第027080號</t>
  </si>
  <si>
    <t>衛部藥輸字第</t>
  </si>
  <si>
    <t>RIT2</t>
  </si>
  <si>
    <t>利長能持續錠 20mg</t>
  </si>
  <si>
    <t>衛署藥輸字第025333號</t>
  </si>
  <si>
    <t>RIT4?</t>
  </si>
  <si>
    <t>利長能持續錠 40mg</t>
  </si>
  <si>
    <t>RIV1/RIVI/RIV8</t>
  </si>
  <si>
    <t>利福全 0.5mg</t>
  </si>
  <si>
    <t>RIV3/RIV5</t>
  </si>
  <si>
    <t>利福全 2mg</t>
  </si>
  <si>
    <t>SEA0</t>
  </si>
  <si>
    <t>舒安得膠囊 10mg</t>
  </si>
  <si>
    <t>衛署藥製字第031295號</t>
  </si>
  <si>
    <t>SEC/ SEC1</t>
  </si>
  <si>
    <t>益可寧 10mg</t>
  </si>
  <si>
    <t>SIL3/ SILE</t>
  </si>
  <si>
    <t>悠然錠 1mg</t>
  </si>
  <si>
    <t>SON2</t>
  </si>
  <si>
    <t>舒寧必朗膠囊 2mg</t>
  </si>
  <si>
    <t>SOTA</t>
  </si>
  <si>
    <t>舒得夢 10mg</t>
  </si>
  <si>
    <t>STA2</t>
  </si>
  <si>
    <t>速立安 0.5mg</t>
  </si>
  <si>
    <t>衛署藥製字第022111號</t>
  </si>
  <si>
    <t>STI1/ STI3/ STI4</t>
  </si>
  <si>
    <t>使蒂諾斯 10mg</t>
  </si>
  <si>
    <t>STI2</t>
  </si>
  <si>
    <t>使蒂諾斯長效錠 6.25mg</t>
  </si>
  <si>
    <t>STIL/ SEM</t>
  </si>
  <si>
    <t>舒眠諾思 10mg</t>
  </si>
  <si>
    <t>SULN</t>
  </si>
  <si>
    <t>舒寧膠囊 10mg</t>
  </si>
  <si>
    <t>SYN2</t>
  </si>
  <si>
    <t>欣得眠 15mg</t>
  </si>
  <si>
    <t>SYNA</t>
  </si>
  <si>
    <t>欣得眠 30mg</t>
  </si>
  <si>
    <t>衛署藥製字第042222號</t>
  </si>
  <si>
    <t>TAEE</t>
  </si>
  <si>
    <t>大益膜衣錠 5mg</t>
  </si>
  <si>
    <t>內衛藥製字第001503號</t>
  </si>
  <si>
    <t>TRA4</t>
  </si>
  <si>
    <t>妥美亭 37.5mg</t>
  </si>
  <si>
    <t>衛署藥製字第057779號</t>
  </si>
  <si>
    <t>TRA6</t>
  </si>
  <si>
    <t>特美痛膠囊 50mg</t>
  </si>
  <si>
    <t>衛署藥製字第043824號</t>
  </si>
  <si>
    <t>TRA7</t>
  </si>
  <si>
    <t>治爾疼持續錠 200mg</t>
  </si>
  <si>
    <t>衛署藥輸字第024340號</t>
  </si>
  <si>
    <t>U-C1</t>
  </si>
  <si>
    <t>Zodem 10mg</t>
  </si>
  <si>
    <t>安眠諾登 10mg</t>
  </si>
  <si>
    <t>ULTR</t>
  </si>
  <si>
    <t>及通安  37.5mg</t>
  </si>
  <si>
    <t>ULTR2/TRA3</t>
  </si>
  <si>
    <t>服安痛 37.5mg</t>
  </si>
  <si>
    <t>衛署藥製字第056706號</t>
  </si>
  <si>
    <t>UTR</t>
  </si>
  <si>
    <t>立除痛 37.5mg</t>
  </si>
  <si>
    <t>衛署藥製字第057777號</t>
  </si>
  <si>
    <t>VA2P</t>
  </si>
  <si>
    <t>煩靜錠 2mg</t>
  </si>
  <si>
    <t>WON</t>
  </si>
  <si>
    <t>Wontran ER</t>
  </si>
  <si>
    <t>保寧緩釋錠75mg</t>
  </si>
  <si>
    <t>衛部藥輸字第026598號</t>
  </si>
  <si>
    <t>XAN1/XAN2</t>
  </si>
  <si>
    <t>贊安諾 0.5mg</t>
  </si>
  <si>
    <t>XAN3</t>
  </si>
  <si>
    <t>贊安諾持續錠 0.5mg</t>
  </si>
  <si>
    <t>XAN4</t>
  </si>
  <si>
    <t>贊安諾 0.25mg</t>
  </si>
  <si>
    <t>ZIP/ZOL1/ZIP1</t>
  </si>
  <si>
    <t>伏眠 10mg</t>
  </si>
  <si>
    <t>ZODE/ ZOD1</t>
  </si>
  <si>
    <t>悠眠錠 10mg</t>
  </si>
  <si>
    <t>ZOL2</t>
  </si>
  <si>
    <t>若定10mg(×)</t>
  </si>
  <si>
    <t>ZOL2/ZOL3/ ZOLC</t>
  </si>
  <si>
    <t>樂比克 7.5mg</t>
  </si>
  <si>
    <t>ZOL61/ZOLB</t>
  </si>
  <si>
    <t>樂必眠 10mg</t>
  </si>
  <si>
    <t>衛署藥製字第044605號</t>
  </si>
  <si>
    <t>ZOL7</t>
  </si>
  <si>
    <t>優眠 10mg</t>
  </si>
  <si>
    <t>ZOLA/ZOL5</t>
  </si>
  <si>
    <t>柔拍 10mg</t>
  </si>
  <si>
    <t>ZOPI</t>
  </si>
  <si>
    <t>柔眠 10mg</t>
  </si>
  <si>
    <t>衛署藥製字第044826號</t>
  </si>
  <si>
    <t>LEY</t>
  </si>
  <si>
    <t>LEYOUMIAN 10mg</t>
  </si>
  <si>
    <t>樂悠眠膜衣錠(國嘉)</t>
  </si>
  <si>
    <t>RIT4</t>
  </si>
  <si>
    <t>Ritalin LA 10mg</t>
  </si>
  <si>
    <t xml:space="preserve">利長能持續性藥效膠囊 10MG </t>
  </si>
  <si>
    <t>日期</t>
  </si>
  <si>
    <t>相關編號</t>
  </si>
  <si>
    <t>事件</t>
  </si>
  <si>
    <t>備註</t>
  </si>
  <si>
    <t>新增 IMO3 於 IMO2 欄位</t>
  </si>
  <si>
    <t>IMO2 (BC18158100)
IMO3 (BC181581G0)</t>
  </si>
  <si>
    <t>新增 ZOLC 於 ZOL2 欄位</t>
  </si>
  <si>
    <t>ZOL2(AC46013100)
ZOLC(AC460131G0)</t>
  </si>
  <si>
    <t>總表欄位有隱藏</t>
  </si>
  <si>
    <t>1~10</t>
  </si>
  <si>
    <t>9月以前另存</t>
  </si>
  <si>
    <t>下面的頁籤也有隱藏</t>
  </si>
  <si>
    <t>消失了 重做一次</t>
  </si>
  <si>
    <t>新增 ZOL61 於 ZOL6 欄位</t>
  </si>
  <si>
    <t>ZOL6健保碼是中化-若定
ZOL61 才對</t>
  </si>
  <si>
    <t>新增 EPI2 胃舒服</t>
  </si>
  <si>
    <t>憑證12/7銷售 12/11收到</t>
  </si>
  <si>
    <t xml:space="preserve">新增 WON </t>
  </si>
  <si>
    <t>新增 LEYOUMIAN 10mg</t>
  </si>
  <si>
    <t>久裕CDP10300000802</t>
  </si>
  <si>
    <t>調劑</t>
  </si>
  <si>
    <t>購買</t>
  </si>
  <si>
    <t>藥代：ATIV,ATI2</t>
  </si>
  <si>
    <t>Ativan 0.5mg</t>
  </si>
  <si>
    <t>Lorazepam 0.5mg</t>
  </si>
  <si>
    <t>018741</t>
  </si>
  <si>
    <t>美商惠氏藥廠(亞洲)(股)公司</t>
  </si>
  <si>
    <t>衛署藥輸字第018741號</t>
  </si>
  <si>
    <t>BPP112000001</t>
  </si>
  <si>
    <t>嘉鏵
(CDP100000003)</t>
  </si>
  <si>
    <t>115/01/05</t>
  </si>
  <si>
    <t>115/01/07</t>
  </si>
  <si>
    <t>115/01/09</t>
  </si>
  <si>
    <t>115/01/24</t>
  </si>
  <si>
    <t>115/02/01</t>
  </si>
  <si>
    <t>115/02/02</t>
  </si>
  <si>
    <t>115/02/05</t>
  </si>
  <si>
    <t>115/02/21</t>
  </si>
  <si>
    <t>115/02/28</t>
  </si>
  <si>
    <t>115/03/02</t>
  </si>
  <si>
    <t>115/03/03</t>
  </si>
  <si>
    <t>1256S</t>
  </si>
  <si>
    <t>久裕</t>
  </si>
  <si>
    <t>115/03/05</t>
  </si>
  <si>
    <t>115/03/14</t>
  </si>
  <si>
    <t>115/03/17</t>
  </si>
  <si>
    <t>115/03/18</t>
  </si>
  <si>
    <t>115/03/21</t>
  </si>
  <si>
    <t>115/03/30</t>
  </si>
  <si>
    <t>115/04/13</t>
  </si>
  <si>
    <t>115/04/15</t>
  </si>
  <si>
    <t>115/04/25</t>
  </si>
  <si>
    <t>115/04/27</t>
  </si>
  <si>
    <t>115/05/09</t>
  </si>
  <si>
    <t>115/05/15</t>
  </si>
  <si>
    <t>115/05/19</t>
  </si>
  <si>
    <t>115/06/02</t>
  </si>
  <si>
    <t>115/06/05</t>
  </si>
  <si>
    <t>115/06/12</t>
  </si>
  <si>
    <t>115/06/17</t>
  </si>
  <si>
    <t>115/06/18</t>
  </si>
  <si>
    <t>115/06/21</t>
  </si>
  <si>
    <t>115/07/01</t>
  </si>
  <si>
    <t>115/07/13</t>
  </si>
  <si>
    <t>115/07/15</t>
  </si>
  <si>
    <t>115/07/18</t>
  </si>
  <si>
    <t>115/07/20</t>
  </si>
  <si>
    <t>115/07/23</t>
  </si>
  <si>
    <t>天義ADP08900008103</t>
  </si>
  <si>
    <t>藥代：ERA/ERA2</t>
  </si>
  <si>
    <t xml:space="preserve">ERA 0.25mg  </t>
  </si>
  <si>
    <t>Fludiazepam 0.25mg</t>
  </si>
  <si>
    <t>台灣東洋藥品工業(股)公司</t>
  </si>
  <si>
    <t>衛署藥製字第037577號</t>
  </si>
  <si>
    <t>藥代：ESTA,ELA</t>
  </si>
  <si>
    <t>ELAM 2mg</t>
  </si>
  <si>
    <t>Estazolam 2mg</t>
  </si>
  <si>
    <t xml:space="preserve">永勝藥品工業(股)公司  </t>
  </si>
  <si>
    <t>衛署藥製字第043860號</t>
  </si>
  <si>
    <t>115/01/16</t>
  </si>
  <si>
    <t>115/02/03</t>
  </si>
  <si>
    <t>115/02/12</t>
  </si>
  <si>
    <t>115/02/15</t>
  </si>
  <si>
    <t>115/02/26</t>
  </si>
  <si>
    <t>115/03/09</t>
  </si>
  <si>
    <t>115/03/20</t>
  </si>
  <si>
    <t>115/03/31</t>
  </si>
  <si>
    <t>115/04/01</t>
  </si>
  <si>
    <t>115/04/16</t>
  </si>
  <si>
    <t>115/04/17</t>
  </si>
  <si>
    <t>115/04/28</t>
  </si>
  <si>
    <t>115/05/02</t>
  </si>
  <si>
    <t>115/06/03</t>
  </si>
  <si>
    <t>115/06/04</t>
  </si>
  <si>
    <t>115/06/06</t>
  </si>
  <si>
    <t>115/6/26</t>
  </si>
  <si>
    <t>115/07/02</t>
  </si>
  <si>
    <t>115/07/14</t>
  </si>
  <si>
    <t xml:space="preserve">【 醫療機構、藥局 】(第 三 級管制藥品)                            </t>
  </si>
  <si>
    <t>藥代：HALC</t>
  </si>
  <si>
    <t>Halcion 0.25mg</t>
  </si>
  <si>
    <t>Triazolam 0.25mg</t>
  </si>
  <si>
    <t>三</t>
  </si>
  <si>
    <t>輝瑞大藥廠(股)公司</t>
  </si>
  <si>
    <t>衛署藥輸字第021726號</t>
  </si>
  <si>
    <t>施秀媚 (C200972006)</t>
  </si>
  <si>
    <t>115/01/08</t>
  </si>
  <si>
    <t>邵素雲(Q202326156)</t>
  </si>
  <si>
    <t>115/02/08</t>
  </si>
  <si>
    <t>115/02/10</t>
  </si>
  <si>
    <t>MR8665</t>
  </si>
  <si>
    <t>嘉鏵</t>
  </si>
  <si>
    <t>115/04/09</t>
  </si>
  <si>
    <t>115/04/29</t>
  </si>
  <si>
    <t>黃惠美(J220676001)</t>
  </si>
  <si>
    <t>115/04/30</t>
  </si>
  <si>
    <t>MR8657</t>
  </si>
  <si>
    <t>115/06/25</t>
  </si>
  <si>
    <t>115/07/22</t>
  </si>
  <si>
    <t>NK4188</t>
  </si>
  <si>
    <t>藥代：ONSL</t>
  </si>
  <si>
    <t>Onsleep 10mg</t>
  </si>
  <si>
    <t>Zaleplon 10mg</t>
  </si>
  <si>
    <t>生達化學製藥(股)公司</t>
  </si>
  <si>
    <t>衛署藥製字第049166號</t>
  </si>
  <si>
    <t>藥代：RIVT/CLO1</t>
  </si>
  <si>
    <t>Clonazepam 0.5mg</t>
  </si>
  <si>
    <t>榮民製藥(股)公司</t>
  </si>
  <si>
    <t>衛署藥製字第045342號</t>
  </si>
  <si>
    <t>115/01/13</t>
  </si>
  <si>
    <t>115/01/17</t>
  </si>
  <si>
    <t>115/01/27</t>
  </si>
  <si>
    <t>115/02/07</t>
  </si>
  <si>
    <t>115/02/13</t>
  </si>
  <si>
    <t>嘉鏵CDP100000003</t>
  </si>
  <si>
    <t>115/03/11</t>
  </si>
  <si>
    <t>115/03/24</t>
  </si>
  <si>
    <t>115/04/02</t>
  </si>
  <si>
    <t>115/04/10</t>
  </si>
  <si>
    <t>115/04/18</t>
  </si>
  <si>
    <t>2K816</t>
  </si>
  <si>
    <t>115/05/04</t>
  </si>
  <si>
    <t>115/05/07</t>
  </si>
  <si>
    <t>115/05/12</t>
  </si>
  <si>
    <t>115/05/16</t>
  </si>
  <si>
    <t>115/05/26</t>
  </si>
  <si>
    <t>115/06/01</t>
  </si>
  <si>
    <t>115/06/13</t>
  </si>
  <si>
    <t>115/06/24</t>
  </si>
  <si>
    <t>115/06/27</t>
  </si>
  <si>
    <t xml:space="preserve">CLONO </t>
  </si>
  <si>
    <t>115/06/30</t>
  </si>
  <si>
    <t>2KC56</t>
  </si>
  <si>
    <t>115/07/03</t>
  </si>
  <si>
    <t>惠勝MDP09300000203</t>
  </si>
  <si>
    <t>藥代：SULN</t>
  </si>
  <si>
    <t>SULNINE  10mg</t>
  </si>
  <si>
    <t>Oxazolam 10mg</t>
  </si>
  <si>
    <t>035256</t>
  </si>
  <si>
    <t>衛署藥製字第035256號</t>
  </si>
  <si>
    <t>115/01/12</t>
  </si>
  <si>
    <t>115/01/15</t>
  </si>
  <si>
    <t>115/01/19</t>
  </si>
  <si>
    <t>115/01/21</t>
  </si>
  <si>
    <t>R1100105</t>
  </si>
  <si>
    <t>惠勝</t>
  </si>
  <si>
    <t>115/01/22</t>
  </si>
  <si>
    <t>115/01/26</t>
  </si>
  <si>
    <t>115/01/29</t>
  </si>
  <si>
    <t>115/01/30</t>
  </si>
  <si>
    <t>115/02/04</t>
  </si>
  <si>
    <t>115/02/11</t>
  </si>
  <si>
    <t>115/02/23</t>
  </si>
  <si>
    <t>115/02/24</t>
  </si>
  <si>
    <t>115/02/25</t>
  </si>
  <si>
    <t>115/03/04</t>
  </si>
  <si>
    <t>115/03/06</t>
  </si>
  <si>
    <t>115/03/08</t>
  </si>
  <si>
    <t>115/03/10</t>
  </si>
  <si>
    <t>115/03/25</t>
  </si>
  <si>
    <t>115/03/27</t>
  </si>
  <si>
    <t>115/04/04</t>
  </si>
  <si>
    <t>115/04/06</t>
  </si>
  <si>
    <t>115/04/07</t>
  </si>
  <si>
    <t>115/04/08</t>
  </si>
  <si>
    <t>115/04/11</t>
  </si>
  <si>
    <t>115/04/14</t>
  </si>
  <si>
    <t>115/04/21</t>
  </si>
  <si>
    <t>115/04/23</t>
  </si>
  <si>
    <t>115/05/01</t>
  </si>
  <si>
    <t>115/05/06</t>
  </si>
  <si>
    <t>115/05/10</t>
  </si>
  <si>
    <t>115/05/11</t>
  </si>
  <si>
    <t>115/05/14</t>
  </si>
  <si>
    <t>115/05/17</t>
  </si>
  <si>
    <t>115/05/22</t>
  </si>
  <si>
    <t>115/05/25</t>
  </si>
  <si>
    <t>115/05/30</t>
  </si>
  <si>
    <t>115/05/31</t>
  </si>
  <si>
    <t>115/06/08</t>
  </si>
  <si>
    <t>115/06/09</t>
  </si>
  <si>
    <t>115/06/11</t>
  </si>
  <si>
    <t>115/06/16</t>
  </si>
  <si>
    <t>115/06/20</t>
  </si>
  <si>
    <t>115/07/04</t>
  </si>
  <si>
    <t>115/07/06</t>
  </si>
  <si>
    <t>R1100206</t>
  </si>
  <si>
    <t>永勝</t>
  </si>
  <si>
    <t>115/07/09</t>
  </si>
  <si>
    <t>115/07/16</t>
  </si>
  <si>
    <t>115/07/24</t>
  </si>
  <si>
    <t>永信</t>
  </si>
  <si>
    <t xml:space="preserve">調劑      </t>
  </si>
  <si>
    <t>藥代：VA2P</t>
  </si>
  <si>
    <t xml:space="preserve">Diazepam 2mg </t>
  </si>
  <si>
    <t>030507</t>
  </si>
  <si>
    <t>永信藥品工業股份有限公司</t>
  </si>
  <si>
    <t>衛署藥製字第030507號</t>
  </si>
  <si>
    <t>115/01/02</t>
  </si>
  <si>
    <t>115/01/06</t>
  </si>
  <si>
    <t>115/01/14</t>
  </si>
  <si>
    <t>115/01/28</t>
  </si>
  <si>
    <t>115/02/09</t>
  </si>
  <si>
    <t>115/02/14</t>
  </si>
  <si>
    <t>115/03/07</t>
  </si>
  <si>
    <t>115/03/12</t>
  </si>
  <si>
    <t>115/03/15</t>
  </si>
  <si>
    <t>115/03/16</t>
  </si>
  <si>
    <t>115/03/19</t>
  </si>
  <si>
    <t>115/03/22</t>
  </si>
  <si>
    <t>115/03/23</t>
  </si>
  <si>
    <t>BRT2 T003</t>
  </si>
  <si>
    <t>115/03/26</t>
  </si>
  <si>
    <t>115/03/28</t>
  </si>
  <si>
    <t>115/03/29</t>
  </si>
  <si>
    <t>115/3/31</t>
  </si>
  <si>
    <t>115/04/12</t>
  </si>
  <si>
    <t>永信HFP10100000101</t>
  </si>
  <si>
    <t>115/04/22</t>
  </si>
  <si>
    <t>115/04/24</t>
  </si>
  <si>
    <t>115/04/26</t>
  </si>
  <si>
    <t>115/05/13</t>
  </si>
  <si>
    <t>黃景旭9</t>
  </si>
  <si>
    <t>115/05/18</t>
  </si>
  <si>
    <t>115/05/27</t>
  </si>
  <si>
    <t>115/05/28</t>
  </si>
  <si>
    <t>115/06/10</t>
  </si>
  <si>
    <t>115/06/14</t>
  </si>
  <si>
    <t>115/06/15</t>
  </si>
  <si>
    <t>115/06/22</t>
  </si>
  <si>
    <t>115/06/23</t>
  </si>
  <si>
    <t>115/06/26</t>
  </si>
  <si>
    <t>藥代：ZOL2</t>
  </si>
  <si>
    <t>Zolpidem 10mg</t>
  </si>
  <si>
    <t>046255</t>
  </si>
  <si>
    <t>中國化學製藥股份有限公司</t>
  </si>
  <si>
    <t>衛署藥製字第046255號</t>
  </si>
  <si>
    <t>藥代：ZODE/ZOD1</t>
  </si>
  <si>
    <t>Zodenox 10mg</t>
  </si>
  <si>
    <t xml:space="preserve">Zolpidem 10mg </t>
  </si>
  <si>
    <t>049217</t>
  </si>
  <si>
    <t>衛署藥製字第049217號</t>
  </si>
  <si>
    <t>ZOTT003</t>
  </si>
  <si>
    <t>江鎰</t>
  </si>
  <si>
    <t>ZOTT004</t>
  </si>
  <si>
    <t>115/06/19</t>
  </si>
  <si>
    <t>藥代：ZOLA/ZOL5</t>
  </si>
  <si>
    <t>衛署藥製字第057306號</t>
  </si>
  <si>
    <t>維元社區藥局
(BPP112000001)</t>
  </si>
  <si>
    <t>115/01/03</t>
  </si>
  <si>
    <t>115/01/23</t>
  </si>
  <si>
    <t>E2560225</t>
  </si>
  <si>
    <t>中化</t>
  </si>
  <si>
    <t>中化ADP09200001603</t>
  </si>
  <si>
    <t>115/02/06</t>
  </si>
  <si>
    <t>115/02/22</t>
  </si>
  <si>
    <t>115/04/03</t>
  </si>
  <si>
    <t>115/04/20</t>
  </si>
  <si>
    <t>115/05/05</t>
  </si>
  <si>
    <t>115/05/08</t>
  </si>
  <si>
    <t>115/05/20</t>
  </si>
  <si>
    <t>115/05/29</t>
  </si>
  <si>
    <t>E2560236</t>
  </si>
  <si>
    <t>115/06/29</t>
  </si>
  <si>
    <t>115/07/07</t>
  </si>
  <si>
    <t>115/07/08</t>
  </si>
  <si>
    <t>藥代：DIAL/DIA1</t>
  </si>
  <si>
    <t>Diapin 2mg</t>
  </si>
  <si>
    <t>Diazepam 2mg</t>
  </si>
  <si>
    <t>000059</t>
  </si>
  <si>
    <t>韋淳貿易股份有限公司</t>
  </si>
  <si>
    <t>衛署藥製字第000059號</t>
  </si>
  <si>
    <t xml:space="preserve">【 醫療機構、藥局 】(第 四 級管制藥品)    </t>
  </si>
  <si>
    <t>嘉鏵(CDP100000003)</t>
  </si>
  <si>
    <t>江鎰(QDA10600000101)</t>
  </si>
  <si>
    <t xml:space="preserve">購買     </t>
  </si>
  <si>
    <t>藥代：ESZO/
ESZ2/ESZ</t>
  </si>
  <si>
    <t>Eszo 2mg</t>
  </si>
  <si>
    <t>042646</t>
  </si>
  <si>
    <t>信東生技股份有限公司</t>
  </si>
  <si>
    <t>衛署藥製字第042646號</t>
  </si>
  <si>
    <t>115/02/27</t>
  </si>
  <si>
    <t>QDA10600000101 江鎰</t>
  </si>
  <si>
    <t>115/05/23</t>
  </si>
  <si>
    <t>115/06/07</t>
  </si>
  <si>
    <t>江鎰QDA10600000101</t>
  </si>
  <si>
    <t>藥代：FLU2/FLUH</t>
  </si>
  <si>
    <t>Flupine 0.25mg</t>
  </si>
  <si>
    <t>041519</t>
  </si>
  <si>
    <t>強生化學製藥廠股份有限公司</t>
  </si>
  <si>
    <t>衛署藥製字第041519號</t>
  </si>
  <si>
    <t>BES011</t>
  </si>
  <si>
    <t>藥代：LEX</t>
  </si>
  <si>
    <t>Lexotan 3mg</t>
  </si>
  <si>
    <t>Bromazepam 3mg</t>
  </si>
  <si>
    <t>004457</t>
  </si>
  <si>
    <t>羅氏大藥廠股份有限公司</t>
  </si>
  <si>
    <t>衛署藥輸字第004457號</t>
  </si>
  <si>
    <t>M1764M1</t>
  </si>
  <si>
    <t>115/01/18</t>
  </si>
  <si>
    <t>M1783M3</t>
  </si>
  <si>
    <t>115/07/05</t>
  </si>
  <si>
    <t>M1791M1</t>
  </si>
  <si>
    <t>115/07/19</t>
  </si>
  <si>
    <t>藥代：MOD2</t>
  </si>
  <si>
    <t>Modipanol 2mg</t>
  </si>
  <si>
    <t>Flunitrazepam 2mg</t>
  </si>
  <si>
    <t>37977</t>
  </si>
  <si>
    <t>瑞士藥廠股份有限公司</t>
  </si>
  <si>
    <t>衛署藥製字第037997號</t>
  </si>
  <si>
    <t>MDTB56</t>
  </si>
  <si>
    <t>115/03/13</t>
  </si>
  <si>
    <t>吳天龍</t>
  </si>
  <si>
    <t>MDTB60</t>
  </si>
  <si>
    <t>大昌華嘉(ADP09400000703)</t>
  </si>
  <si>
    <t>藥代：RIV1/RIVI/RIV8</t>
  </si>
  <si>
    <t>Rivotril 0.5mg</t>
  </si>
  <si>
    <t>003077</t>
  </si>
  <si>
    <t>羅氏大藥廠有限股份公司</t>
  </si>
  <si>
    <t>衛署藥輸字第003077號</t>
  </si>
  <si>
    <t>1130101</t>
  </si>
  <si>
    <t>RIVI</t>
  </si>
  <si>
    <t>1130103</t>
  </si>
  <si>
    <t>RIV1</t>
  </si>
  <si>
    <t>115/01/20</t>
  </si>
  <si>
    <t>QDA10600000101江鎰</t>
  </si>
  <si>
    <t>大昌</t>
  </si>
  <si>
    <t>115/01/31</t>
  </si>
  <si>
    <t>E3907E1</t>
  </si>
  <si>
    <t>115/02/16</t>
  </si>
  <si>
    <t>E39013E1</t>
  </si>
  <si>
    <t>大昌ADP09400000704</t>
  </si>
  <si>
    <t>115/03/01</t>
  </si>
  <si>
    <t>E3970E1</t>
  </si>
  <si>
    <t>大昌華嘉</t>
  </si>
  <si>
    <t>115/05/24</t>
  </si>
  <si>
    <t>115/07/17</t>
  </si>
  <si>
    <t>E3992E1</t>
  </si>
  <si>
    <t>115/07/21</t>
  </si>
  <si>
    <t>大昌華嘉ADP09400000703</t>
  </si>
  <si>
    <t>藥代：STI1/STI3/ STI4</t>
  </si>
  <si>
    <t>Stilnox 10mg</t>
  </si>
  <si>
    <t>021531</t>
  </si>
  <si>
    <t>台灣安斯泰來製藥股份有限公司</t>
  </si>
  <si>
    <t>衛署藥輸字第021531號</t>
  </si>
  <si>
    <t>LT0509</t>
  </si>
  <si>
    <t>大昌華嘉ADP09400000704</t>
  </si>
  <si>
    <t>LT1177</t>
  </si>
  <si>
    <t>替代ZOL5</t>
  </si>
  <si>
    <t>藥代：ULTR</t>
  </si>
  <si>
    <t>Ultracet 37.5mg</t>
  </si>
  <si>
    <t>Tramadol 37.5mg / Acetaminophen 325mg</t>
  </si>
  <si>
    <t>023917</t>
  </si>
  <si>
    <t>嬌生股份有限公司</t>
  </si>
  <si>
    <t>衛署藥輸字第023917號</t>
  </si>
  <si>
    <t>藥代：XAN1/XAN2</t>
  </si>
  <si>
    <t>Xanax 0.5mg</t>
  </si>
  <si>
    <t>021140</t>
  </si>
  <si>
    <t>暉致醫藥股份有限公司</t>
  </si>
  <si>
    <t>衛署藥輸字第021140號</t>
  </si>
  <si>
    <t>使用日期</t>
  </si>
  <si>
    <t>消耗量</t>
  </si>
  <si>
    <t>MT3220</t>
  </si>
  <si>
    <t>久裕CDP10300000803</t>
  </si>
  <si>
    <t>MT3221</t>
  </si>
  <si>
    <t>藥代：APO0</t>
  </si>
  <si>
    <t xml:space="preserve">Apo-Tramadol 37.5mg/ 325mg </t>
  </si>
  <si>
    <t>Tramadol 37.5mg / 
Acetaminophen 325mg</t>
  </si>
  <si>
    <t>025452</t>
  </si>
  <si>
    <t>鴻汶醫藥實業有限公司</t>
  </si>
  <si>
    <t>衛署藥輸字第025452號</t>
  </si>
  <si>
    <t>115/01/04</t>
  </si>
  <si>
    <t>VJ0629</t>
  </si>
  <si>
    <t>VJ0630</t>
  </si>
  <si>
    <t>VJ4597</t>
  </si>
  <si>
    <t>VR4858</t>
  </si>
  <si>
    <t xml:space="preserve">購買      </t>
  </si>
  <si>
    <t>藥代：RIV3/RIV5</t>
  </si>
  <si>
    <t>Rivotril 2mg</t>
  </si>
  <si>
    <t>Clonazepam 2mg</t>
  </si>
  <si>
    <t>003078</t>
  </si>
  <si>
    <t>羅氏大製藥有限股份公司</t>
  </si>
  <si>
    <t>衛署藥輸字第003078號</t>
  </si>
  <si>
    <t>維元社區藥局
(BPP103000001)</t>
  </si>
  <si>
    <t>115/1/14</t>
  </si>
  <si>
    <t>E2747E1</t>
  </si>
  <si>
    <t>E2754E1</t>
  </si>
  <si>
    <t>藥代：
IMO2/IMO3</t>
  </si>
  <si>
    <t>Imovane 7.5mg</t>
  </si>
  <si>
    <t>Zopiclone 7.5mg</t>
  </si>
  <si>
    <t>018158</t>
  </si>
  <si>
    <t>賽諾菲股份有限公司</t>
  </si>
  <si>
    <t>衛署藥輸字第018158號</t>
  </si>
  <si>
    <t>115/01/10</t>
  </si>
  <si>
    <t>5M96D</t>
  </si>
  <si>
    <t>5PX2D</t>
  </si>
  <si>
    <t>115/05/03</t>
  </si>
  <si>
    <t>5PX2G</t>
  </si>
  <si>
    <t>5TM3C</t>
  </si>
  <si>
    <t>藥代：STIL/SEM</t>
  </si>
  <si>
    <t>Semi-Nax  10mg</t>
  </si>
  <si>
    <t>044463</t>
  </si>
  <si>
    <t>鼎泰藥品股份有限公司</t>
  </si>
  <si>
    <t>衛署藥製字第044463號</t>
  </si>
  <si>
    <t>7/31王麗晴</t>
  </si>
  <si>
    <t>2J5301</t>
  </si>
  <si>
    <t>2E5301</t>
  </si>
  <si>
    <t>2K5301</t>
  </si>
  <si>
    <t>2A6301</t>
  </si>
  <si>
    <t>2J5302</t>
  </si>
  <si>
    <t>藥代：CON2</t>
  </si>
  <si>
    <t>Concerta E.R 18mg</t>
  </si>
  <si>
    <t>Methylphenidate 18mg</t>
  </si>
  <si>
    <t>023731</t>
  </si>
  <si>
    <t>衛署藥輸字第023731號</t>
  </si>
  <si>
    <t>25KG125</t>
  </si>
  <si>
    <t>于陳安</t>
  </si>
  <si>
    <t>26AG392X</t>
  </si>
  <si>
    <t>115/04/19</t>
  </si>
  <si>
    <t>藥代：APO1</t>
  </si>
  <si>
    <t>Apo-Methyphenidate 10mg</t>
  </si>
  <si>
    <t>Methyphenidate 10mg</t>
  </si>
  <si>
    <t>025016</t>
  </si>
  <si>
    <t xml:space="preserve"> 鴻汶醫藥實業有限公司</t>
  </si>
  <si>
    <t>衛署藥輸字第025016號</t>
  </si>
  <si>
    <t>藥代：CON3</t>
  </si>
  <si>
    <t>Concerta E.R 36mg</t>
  </si>
  <si>
    <t>Methylphenidate 36mg</t>
  </si>
  <si>
    <t>衛署藥輸字第023880號</t>
  </si>
  <si>
    <t>25gg843</t>
  </si>
  <si>
    <t>25GG843</t>
  </si>
  <si>
    <t>嘉鏵CDP10000003</t>
  </si>
  <si>
    <t>25LG189</t>
  </si>
  <si>
    <t xml:space="preserve">藥代：ALPR4/ALP1
</t>
  </si>
  <si>
    <t>057740</t>
  </si>
  <si>
    <t>中化裕民健康事業股份有限公司</t>
  </si>
  <si>
    <t>衛署藥製字第057740號</t>
  </si>
  <si>
    <t>115/01/11</t>
  </si>
  <si>
    <t>C1230222</t>
  </si>
  <si>
    <t>115/01/25</t>
  </si>
  <si>
    <t>C1230229</t>
  </si>
  <si>
    <t>115/05/21</t>
  </si>
  <si>
    <t>C1230235</t>
  </si>
  <si>
    <t>115/07/12</t>
  </si>
  <si>
    <t>藥代：DAC2</t>
  </si>
  <si>
    <t>Dactive 10 mg</t>
  </si>
  <si>
    <t>024958</t>
  </si>
  <si>
    <t>毅有生技醫藥股份有限公司</t>
  </si>
  <si>
    <t>衛署藥輸字第024958號</t>
  </si>
  <si>
    <t>藥代：ALP2</t>
  </si>
  <si>
    <t>Alpraline 0.5mg</t>
  </si>
  <si>
    <t>044685</t>
  </si>
  <si>
    <t>衛署藥製字第044685號</t>
  </si>
  <si>
    <t>25A0109</t>
  </si>
  <si>
    <t>信東</t>
  </si>
  <si>
    <t>信東DDP08900000403</t>
  </si>
  <si>
    <t xml:space="preserve">購買    </t>
  </si>
  <si>
    <t>藥代：EUR0</t>
  </si>
  <si>
    <t>Eurodin 2mg</t>
  </si>
  <si>
    <t>012458</t>
  </si>
  <si>
    <t>台灣武田藥品工業股份有限公司</t>
  </si>
  <si>
    <t>衛署藥製字第012458號</t>
  </si>
  <si>
    <t>D078</t>
  </si>
  <si>
    <t>D084</t>
  </si>
  <si>
    <t>D087</t>
  </si>
  <si>
    <t>115/6/3</t>
  </si>
  <si>
    <t>D093</t>
  </si>
  <si>
    <t>E052</t>
  </si>
  <si>
    <t>E051</t>
  </si>
  <si>
    <t>E054</t>
  </si>
  <si>
    <t>1130104</t>
  </si>
  <si>
    <t>1130105</t>
  </si>
  <si>
    <t>1130108</t>
  </si>
  <si>
    <t>1130110</t>
  </si>
  <si>
    <t>1130113</t>
  </si>
  <si>
    <t>1130117</t>
  </si>
  <si>
    <t>1130122</t>
  </si>
  <si>
    <t>1130125</t>
  </si>
  <si>
    <t>1130130</t>
  </si>
  <si>
    <t>1130202</t>
  </si>
  <si>
    <t>1130205</t>
  </si>
  <si>
    <t>1130206</t>
  </si>
  <si>
    <t>1130208</t>
  </si>
  <si>
    <t>1130217</t>
  </si>
  <si>
    <t>1130219</t>
  </si>
  <si>
    <t>1130220</t>
  </si>
  <si>
    <t>1130222</t>
  </si>
  <si>
    <t>1130227</t>
  </si>
  <si>
    <t>113/02/27</t>
  </si>
  <si>
    <t>1130228</t>
  </si>
  <si>
    <t>1130229</t>
  </si>
  <si>
    <t>113/02/29</t>
  </si>
  <si>
    <t>1130304</t>
  </si>
  <si>
    <t>1130312</t>
  </si>
  <si>
    <t>1130313</t>
  </si>
  <si>
    <t>113/03/14</t>
  </si>
  <si>
    <t>1130315</t>
  </si>
  <si>
    <t>1130319</t>
  </si>
  <si>
    <t>1130322</t>
  </si>
  <si>
    <t>1130329</t>
  </si>
  <si>
    <t>1130401</t>
  </si>
  <si>
    <t>1130402</t>
  </si>
  <si>
    <t>1130405</t>
  </si>
  <si>
    <t>113/04/07</t>
  </si>
  <si>
    <t>1130408</t>
  </si>
  <si>
    <t>1130411</t>
  </si>
  <si>
    <t>1130412</t>
  </si>
  <si>
    <t>1130414</t>
  </si>
  <si>
    <t>1130417</t>
  </si>
  <si>
    <t>1130418</t>
  </si>
  <si>
    <t>1130423</t>
  </si>
  <si>
    <t>1130425</t>
  </si>
  <si>
    <t>113/04/24</t>
  </si>
  <si>
    <t>1130508</t>
  </si>
  <si>
    <t>1130511</t>
  </si>
  <si>
    <t>1130514</t>
  </si>
  <si>
    <t>1130515</t>
  </si>
  <si>
    <t>1130516</t>
  </si>
  <si>
    <t>1130525</t>
  </si>
  <si>
    <t>1130527</t>
  </si>
  <si>
    <t>1130529</t>
  </si>
  <si>
    <t>1130531</t>
  </si>
  <si>
    <t>1130603</t>
  </si>
  <si>
    <t>1130604</t>
  </si>
  <si>
    <t>113/05/30</t>
  </si>
  <si>
    <t>1130607</t>
  </si>
  <si>
    <t>1130611</t>
  </si>
  <si>
    <t>1130613</t>
  </si>
  <si>
    <t>1130614</t>
  </si>
  <si>
    <t>1130617</t>
  </si>
  <si>
    <t>1130618</t>
  </si>
  <si>
    <t>1130622</t>
  </si>
  <si>
    <t>1130624</t>
  </si>
  <si>
    <t>113/06/18</t>
  </si>
  <si>
    <t>1130626</t>
  </si>
  <si>
    <t>1130703</t>
  </si>
  <si>
    <t>1130705</t>
  </si>
  <si>
    <t>1130712</t>
  </si>
  <si>
    <t>113/06/26</t>
  </si>
  <si>
    <t>1130713</t>
  </si>
  <si>
    <t>1130717</t>
  </si>
  <si>
    <t>1130719</t>
  </si>
  <si>
    <t>1130720</t>
  </si>
  <si>
    <t>1130727</t>
  </si>
  <si>
    <t>1130803</t>
  </si>
  <si>
    <t>1130806</t>
  </si>
  <si>
    <t>1130808</t>
  </si>
  <si>
    <t>113/07/23</t>
  </si>
  <si>
    <t>1130810</t>
  </si>
  <si>
    <t>113/07/27</t>
  </si>
  <si>
    <t>1130813</t>
  </si>
  <si>
    <t>1130814</t>
  </si>
  <si>
    <t>1130817</t>
  </si>
  <si>
    <t>113/08/06</t>
  </si>
  <si>
    <t>1130819</t>
  </si>
  <si>
    <t>1130820</t>
  </si>
  <si>
    <t>1130826</t>
  </si>
  <si>
    <t>1130827</t>
  </si>
  <si>
    <t>1130830</t>
  </si>
  <si>
    <t>1130831</t>
  </si>
  <si>
    <t>1130906</t>
  </si>
  <si>
    <t>1130907</t>
  </si>
  <si>
    <t>1130910</t>
  </si>
  <si>
    <t>113/08/27</t>
  </si>
  <si>
    <t>1130918</t>
  </si>
  <si>
    <t>1130920</t>
  </si>
  <si>
    <t>1130921</t>
  </si>
  <si>
    <t>1130925</t>
  </si>
  <si>
    <t>1130926</t>
  </si>
  <si>
    <t>1130928</t>
  </si>
  <si>
    <t>1131007</t>
  </si>
  <si>
    <t>113/09/19</t>
  </si>
  <si>
    <t>1131009</t>
  </si>
  <si>
    <t>1131012</t>
  </si>
  <si>
    <t>113/09/21</t>
  </si>
  <si>
    <t>1131014</t>
  </si>
  <si>
    <t>113/09/22</t>
  </si>
  <si>
    <t>1131015</t>
  </si>
  <si>
    <t>113/09/26</t>
  </si>
  <si>
    <t>1131016</t>
  </si>
  <si>
    <t>1131017</t>
  </si>
  <si>
    <t>1131021</t>
  </si>
  <si>
    <t>1131022</t>
  </si>
  <si>
    <t>1131023</t>
  </si>
  <si>
    <t>113/10/14</t>
  </si>
  <si>
    <t>1131024</t>
  </si>
  <si>
    <t>113/10/17</t>
  </si>
  <si>
    <t>113/10/22</t>
  </si>
  <si>
    <t>藥代：XAN3</t>
  </si>
  <si>
    <t>Xanax XR E.R 0.5mg</t>
  </si>
  <si>
    <t>021698</t>
  </si>
  <si>
    <t>衛署藥輸字第021698號</t>
  </si>
  <si>
    <t>ML7482</t>
  </si>
  <si>
    <t>江</t>
  </si>
  <si>
    <t>ME2033</t>
  </si>
  <si>
    <t>ML7501</t>
  </si>
  <si>
    <t>ML7507</t>
  </si>
  <si>
    <t>藥代：SOTA</t>
  </si>
  <si>
    <t>Sotalon 10mg</t>
  </si>
  <si>
    <t>Zaleplon 10 mg</t>
  </si>
  <si>
    <t>049084</t>
  </si>
  <si>
    <t>瑩碩生技醫藥股份有限公司</t>
  </si>
  <si>
    <t>衛署藥製字第049084號</t>
  </si>
  <si>
    <t>藥代：RIT</t>
  </si>
  <si>
    <t>Ritalin 10mg</t>
  </si>
  <si>
    <t>Methylphenidate 10mg</t>
  </si>
  <si>
    <t>030740</t>
  </si>
  <si>
    <t>台灣諾華股份有限公司</t>
  </si>
  <si>
    <t>衛署藥製字第030740號</t>
  </si>
  <si>
    <t>藥代：ZOL2/ZOL3/ ZOLC</t>
  </si>
  <si>
    <t>Zolon 7.5mg</t>
  </si>
  <si>
    <t>046013</t>
  </si>
  <si>
    <t>衛署藥製字第046013號</t>
  </si>
  <si>
    <t>25A0508</t>
  </si>
  <si>
    <t>藥代：SIL3/SILE</t>
  </si>
  <si>
    <t>Silence 1mg</t>
  </si>
  <si>
    <t>Lorazepam 1mg</t>
  </si>
  <si>
    <t>019247</t>
  </si>
  <si>
    <t>衛署藥製字第019247號</t>
  </si>
  <si>
    <t>SRT A002</t>
  </si>
  <si>
    <t>SRT A005</t>
  </si>
  <si>
    <t>CPA103000020</t>
  </si>
  <si>
    <t>藥代：ELI</t>
  </si>
  <si>
    <t>Elinin 20mg</t>
  </si>
  <si>
    <t>Oxazolam 20mg</t>
  </si>
  <si>
    <t>031515</t>
  </si>
  <si>
    <t>羅得化學製藥股份有限公司</t>
  </si>
  <si>
    <t>衛署藥製字第031515號</t>
  </si>
  <si>
    <t>藥代：LOW0</t>
  </si>
  <si>
    <t>Lowen 0.5mg</t>
  </si>
  <si>
    <t>027849</t>
  </si>
  <si>
    <t>中國化學製藥股份有限公司新豐工廠</t>
  </si>
  <si>
    <t>衛署藥製字第027849號</t>
  </si>
  <si>
    <t>C44-0072</t>
  </si>
  <si>
    <t>C44-0073</t>
  </si>
  <si>
    <t>藥代：SYN2</t>
  </si>
  <si>
    <t>Syndoman 15mg</t>
  </si>
  <si>
    <t>Flurazepam 15mg</t>
  </si>
  <si>
    <t>042227</t>
  </si>
  <si>
    <t>衛署藥製字第042227號</t>
  </si>
  <si>
    <t>藥代：ALE1</t>
  </si>
  <si>
    <t>Alepan 15mg</t>
  </si>
  <si>
    <t>Oxazepam 15mg</t>
  </si>
  <si>
    <t>046145</t>
  </si>
  <si>
    <t>曼哈頓企業有限公司</t>
  </si>
  <si>
    <t>衛署藥製字第046145號</t>
  </si>
  <si>
    <t>N701</t>
  </si>
  <si>
    <t>藥代：LEND/LEN0</t>
  </si>
  <si>
    <t xml:space="preserve">Lendormin 0.25mg </t>
  </si>
  <si>
    <t>Brotizolam 0.25mg</t>
  </si>
  <si>
    <t>025713</t>
  </si>
  <si>
    <t>台灣百靈佳殷格翰股份有限公司</t>
  </si>
  <si>
    <t>衛署藥輸字第025713號</t>
  </si>
  <si>
    <t>Kinax 0.5mg</t>
  </si>
  <si>
    <t>042868</t>
  </si>
  <si>
    <t>健喬信元醫藥生技股份有限公司</t>
  </si>
  <si>
    <t>衛署藥製字第042686號</t>
  </si>
  <si>
    <t>健喬</t>
  </si>
  <si>
    <t>藥代：XAN4</t>
  </si>
  <si>
    <t>Xanax 0.25mg</t>
  </si>
  <si>
    <t>Alprazolam 0.25mg</t>
  </si>
  <si>
    <t>021234</t>
  </si>
  <si>
    <t>衛署藥輸字第021234號</t>
  </si>
  <si>
    <t>ME2473</t>
  </si>
  <si>
    <t>藥代：DAL</t>
  </si>
  <si>
    <t>Dalmadorm 30mg</t>
  </si>
  <si>
    <t>Flurazepam 30mg</t>
  </si>
  <si>
    <t>036677</t>
  </si>
  <si>
    <t>新加坡商美納里尼醫藥有限公司台灣分公司</t>
  </si>
  <si>
    <t>衛署藥製字第036677號</t>
  </si>
  <si>
    <t>藥代：LEX1</t>
  </si>
  <si>
    <t>Lexotan 1.5mg</t>
  </si>
  <si>
    <t>Bromazepam 1.5mg</t>
  </si>
  <si>
    <t>004459</t>
  </si>
  <si>
    <t>衛署藥輸字第004459號</t>
  </si>
  <si>
    <t>藥代：SEC/SEC1</t>
  </si>
  <si>
    <t>Secorin 10mg</t>
  </si>
  <si>
    <t>028649</t>
  </si>
  <si>
    <t xml:space="preserve">生達化學製藥股份有限公司     </t>
  </si>
  <si>
    <t>衛署藥製字第028649號</t>
  </si>
  <si>
    <t>TS150281</t>
  </si>
  <si>
    <t>TS150283</t>
  </si>
  <si>
    <t>藥代：STI2</t>
  </si>
  <si>
    <t>Stilnox C.R 6.25 mg</t>
  </si>
  <si>
    <t>Zolpidem 6.25mg</t>
  </si>
  <si>
    <t>024677</t>
  </si>
  <si>
    <t>衛署藥輸字第024677號</t>
  </si>
  <si>
    <t>KT1869</t>
  </si>
  <si>
    <t>LT0445</t>
  </si>
  <si>
    <t>藥代：GEN4</t>
  </si>
  <si>
    <t>Gendergin S.R 1mg</t>
  </si>
  <si>
    <t>Alprazolam 1mg</t>
  </si>
  <si>
    <t>044011</t>
  </si>
  <si>
    <t>健亞生物科技股份有限公司</t>
  </si>
  <si>
    <t>衛署藥製字第044011號</t>
  </si>
  <si>
    <t>藥代：ANX9</t>
  </si>
  <si>
    <t>ANXIEDIN 1MG</t>
  </si>
  <si>
    <t>LORAZEPAM 1.000MG</t>
  </si>
  <si>
    <t>024885</t>
  </si>
  <si>
    <t>衛署藥輸字第024885號</t>
  </si>
  <si>
    <t>HK257</t>
  </si>
  <si>
    <t>HK256</t>
  </si>
  <si>
    <t>HK331</t>
  </si>
  <si>
    <t>HK263</t>
  </si>
  <si>
    <t>HK332</t>
  </si>
  <si>
    <t>HL009</t>
  </si>
  <si>
    <t>HL075</t>
  </si>
  <si>
    <t>藥代：DIA8</t>
  </si>
  <si>
    <t xml:space="preserve">Diapine 2mg </t>
  </si>
  <si>
    <t>004875</t>
  </si>
  <si>
    <t>內衛藥製字第004875號</t>
  </si>
  <si>
    <t>藥代：PHE</t>
  </si>
  <si>
    <t>Phenobarbital 30mg</t>
  </si>
  <si>
    <t>001736</t>
  </si>
  <si>
    <t>應元化學製藥股份有限公司</t>
  </si>
  <si>
    <t>內衛藥製字第013419號</t>
  </si>
  <si>
    <t>藥代：KIN2/KIN5</t>
  </si>
  <si>
    <t>Kinzolam 2mg</t>
  </si>
  <si>
    <t>044029</t>
  </si>
  <si>
    <t>衛署藥製字第044029號</t>
  </si>
  <si>
    <t>C64-0045</t>
  </si>
  <si>
    <t>C64-0046</t>
  </si>
  <si>
    <t>C64-0048</t>
  </si>
  <si>
    <t>藥代：ALPR3</t>
  </si>
  <si>
    <t>Vanipen 0.5mg</t>
  </si>
  <si>
    <t>044546</t>
  </si>
  <si>
    <t>衛署藥製字第044546號</t>
  </si>
  <si>
    <t>藥代：GEN5/GENA</t>
  </si>
  <si>
    <t>Genclone 7.5mg</t>
  </si>
  <si>
    <t>A043460</t>
  </si>
  <si>
    <t>衛署藥字製第043460號</t>
  </si>
  <si>
    <t>BEA791</t>
  </si>
  <si>
    <t>BEG601</t>
  </si>
  <si>
    <t>BEL531</t>
  </si>
  <si>
    <t>藥代：CAL4</t>
  </si>
  <si>
    <t>Calmday 5mg</t>
  </si>
  <si>
    <t>Nordazepam 5mg</t>
  </si>
  <si>
    <t>016477</t>
  </si>
  <si>
    <t>吉富貿易有限公司</t>
  </si>
  <si>
    <t>衛署藥輸字第016477號</t>
  </si>
  <si>
    <t>藥代：</t>
  </si>
  <si>
    <t>藥代：ANX1</t>
  </si>
  <si>
    <t>Anxiedin 0.5mg</t>
  </si>
  <si>
    <t>024463</t>
  </si>
  <si>
    <t>優良化學製藥股份有限公司</t>
  </si>
  <si>
    <t>衛署藥製字第024463號</t>
  </si>
  <si>
    <t>HK112</t>
  </si>
  <si>
    <t>藥代：ERA-4 /ERI</t>
  </si>
  <si>
    <t>Erispan-S 0.25mg</t>
  </si>
  <si>
    <t>A046729</t>
  </si>
  <si>
    <t>衛署藥製字第046729號</t>
  </si>
  <si>
    <t>TE230104</t>
  </si>
  <si>
    <t>生達PDP09300000303</t>
  </si>
  <si>
    <t>TE230105</t>
  </si>
  <si>
    <t>TE230108</t>
  </si>
  <si>
    <t>TE230109</t>
  </si>
  <si>
    <t>PDP09300000304</t>
  </si>
  <si>
    <t>藥代：DUP0</t>
  </si>
  <si>
    <t>Dupin 5mg</t>
  </si>
  <si>
    <t>Diazepam  5mg</t>
  </si>
  <si>
    <t>010468</t>
  </si>
  <si>
    <t>內衛藥製字第010468號</t>
  </si>
  <si>
    <t>藥代：CON6</t>
  </si>
  <si>
    <t>Concerta E.R 27mg</t>
  </si>
  <si>
    <t>Methylphenidate 27mg</t>
  </si>
  <si>
    <t>023999</t>
  </si>
  <si>
    <t>衛署藥輸字第023999號</t>
  </si>
  <si>
    <t>藥代：ZIP/ZOL1/ZIP1</t>
  </si>
  <si>
    <t>Zipsoon 10mg</t>
  </si>
  <si>
    <t>046563</t>
  </si>
  <si>
    <t>盈盈生技製藥股份有限公司三峽廠</t>
  </si>
  <si>
    <t>衛署藥製字第046563號</t>
  </si>
  <si>
    <t>TZ030289</t>
  </si>
  <si>
    <t>藥代：ZOL7</t>
  </si>
  <si>
    <t>Zoldem 10mg</t>
  </si>
  <si>
    <t>023735</t>
  </si>
  <si>
    <t>衛署藥輸字第023735號</t>
  </si>
  <si>
    <t>藥代：ZOPI</t>
  </si>
  <si>
    <t>Zopidem 10MG</t>
  </si>
  <si>
    <t>044826</t>
  </si>
  <si>
    <t>生達化學製藥股份有限公司</t>
  </si>
  <si>
    <t>藥代：ULTR2/TRA3</t>
  </si>
  <si>
    <t>Traceton 37.5mg</t>
  </si>
  <si>
    <t>056706</t>
  </si>
  <si>
    <t>TDTT026</t>
  </si>
  <si>
    <t>TDTT029</t>
  </si>
  <si>
    <t>TDTT032</t>
  </si>
  <si>
    <t>TDTT035</t>
  </si>
  <si>
    <t>TDTA006</t>
  </si>
  <si>
    <t>藥代：DAL1</t>
  </si>
  <si>
    <t xml:space="preserve">Dalmadorm 15mg </t>
  </si>
  <si>
    <t>036679</t>
  </si>
  <si>
    <t>歐帕生技醫藥股份有限公司</t>
  </si>
  <si>
    <t>藥代：MUA0</t>
  </si>
  <si>
    <t xml:space="preserve">Muaction S.R 100mg </t>
  </si>
  <si>
    <t>tramadol 100mg</t>
  </si>
  <si>
    <t>042770</t>
  </si>
  <si>
    <t>美時化學製藥股份有限公司南投廠</t>
  </si>
  <si>
    <t>藥代：DORM</t>
  </si>
  <si>
    <t>Dormicum 7.5mg</t>
  </si>
  <si>
    <t>Midazolam 7.5mg</t>
  </si>
  <si>
    <t>017577</t>
  </si>
  <si>
    <t>E0309E1</t>
  </si>
  <si>
    <t>E03011E1</t>
  </si>
  <si>
    <t>E0322E1</t>
  </si>
  <si>
    <t>E0323E1</t>
  </si>
  <si>
    <t>藥代：TAEE</t>
  </si>
  <si>
    <t>Taee S.C 5mg</t>
  </si>
  <si>
    <t>Chlordiazepoxide 5mg</t>
  </si>
  <si>
    <t>001503</t>
  </si>
  <si>
    <t>藥代：ALE2</t>
  </si>
  <si>
    <t>Alepam 15mg</t>
  </si>
  <si>
    <t>018425</t>
  </si>
  <si>
    <t xml:space="preserve">海喬國際股份有限公司 </t>
  </si>
  <si>
    <t>藥代：DIP7</t>
  </si>
  <si>
    <t>Dipoxido 10mg</t>
  </si>
  <si>
    <t>Chlordiazepoxide 10mg</t>
  </si>
  <si>
    <t>005038</t>
  </si>
  <si>
    <t>內衛藥製字第005038號</t>
  </si>
  <si>
    <t>藥代：BRO7/BROAN</t>
  </si>
  <si>
    <t>Bropan 3mg</t>
  </si>
  <si>
    <t>029503</t>
  </si>
  <si>
    <t>政德製藥股份有限公司</t>
  </si>
  <si>
    <t>購入</t>
  </si>
  <si>
    <t>TK5044</t>
  </si>
  <si>
    <t>藥代：TRA4</t>
  </si>
  <si>
    <t>Tramacet 37.5mg</t>
  </si>
  <si>
    <t>057779</t>
  </si>
  <si>
    <t>五洲製藥股份有限公司</t>
  </si>
  <si>
    <t>藥代：LAR0</t>
  </si>
  <si>
    <t>Larpam 2mg</t>
  </si>
  <si>
    <t>Lorazepam 2mg</t>
  </si>
  <si>
    <t>033929</t>
  </si>
  <si>
    <t>世達藥品工業股份有限公司</t>
  </si>
  <si>
    <t>藥代：CAM1</t>
  </si>
  <si>
    <t>Camadol 50mg</t>
  </si>
  <si>
    <t>Tramadol 50mg</t>
  </si>
  <si>
    <t>043597</t>
  </si>
  <si>
    <t>旭能醫藥生技股份有限公司</t>
  </si>
  <si>
    <t>藥代：TRA6</t>
  </si>
  <si>
    <t>Tramed 50mg</t>
  </si>
  <si>
    <t>043824</t>
  </si>
  <si>
    <t>瑞士藥廠股份有限公司新市廠</t>
  </si>
  <si>
    <t>藥代：SEA0</t>
  </si>
  <si>
    <t>Seanto 10mg</t>
  </si>
  <si>
    <t>031295</t>
  </si>
  <si>
    <t>國嘉製藥工業股份有限公司幼獅三廠</t>
  </si>
  <si>
    <t>藥代：ALPR6</t>
  </si>
  <si>
    <t>Aprazo 0.5mg</t>
  </si>
  <si>
    <t>045070</t>
  </si>
  <si>
    <t>E523</t>
  </si>
  <si>
    <t>E682</t>
  </si>
  <si>
    <t>F016</t>
  </si>
  <si>
    <t>F018</t>
  </si>
  <si>
    <t>F067</t>
  </si>
  <si>
    <t>F069</t>
  </si>
  <si>
    <t>F070</t>
  </si>
  <si>
    <t>藥代：ZOL61/ZOLB</t>
  </si>
  <si>
    <t>Zolnox 10mg</t>
  </si>
  <si>
    <t>044605</t>
  </si>
  <si>
    <t>FS-04-18</t>
  </si>
  <si>
    <t>FU-30-20</t>
  </si>
  <si>
    <t>FV-01-23</t>
  </si>
  <si>
    <t>GK-02-02</t>
  </si>
  <si>
    <t>藥代：CLO4/CLO6</t>
  </si>
  <si>
    <t>Clonopam 2mg</t>
  </si>
  <si>
    <t>045345</t>
  </si>
  <si>
    <t>榮民製藥股份有限公司</t>
  </si>
  <si>
    <t>2KC50</t>
  </si>
  <si>
    <t>2KC51</t>
  </si>
  <si>
    <t>藥代：RIT1</t>
  </si>
  <si>
    <t>027080</t>
  </si>
  <si>
    <t xml:space="preserve"> 台灣諾華股份有限公司</t>
  </si>
  <si>
    <t>至基隆市衛生局辦理銷毀</t>
  </si>
  <si>
    <t>基衛食藥壹字第1140005650號</t>
  </si>
  <si>
    <t>藥代：FRI</t>
  </si>
  <si>
    <t>Frisium 10mg</t>
  </si>
  <si>
    <t>Clobazam 10mg</t>
  </si>
  <si>
    <t>023071</t>
  </si>
  <si>
    <t>藥代：TRA7</t>
  </si>
  <si>
    <t>Tramadol Sandoz Uno 200mg</t>
  </si>
  <si>
    <t>Tramadol  200mg</t>
  </si>
  <si>
    <t>024340</t>
  </si>
  <si>
    <t>藥代：SYNA</t>
  </si>
  <si>
    <t>Syndoman 30mg</t>
  </si>
  <si>
    <t>042222</t>
  </si>
  <si>
    <t>藥代：LOR2</t>
  </si>
  <si>
    <t>Lorazin 1mg</t>
  </si>
  <si>
    <t>藥代：RIT2</t>
  </si>
  <si>
    <t>Ritalin LA 20mg</t>
  </si>
  <si>
    <t>Methylphenidate 20mg</t>
  </si>
  <si>
    <t>025333</t>
  </si>
  <si>
    <t>A0AW8E</t>
  </si>
  <si>
    <t>孫翊皓H127731566</t>
  </si>
  <si>
    <t>藥代：OPI</t>
  </si>
  <si>
    <t>Opicet 37.5mg</t>
  </si>
  <si>
    <t>058168</t>
  </si>
  <si>
    <t>藥代：STA2</t>
  </si>
  <si>
    <t>Stapam 0.5mg</t>
  </si>
  <si>
    <t>022111</t>
  </si>
  <si>
    <t>生達化學製藥股份有限公司二廠</t>
  </si>
  <si>
    <t>藥代：RIP</t>
  </si>
  <si>
    <t>Ripam 0.5mg</t>
  </si>
  <si>
    <t>058017</t>
  </si>
  <si>
    <t>中生生技製藥股份有限公司淡水廠</t>
  </si>
  <si>
    <t>S1436</t>
  </si>
  <si>
    <t>藥代：RIT4</t>
  </si>
  <si>
    <t>Ritalin LA 40mg</t>
  </si>
  <si>
    <t>Methylphenidate 40mg</t>
  </si>
  <si>
    <t>025335</t>
  </si>
  <si>
    <t>衛署藥輸字第025335號</t>
  </si>
  <si>
    <t>藥代：FAL</t>
  </si>
  <si>
    <t>Fallep 2mg</t>
  </si>
  <si>
    <t>048472</t>
  </si>
  <si>
    <t>藥代：UTR</t>
  </si>
  <si>
    <t>Utraphen 37.5mg</t>
  </si>
  <si>
    <t>057777</t>
  </si>
  <si>
    <t>TU020527</t>
  </si>
  <si>
    <t>TU020575</t>
  </si>
  <si>
    <t>藥代：BRO6/BROMA3</t>
  </si>
  <si>
    <t>Bromazin 3mg</t>
  </si>
  <si>
    <t>026080</t>
  </si>
  <si>
    <t>藥代：ANX8</t>
  </si>
  <si>
    <t>Anxicam 2mg</t>
  </si>
  <si>
    <t>ANHA57</t>
  </si>
  <si>
    <t xml:space="preserve">藥代：ALPR/ALPR寶
</t>
  </si>
  <si>
    <t>Alpragin 2mg</t>
  </si>
  <si>
    <t>Alprazolam 2mg</t>
  </si>
  <si>
    <t>寶齡富錦生技股份有限公司平鎮廠</t>
  </si>
  <si>
    <t>藥代：MOD3</t>
  </si>
  <si>
    <t>Modipanol 1mg</t>
  </si>
  <si>
    <t>Flunitrazepam 1mg</t>
  </si>
  <si>
    <t>MDFB90</t>
  </si>
  <si>
    <t>游東森C121511467</t>
  </si>
  <si>
    <t>藥代：METH</t>
  </si>
  <si>
    <t>Methydur S.R 22mg</t>
  </si>
  <si>
    <t>Methylphenidate 22mg</t>
  </si>
  <si>
    <t>60165</t>
  </si>
  <si>
    <t>友霖生技醫藥股份有限公司</t>
  </si>
  <si>
    <t>藥代：NAR1</t>
  </si>
  <si>
    <t>Nargin 5mg</t>
  </si>
  <si>
    <t>十全實業股份有限公司</t>
  </si>
  <si>
    <t>衛署藥製字第055108號</t>
  </si>
  <si>
    <t>藥代：ESO1</t>
  </si>
  <si>
    <t>Esomin 2mg</t>
  </si>
  <si>
    <t>培力藥品工業股份有限公司</t>
  </si>
  <si>
    <t>衛署藥製字第043499號</t>
  </si>
  <si>
    <t>藥代：SON2</t>
  </si>
  <si>
    <t>Sonaplon 2mg</t>
  </si>
  <si>
    <t>zaleplon 2mg</t>
  </si>
  <si>
    <t>049423</t>
  </si>
  <si>
    <t>鼎泰</t>
  </si>
  <si>
    <t>衛部藥製字第049423號</t>
  </si>
  <si>
    <t>藥代：U-C1</t>
  </si>
  <si>
    <t>衛署藥製字第045279號</t>
  </si>
  <si>
    <t>井田(HFP10100000301)</t>
  </si>
  <si>
    <t>藥代：EPI21</t>
  </si>
  <si>
    <t>Chlordiazepoxide 5mg 及其他複方</t>
  </si>
  <si>
    <t>033157</t>
  </si>
  <si>
    <t>井田國際醫藥廠</t>
  </si>
  <si>
    <t>衛署藥製字第033157號</t>
  </si>
  <si>
    <t>022P01</t>
  </si>
  <si>
    <t>井田</t>
  </si>
  <si>
    <t>藥代：FLUI</t>
  </si>
  <si>
    <t>FLUZEPAM 2MG復爾靜</t>
  </si>
  <si>
    <t>FLUNITRAZEPAM 2MG</t>
  </si>
  <si>
    <t>TF5172</t>
  </si>
  <si>
    <t>吳亭潔</t>
  </si>
  <si>
    <t>TK5032</t>
  </si>
  <si>
    <t>吳亭潔A228272196</t>
  </si>
  <si>
    <t>TB6242</t>
  </si>
  <si>
    <t>藥代：METJ</t>
  </si>
  <si>
    <t xml:space="preserve">管 制 藥 品 收 支 結 存 簿 冊 </t>
  </si>
  <si>
    <t>思有得持續性</t>
  </si>
  <si>
    <t>METHYLPENIDATE HCL 33MG</t>
  </si>
  <si>
    <t>060152</t>
  </si>
  <si>
    <t>友霖生技醫藥股份有限</t>
  </si>
  <si>
    <t>M072049</t>
  </si>
  <si>
    <t>陳顗丞F134655819</t>
  </si>
  <si>
    <t>M072051</t>
  </si>
  <si>
    <t xml:space="preserve">【 醫療機構、藥局 】(第  級管制藥品)                            </t>
  </si>
  <si>
    <t>藥代：WON</t>
  </si>
  <si>
    <t>Wontran ER 保寧緩視錠</t>
  </si>
  <si>
    <t>Tramadol HCL 75mg</t>
  </si>
  <si>
    <t>衛署藥製字第號</t>
  </si>
  <si>
    <t>藥代：DGEP3</t>
  </si>
  <si>
    <t>019360</t>
  </si>
  <si>
    <t>藥代：LEY</t>
  </si>
  <si>
    <t>ZOLPIDEM TARTRATE 10mg</t>
  </si>
  <si>
    <t>國嘉</t>
  </si>
  <si>
    <t>衛署藥製字第A058535號</t>
  </si>
  <si>
    <t>methylphenidate hydrochloride 10mg</t>
  </si>
  <si>
    <t>諾華</t>
  </si>
  <si>
    <t>衛署藥輸字第A025332號</t>
  </si>
  <si>
    <t>兆宇CDA112000002</t>
  </si>
  <si>
    <t>吳席崶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</si>
</sst>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04]e&quot;/&quot;mm&quot;/&quot;dd;@"/>
    <numFmt numFmtId="177" formatCode="m&quot;月&quot;d&quot;日&quot;"/>
    <numFmt numFmtId="178" formatCode="yyyy\-mm"/>
    <numFmt numFmtId="179" formatCode="00000"/>
    <numFmt numFmtId="180" formatCode="mm\-yy"/>
  </numFmts>
  <fonts count="7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新細明體"/>
      <family val="1"/>
      <charset val="136"/>
    </font>
    <font>
      <sz val="14"/>
      <name val="標楷體"/>
      <family val="4"/>
      <charset val="136"/>
    </font>
    <font>
      <sz val="16"/>
      <name val="標楷體"/>
      <family val="4"/>
      <charset val="136"/>
    </font>
    <font>
      <sz val="16"/>
      <name val="新細明體"/>
      <family val="1"/>
      <charset val="136"/>
    </font>
    <font>
      <b/>
      <sz val="16"/>
      <name val="標楷體"/>
      <family val="4"/>
      <charset val="136"/>
    </font>
    <font>
      <sz val="16"/>
      <color indexed="10"/>
      <name val="標楷體"/>
      <family val="4"/>
      <charset val="136"/>
    </font>
    <font>
      <u/>
      <sz val="14"/>
      <color theme="1"/>
      <name val="標楷體"/>
      <family val="4"/>
      <charset val="136"/>
    </font>
    <font>
      <sz val="22"/>
      <name val="標楷體"/>
      <family val="4"/>
      <charset val="136"/>
    </font>
    <font>
      <sz val="24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2"/>
      <color theme="1"/>
      <name val="標楷體"/>
      <family val="4"/>
      <charset val="136"/>
    </font>
    <font>
      <u/>
      <sz val="12"/>
      <color indexed="1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name val="標楷體"/>
      <family val="4"/>
      <charset val="136"/>
    </font>
    <font>
      <sz val="13"/>
      <name val="標楷體"/>
      <family val="4"/>
      <charset val="136"/>
    </font>
    <font>
      <u/>
      <sz val="13"/>
      <color theme="1"/>
      <name val="標楷體"/>
      <family val="4"/>
      <charset val="136"/>
    </font>
    <font>
      <sz val="12"/>
      <color indexed="10"/>
      <name val="標楷體"/>
      <family val="4"/>
      <charset val="136"/>
    </font>
    <font>
      <sz val="9"/>
      <name val="標楷體"/>
      <family val="4"/>
      <charset val="136"/>
    </font>
    <font>
      <u/>
      <sz val="12"/>
      <color theme="1"/>
      <name val="標楷體"/>
      <family val="4"/>
      <charset val="136"/>
    </font>
    <font>
      <sz val="8"/>
      <name val="標楷體"/>
      <family val="4"/>
      <charset val="136"/>
    </font>
    <font>
      <sz val="11"/>
      <name val="新細明體"/>
      <family val="1"/>
      <charset val="136"/>
    </font>
    <font>
      <sz val="11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b/>
      <sz val="12"/>
      <color theme="1"/>
      <name val="新細明體"/>
      <family val="1"/>
      <charset val="136"/>
      <scheme val="minor"/>
    </font>
    <font>
      <sz val="9"/>
      <color indexed="10"/>
      <name val="標楷體"/>
      <family val="4"/>
      <charset val="136"/>
    </font>
    <font>
      <sz val="9"/>
      <color theme="1"/>
      <name val="標楷體"/>
      <family val="4"/>
      <charset val="136"/>
    </font>
    <font>
      <sz val="12"/>
      <color theme="1"/>
      <name val="Courier New"/>
      <family val="3"/>
    </font>
    <font>
      <sz val="12"/>
      <color theme="1"/>
      <name val="細明體"/>
      <family val="3"/>
      <charset val="136"/>
    </font>
    <font>
      <sz val="12"/>
      <color theme="1"/>
      <name val="Courier New"/>
      <family val="3"/>
    </font>
    <font>
      <sz val="10"/>
      <color indexed="1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theme="1"/>
      <name val="細明體"/>
      <family val="3"/>
      <charset val="136"/>
    </font>
    <font>
      <sz val="12"/>
      <color rgb="FFFF0000"/>
      <name val="細明體"/>
      <family val="3"/>
      <charset val="136"/>
    </font>
    <font>
      <sz val="16"/>
      <name val="Courier New"/>
      <family val="3"/>
    </font>
    <font>
      <sz val="16"/>
      <color theme="1"/>
      <name val="Courier New"/>
      <family val="3"/>
    </font>
    <font>
      <strike/>
      <sz val="16"/>
      <color theme="1"/>
      <name val="Courier New"/>
      <family val="3"/>
    </font>
    <font>
      <sz val="10"/>
      <name val="新細明體"/>
      <family val="1"/>
      <charset val="136"/>
    </font>
    <font>
      <sz val="10"/>
      <color theme="1"/>
      <name val="新細明體"/>
      <family val="2"/>
      <charset val="136"/>
      <scheme val="minor"/>
    </font>
    <font>
      <strike/>
      <u/>
      <sz val="12"/>
      <color indexed="12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0"/>
      <name val="Microsoft JhengHei"/>
      <family val="4"/>
      <charset val="136"/>
    </font>
    <font>
      <sz val="16"/>
      <name val="Microsoft JhengHei"/>
      <family val="4"/>
      <charset val="136"/>
    </font>
    <font>
      <sz val="8"/>
      <name val="Microsoft JhengHei"/>
      <family val="2"/>
      <charset val="136"/>
    </font>
    <font>
      <sz val="16"/>
      <name val="Microsoft JhengHei"/>
      <family val="3"/>
    </font>
    <font>
      <sz val="9"/>
      <color theme="1" tint="4.9989318521683403E-2"/>
      <name val="標楷體"/>
      <family val="4"/>
      <charset val="136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5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8FAADC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1" fillId="0" borderId="0"/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3" fillId="12" borderId="0">
      <alignment vertical="center"/>
    </xf>
    <xf numFmtId="0" fontId="3" fillId="9" borderId="0">
      <alignment vertical="center"/>
    </xf>
    <xf numFmtId="0" fontId="3" fillId="10" borderId="0">
      <alignment vertical="center"/>
    </xf>
    <xf numFmtId="0" fontId="3" fillId="13" borderId="0">
      <alignment vertical="center"/>
    </xf>
    <xf numFmtId="0" fontId="3" fillId="14" borderId="0">
      <alignment vertical="center"/>
    </xf>
    <xf numFmtId="0" fontId="3" fillId="15" borderId="0">
      <alignment vertical="center"/>
    </xf>
    <xf numFmtId="0" fontId="4" fillId="16" borderId="0">
      <alignment vertical="center"/>
    </xf>
    <xf numFmtId="0" fontId="5" fillId="0" borderId="1">
      <alignment vertical="center"/>
    </xf>
    <xf numFmtId="0" fontId="6" fillId="4" borderId="0">
      <alignment vertical="center"/>
    </xf>
    <xf numFmtId="0" fontId="7" fillId="17" borderId="2">
      <alignment vertical="center"/>
    </xf>
    <xf numFmtId="0" fontId="8" fillId="0" borderId="3">
      <alignment vertical="center"/>
    </xf>
    <xf numFmtId="0" fontId="1" fillId="18" borderId="4">
      <alignment vertical="center"/>
    </xf>
    <xf numFmtId="0" fontId="9" fillId="0" borderId="0">
      <alignment vertical="top"/>
      <protection locked="0"/>
    </xf>
    <xf numFmtId="0" fontId="10" fillId="0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13" borderId="0">
      <alignment vertical="center"/>
    </xf>
    <xf numFmtId="0" fontId="3" fillId="14" borderId="0">
      <alignment vertical="center"/>
    </xf>
    <xf numFmtId="0" fontId="3" fillId="22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7" borderId="2">
      <alignment vertical="center"/>
    </xf>
    <xf numFmtId="0" fontId="16" fillId="17" borderId="8">
      <alignment vertical="center"/>
    </xf>
    <xf numFmtId="0" fontId="17" fillId="23" borderId="9">
      <alignment vertical="center"/>
    </xf>
    <xf numFmtId="0" fontId="18" fillId="3" borderId="0">
      <alignment vertical="center"/>
    </xf>
    <xf numFmtId="0" fontId="19" fillId="0" borderId="0">
      <alignment vertical="center"/>
    </xf>
  </cellStyleXfs>
  <cellXfs count="340">
    <xf numFmtId="0" fontId="0" fillId="0" borderId="0" xfId="0">
      <alignment vertical="center"/>
    </xf>
    <xf numFmtId="0" fontId="1" fillId="0" borderId="0" xfId="1"/>
    <xf numFmtId="0" fontId="21" fillId="0" borderId="10" xfId="1" applyFont="1" applyBorder="1" applyAlignment="1">
      <alignment horizontal="center" vertical="center"/>
    </xf>
    <xf numFmtId="0" fontId="1" fillId="0" borderId="10" xfId="1" applyBorder="1"/>
    <xf numFmtId="0" fontId="1" fillId="0" borderId="10" xfId="1" applyBorder="1" applyAlignment="1">
      <alignment horizontal="center"/>
    </xf>
    <xf numFmtId="0" fontId="1" fillId="0" borderId="10" xfId="1" applyBorder="1" applyAlignment="1">
      <alignment horizontal="right"/>
    </xf>
    <xf numFmtId="0" fontId="23" fillId="0" borderId="10" xfId="1" applyFont="1" applyBorder="1" applyAlignment="1">
      <alignment horizontal="center" vertical="top" wrapText="1"/>
    </xf>
    <xf numFmtId="0" fontId="23" fillId="0" borderId="10" xfId="1" applyFont="1" applyBorder="1" applyAlignment="1">
      <alignment vertical="top" wrapText="1"/>
    </xf>
    <xf numFmtId="0" fontId="25" fillId="0" borderId="10" xfId="1" applyFont="1" applyBorder="1" applyAlignment="1">
      <alignment horizontal="left" vertical="top" wrapText="1"/>
    </xf>
    <xf numFmtId="0" fontId="23" fillId="0" borderId="10" xfId="1" applyFont="1" applyBorder="1"/>
    <xf numFmtId="0" fontId="24" fillId="0" borderId="10" xfId="1" applyFont="1" applyBorder="1"/>
    <xf numFmtId="0" fontId="23" fillId="0" borderId="11" xfId="1" applyFont="1" applyBorder="1" applyAlignment="1">
      <alignment vertical="top" wrapText="1"/>
    </xf>
    <xf numFmtId="0" fontId="1" fillId="0" borderId="12" xfId="1" applyBorder="1"/>
    <xf numFmtId="176" fontId="23" fillId="0" borderId="10" xfId="1" applyNumberFormat="1" applyFont="1" applyBorder="1" applyAlignment="1">
      <alignment horizontal="center" vertical="top" wrapText="1"/>
    </xf>
    <xf numFmtId="176" fontId="23" fillId="0" borderId="10" xfId="1" applyNumberFormat="1" applyFont="1" applyBorder="1"/>
    <xf numFmtId="176" fontId="23" fillId="0" borderId="10" xfId="1" applyNumberFormat="1" applyFont="1" applyBorder="1" applyAlignment="1">
      <alignment horizontal="right"/>
    </xf>
    <xf numFmtId="0" fontId="26" fillId="0" borderId="10" xfId="1" applyFont="1" applyBorder="1" applyAlignment="1">
      <alignment vertical="top" wrapText="1"/>
    </xf>
    <xf numFmtId="0" fontId="22" fillId="0" borderId="10" xfId="1" applyFont="1" applyBorder="1" applyAlignment="1">
      <alignment horizontal="center" vertical="center" wrapText="1"/>
    </xf>
    <xf numFmtId="0" fontId="21" fillId="0" borderId="12" xfId="1" applyFont="1" applyBorder="1" applyAlignment="1">
      <alignment horizontal="left" vertical="center"/>
    </xf>
    <xf numFmtId="0" fontId="1" fillId="0" borderId="12" xfId="1" applyBorder="1" applyAlignment="1">
      <alignment horizontal="left"/>
    </xf>
    <xf numFmtId="176" fontId="23" fillId="0" borderId="13" xfId="1" applyNumberFormat="1" applyFont="1" applyBorder="1" applyAlignment="1">
      <alignment horizontal="center" vertical="top" wrapText="1"/>
    </xf>
    <xf numFmtId="0" fontId="23" fillId="0" borderId="13" xfId="1" applyFont="1" applyBorder="1" applyAlignment="1">
      <alignment horizontal="center" vertical="top" wrapText="1"/>
    </xf>
    <xf numFmtId="0" fontId="23" fillId="0" borderId="13" xfId="1" applyFont="1" applyBorder="1" applyAlignment="1">
      <alignment vertical="top" wrapText="1"/>
    </xf>
    <xf numFmtId="176" fontId="22" fillId="0" borderId="15" xfId="1" applyNumberFormat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176" fontId="23" fillId="0" borderId="15" xfId="1" applyNumberFormat="1" applyFont="1" applyBorder="1" applyAlignment="1">
      <alignment horizontal="center" vertical="top" wrapText="1"/>
    </xf>
    <xf numFmtId="0" fontId="23" fillId="0" borderId="16" xfId="1" applyFont="1" applyBorder="1" applyAlignment="1">
      <alignment vertical="top" wrapText="1"/>
    </xf>
    <xf numFmtId="0" fontId="23" fillId="0" borderId="16" xfId="1" applyFont="1" applyBorder="1" applyAlignment="1">
      <alignment horizontal="center" vertical="center" wrapText="1"/>
    </xf>
    <xf numFmtId="0" fontId="26" fillId="0" borderId="16" xfId="1" applyFont="1" applyBorder="1" applyAlignment="1">
      <alignment vertical="top" wrapText="1"/>
    </xf>
    <xf numFmtId="176" fontId="23" fillId="0" borderId="17" xfId="1" applyNumberFormat="1" applyFont="1" applyBorder="1" applyAlignment="1">
      <alignment horizontal="center" vertical="top" wrapText="1"/>
    </xf>
    <xf numFmtId="0" fontId="23" fillId="0" borderId="18" xfId="1" applyFont="1" applyBorder="1" applyAlignment="1">
      <alignment horizontal="center" vertical="top" wrapText="1"/>
    </xf>
    <xf numFmtId="0" fontId="23" fillId="0" borderId="18" xfId="1" applyFont="1" applyBorder="1" applyAlignment="1">
      <alignment vertical="top" wrapText="1"/>
    </xf>
    <xf numFmtId="0" fontId="23" fillId="0" borderId="19" xfId="1" applyFont="1" applyBorder="1" applyAlignment="1">
      <alignment vertical="top" wrapText="1"/>
    </xf>
    <xf numFmtId="0" fontId="20" fillId="24" borderId="28" xfId="1" applyFont="1" applyFill="1" applyBorder="1" applyAlignment="1">
      <alignment horizontal="left" wrapText="1"/>
    </xf>
    <xf numFmtId="49" fontId="1" fillId="0" borderId="10" xfId="1" applyNumberFormat="1" applyBorder="1" applyAlignment="1">
      <alignment horizontal="center"/>
    </xf>
    <xf numFmtId="0" fontId="20" fillId="0" borderId="16" xfId="1" applyFont="1" applyBorder="1" applyAlignment="1">
      <alignment horizontal="center" vertical="center" wrapText="1"/>
    </xf>
    <xf numFmtId="0" fontId="20" fillId="24" borderId="26" xfId="1" applyFont="1" applyFill="1" applyBorder="1" applyAlignment="1">
      <alignment horizontal="left" wrapText="1"/>
    </xf>
    <xf numFmtId="0" fontId="31" fillId="0" borderId="16" xfId="1" applyFont="1" applyBorder="1" applyAlignment="1">
      <alignment horizontal="center" vertical="center" wrapText="1"/>
    </xf>
    <xf numFmtId="0" fontId="20" fillId="0" borderId="10" xfId="1" applyFont="1" applyBorder="1" applyAlignment="1">
      <alignment horizontal="center" vertical="center" wrapText="1"/>
    </xf>
    <xf numFmtId="176" fontId="20" fillId="0" borderId="15" xfId="1" applyNumberFormat="1" applyFont="1" applyBorder="1" applyAlignment="1">
      <alignment horizontal="center" vertical="center" wrapText="1"/>
    </xf>
    <xf numFmtId="0" fontId="20" fillId="0" borderId="10" xfId="1" applyFont="1" applyBorder="1" applyAlignment="1">
      <alignment vertical="center" wrapText="1"/>
    </xf>
    <xf numFmtId="176" fontId="20" fillId="0" borderId="10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5" fillId="0" borderId="10" xfId="1" applyFont="1" applyBorder="1" applyAlignment="1">
      <alignment horizontal="left" vertical="center"/>
    </xf>
    <xf numFmtId="0" fontId="35" fillId="0" borderId="10" xfId="1" applyFont="1" applyBorder="1" applyAlignment="1">
      <alignment horizontal="right" vertical="center"/>
    </xf>
    <xf numFmtId="0" fontId="36" fillId="0" borderId="0" xfId="0" applyFont="1">
      <alignment vertical="center"/>
    </xf>
    <xf numFmtId="0" fontId="35" fillId="0" borderId="10" xfId="1" applyFont="1" applyBorder="1" applyAlignment="1">
      <alignment vertical="center" wrapText="1"/>
    </xf>
    <xf numFmtId="0" fontId="35" fillId="0" borderId="10" xfId="1" applyFont="1" applyBorder="1" applyAlignment="1">
      <alignment horizontal="center" vertical="center"/>
    </xf>
    <xf numFmtId="0" fontId="35" fillId="25" borderId="10" xfId="1" applyFont="1" applyFill="1" applyBorder="1" applyAlignment="1">
      <alignment horizontal="center" vertical="center"/>
    </xf>
    <xf numFmtId="0" fontId="36" fillId="0" borderId="10" xfId="0" applyFont="1" applyBorder="1">
      <alignment vertical="center"/>
    </xf>
    <xf numFmtId="0" fontId="35" fillId="0" borderId="10" xfId="26" quotePrefix="1" applyFont="1" applyBorder="1" applyAlignment="1" applyProtection="1">
      <alignment horizontal="center" vertical="center"/>
    </xf>
    <xf numFmtId="0" fontId="35" fillId="0" borderId="10" xfId="1" applyFont="1" applyBorder="1" applyAlignment="1">
      <alignment horizontal="center" vertical="center" wrapText="1"/>
    </xf>
    <xf numFmtId="0" fontId="20" fillId="0" borderId="11" xfId="1" applyFont="1" applyBorder="1" applyAlignment="1">
      <alignment vertical="center" wrapText="1"/>
    </xf>
    <xf numFmtId="0" fontId="38" fillId="0" borderId="10" xfId="1" applyFont="1" applyBorder="1" applyAlignment="1">
      <alignment horizontal="center" vertical="center" wrapText="1"/>
    </xf>
    <xf numFmtId="0" fontId="20" fillId="0" borderId="18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/>
    </xf>
    <xf numFmtId="0" fontId="35" fillId="0" borderId="12" xfId="1" applyFont="1" applyBorder="1" applyAlignment="1">
      <alignment horizontal="left"/>
    </xf>
    <xf numFmtId="49" fontId="35" fillId="0" borderId="10" xfId="1" applyNumberFormat="1" applyFont="1" applyBorder="1" applyAlignment="1">
      <alignment horizontal="center"/>
    </xf>
    <xf numFmtId="0" fontId="35" fillId="0" borderId="10" xfId="1" applyFont="1" applyBorder="1" applyAlignment="1">
      <alignment horizontal="right"/>
    </xf>
    <xf numFmtId="0" fontId="35" fillId="0" borderId="10" xfId="1" applyFont="1" applyBorder="1"/>
    <xf numFmtId="0" fontId="21" fillId="0" borderId="12" xfId="1" applyFont="1" applyBorder="1" applyAlignment="1">
      <alignment horizontal="center" vertical="center"/>
    </xf>
    <xf numFmtId="176" fontId="22" fillId="0" borderId="30" xfId="1" applyNumberFormat="1" applyFont="1" applyBorder="1" applyAlignment="1">
      <alignment horizontal="center" vertical="center" wrapText="1"/>
    </xf>
    <xf numFmtId="0" fontId="20" fillId="0" borderId="31" xfId="1" applyFont="1" applyBorder="1" applyAlignment="1">
      <alignment horizontal="center" vertical="center" wrapText="1"/>
    </xf>
    <xf numFmtId="0" fontId="22" fillId="0" borderId="31" xfId="1" applyFont="1" applyBorder="1" applyAlignment="1">
      <alignment horizontal="center" vertical="center" wrapText="1"/>
    </xf>
    <xf numFmtId="0" fontId="22" fillId="0" borderId="33" xfId="1" applyFont="1" applyBorder="1" applyAlignment="1">
      <alignment horizontal="center" vertical="center" wrapText="1"/>
    </xf>
    <xf numFmtId="176" fontId="20" fillId="0" borderId="34" xfId="1" applyNumberFormat="1" applyFont="1" applyBorder="1" applyAlignment="1">
      <alignment horizontal="center" vertical="center" wrapText="1"/>
    </xf>
    <xf numFmtId="176" fontId="20" fillId="0" borderId="30" xfId="1" applyNumberFormat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176" fontId="39" fillId="0" borderId="15" xfId="1" applyNumberFormat="1" applyFont="1" applyBorder="1" applyAlignment="1">
      <alignment horizontal="center" vertical="center" wrapText="1"/>
    </xf>
    <xf numFmtId="0" fontId="39" fillId="0" borderId="10" xfId="1" applyFont="1" applyBorder="1" applyAlignment="1">
      <alignment horizontal="center" vertical="center" wrapText="1"/>
    </xf>
    <xf numFmtId="0" fontId="39" fillId="0" borderId="16" xfId="1" applyFont="1" applyBorder="1" applyAlignment="1">
      <alignment horizontal="center" vertical="center" wrapText="1"/>
    </xf>
    <xf numFmtId="176" fontId="39" fillId="0" borderId="30" xfId="1" applyNumberFormat="1" applyFont="1" applyBorder="1" applyAlignment="1">
      <alignment horizontal="center" vertical="center" wrapText="1"/>
    </xf>
    <xf numFmtId="0" fontId="39" fillId="0" borderId="31" xfId="1" applyFont="1" applyBorder="1" applyAlignment="1">
      <alignment horizontal="center" vertical="center" wrapText="1"/>
    </xf>
    <xf numFmtId="0" fontId="39" fillId="0" borderId="33" xfId="1" applyFont="1" applyBorder="1" applyAlignment="1">
      <alignment horizontal="center" vertical="center" wrapText="1"/>
    </xf>
    <xf numFmtId="0" fontId="32" fillId="0" borderId="16" xfId="1" applyFont="1" applyBorder="1" applyAlignment="1">
      <alignment horizontal="center" vertical="center" wrapText="1"/>
    </xf>
    <xf numFmtId="0" fontId="20" fillId="0" borderId="16" xfId="1" applyFont="1" applyBorder="1" applyAlignment="1">
      <alignment vertical="center" wrapText="1"/>
    </xf>
    <xf numFmtId="0" fontId="41" fillId="0" borderId="16" xfId="1" applyFont="1" applyBorder="1" applyAlignment="1">
      <alignment vertical="center" wrapText="1"/>
    </xf>
    <xf numFmtId="0" fontId="20" fillId="0" borderId="18" xfId="1" applyFont="1" applyBorder="1" applyAlignment="1">
      <alignment vertical="center" wrapText="1"/>
    </xf>
    <xf numFmtId="0" fontId="20" fillId="0" borderId="19" xfId="1" applyFont="1" applyBorder="1" applyAlignment="1">
      <alignment vertical="center" wrapText="1"/>
    </xf>
    <xf numFmtId="0" fontId="41" fillId="0" borderId="10" xfId="1" applyFont="1" applyBorder="1" applyAlignment="1">
      <alignment vertical="center" wrapText="1"/>
    </xf>
    <xf numFmtId="0" fontId="1" fillId="0" borderId="10" xfId="1" applyBorder="1" applyAlignment="1">
      <alignment vertical="center"/>
    </xf>
    <xf numFmtId="0" fontId="38" fillId="0" borderId="10" xfId="1" applyFont="1" applyBorder="1" applyAlignment="1">
      <alignment horizontal="left" vertical="center" wrapText="1"/>
    </xf>
    <xf numFmtId="0" fontId="20" fillId="0" borderId="10" xfId="1" applyFont="1" applyBorder="1" applyAlignment="1">
      <alignment vertical="center"/>
    </xf>
    <xf numFmtId="176" fontId="20" fillId="0" borderId="10" xfId="1" applyNumberFormat="1" applyFont="1" applyBorder="1" applyAlignment="1">
      <alignment vertical="center"/>
    </xf>
    <xf numFmtId="176" fontId="20" fillId="0" borderId="10" xfId="1" applyNumberFormat="1" applyFont="1" applyBorder="1" applyAlignment="1">
      <alignment horizontal="right" vertical="center"/>
    </xf>
    <xf numFmtId="0" fontId="37" fillId="0" borderId="0" xfId="0" applyFont="1">
      <alignment vertical="center"/>
    </xf>
    <xf numFmtId="0" fontId="42" fillId="24" borderId="28" xfId="1" applyFont="1" applyFill="1" applyBorder="1" applyAlignment="1">
      <alignment horizontal="left" wrapText="1"/>
    </xf>
    <xf numFmtId="0" fontId="31" fillId="0" borderId="16" xfId="1" applyFont="1" applyBorder="1" applyAlignment="1">
      <alignment vertical="top" wrapText="1"/>
    </xf>
    <xf numFmtId="0" fontId="20" fillId="0" borderId="10" xfId="1" applyFont="1" applyBorder="1" applyAlignment="1">
      <alignment vertical="top" wrapText="1"/>
    </xf>
    <xf numFmtId="0" fontId="20" fillId="0" borderId="16" xfId="1" applyFont="1" applyBorder="1" applyAlignment="1">
      <alignment vertical="top" wrapText="1"/>
    </xf>
    <xf numFmtId="0" fontId="23" fillId="0" borderId="10" xfId="1" applyFont="1" applyBorder="1" applyAlignment="1">
      <alignment horizontal="center" vertical="center" wrapText="1"/>
    </xf>
    <xf numFmtId="176" fontId="32" fillId="0" borderId="15" xfId="1" applyNumberFormat="1" applyFont="1" applyBorder="1" applyAlignment="1">
      <alignment horizontal="center" vertical="center" wrapText="1"/>
    </xf>
    <xf numFmtId="0" fontId="32" fillId="0" borderId="10" xfId="1" applyFont="1" applyBorder="1" applyAlignment="1">
      <alignment horizontal="center" vertical="center" wrapText="1"/>
    </xf>
    <xf numFmtId="0" fontId="45" fillId="0" borderId="12" xfId="1" applyFont="1" applyBorder="1"/>
    <xf numFmtId="0" fontId="45" fillId="0" borderId="10" xfId="1" applyFont="1" applyBorder="1"/>
    <xf numFmtId="0" fontId="46" fillId="0" borderId="0" xfId="0" applyFont="1">
      <alignment vertical="center"/>
    </xf>
    <xf numFmtId="176" fontId="22" fillId="0" borderId="15" xfId="1" applyNumberFormat="1" applyFont="1" applyBorder="1" applyAlignment="1">
      <alignment horizontal="center" vertical="center"/>
    </xf>
    <xf numFmtId="0" fontId="20" fillId="24" borderId="28" xfId="1" applyFont="1" applyFill="1" applyBorder="1" applyAlignment="1">
      <alignment horizontal="left"/>
    </xf>
    <xf numFmtId="0" fontId="22" fillId="0" borderId="10" xfId="1" applyFont="1" applyBorder="1" applyAlignment="1">
      <alignment horizontal="center" vertical="center"/>
    </xf>
    <xf numFmtId="0" fontId="22" fillId="0" borderId="16" xfId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horizontal="center" vertical="center" wrapText="1"/>
    </xf>
    <xf numFmtId="0" fontId="1" fillId="0" borderId="13" xfId="1" applyBorder="1"/>
    <xf numFmtId="0" fontId="1" fillId="0" borderId="12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0" fillId="0" borderId="15" xfId="1" applyNumberFormat="1" applyFont="1" applyBorder="1" applyAlignment="1">
      <alignment horizontal="center" vertical="top" wrapText="1"/>
    </xf>
    <xf numFmtId="0" fontId="42" fillId="0" borderId="16" xfId="1" applyFont="1" applyBorder="1" applyAlignment="1">
      <alignment vertical="top" wrapText="1"/>
    </xf>
    <xf numFmtId="0" fontId="42" fillId="0" borderId="10" xfId="1" applyFont="1" applyBorder="1" applyAlignment="1">
      <alignment vertical="top" wrapText="1"/>
    </xf>
    <xf numFmtId="0" fontId="20" fillId="0" borderId="10" xfId="1" applyFont="1" applyBorder="1" applyAlignment="1">
      <alignment horizontal="center" vertical="top" wrapText="1"/>
    </xf>
    <xf numFmtId="0" fontId="47" fillId="0" borderId="0" xfId="0" applyFont="1" applyAlignment="1">
      <alignment vertical="center" wrapText="1"/>
    </xf>
    <xf numFmtId="0" fontId="48" fillId="0" borderId="35" xfId="0" applyFont="1" applyBorder="1" applyAlignment="1">
      <alignment horizontal="center" vertical="center"/>
    </xf>
    <xf numFmtId="176" fontId="48" fillId="0" borderId="35" xfId="0" applyNumberFormat="1" applyFont="1" applyBorder="1" applyAlignment="1">
      <alignment horizontal="center" vertical="center"/>
    </xf>
    <xf numFmtId="0" fontId="42" fillId="0" borderId="16" xfId="1" applyFont="1" applyBorder="1" applyAlignment="1">
      <alignment horizontal="center" vertical="center" wrapText="1"/>
    </xf>
    <xf numFmtId="0" fontId="49" fillId="0" borderId="16" xfId="1" applyFont="1" applyBorder="1" applyAlignment="1">
      <alignment vertical="top" wrapText="1"/>
    </xf>
    <xf numFmtId="0" fontId="0" fillId="0" borderId="10" xfId="0" applyBorder="1">
      <alignment vertical="center"/>
    </xf>
    <xf numFmtId="0" fontId="50" fillId="0" borderId="10" xfId="1" applyFont="1" applyBorder="1" applyAlignment="1">
      <alignment vertical="top" wrapText="1"/>
    </xf>
    <xf numFmtId="176" fontId="47" fillId="0" borderId="0" xfId="0" applyNumberFormat="1" applyFont="1">
      <alignment vertical="center"/>
    </xf>
    <xf numFmtId="0" fontId="47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50" fillId="0" borderId="16" xfId="1" applyFont="1" applyBorder="1" applyAlignment="1">
      <alignment vertical="top" wrapText="1"/>
    </xf>
    <xf numFmtId="0" fontId="51" fillId="0" borderId="0" xfId="0" applyFont="1" applyAlignment="1">
      <alignment vertical="center" wrapText="1"/>
    </xf>
    <xf numFmtId="177" fontId="51" fillId="0" borderId="0" xfId="0" applyNumberFormat="1" applyFont="1" applyAlignment="1">
      <alignment horizontal="center" vertical="center"/>
    </xf>
    <xf numFmtId="0" fontId="41" fillId="0" borderId="16" xfId="1" applyFont="1" applyBorder="1" applyAlignment="1">
      <alignment vertical="top" wrapText="1"/>
    </xf>
    <xf numFmtId="0" fontId="23" fillId="0" borderId="18" xfId="1" applyFont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0" fontId="41" fillId="0" borderId="16" xfId="1" applyFont="1" applyBorder="1" applyAlignment="1">
      <alignment horizontal="center" vertical="center" wrapText="1"/>
    </xf>
    <xf numFmtId="0" fontId="20" fillId="0" borderId="19" xfId="1" applyFont="1" applyBorder="1" applyAlignment="1">
      <alignment horizontal="center" vertical="center" wrapText="1"/>
    </xf>
    <xf numFmtId="0" fontId="41" fillId="0" borderId="10" xfId="1" applyFont="1" applyBorder="1" applyAlignment="1">
      <alignment horizontal="center" vertical="center" wrapText="1"/>
    </xf>
    <xf numFmtId="0" fontId="32" fillId="0" borderId="36" xfId="1" applyFont="1" applyBorder="1" applyAlignment="1">
      <alignment horizontal="center" vertical="center" wrapText="1"/>
    </xf>
    <xf numFmtId="0" fontId="31" fillId="26" borderId="16" xfId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20" fillId="28" borderId="15" xfId="1" applyNumberFormat="1" applyFont="1" applyFill="1" applyBorder="1" applyAlignment="1">
      <alignment horizontal="center" vertical="center" wrapText="1"/>
    </xf>
    <xf numFmtId="0" fontId="42" fillId="0" borderId="19" xfId="1" applyFont="1" applyBorder="1" applyAlignment="1">
      <alignment vertical="top" wrapText="1"/>
    </xf>
    <xf numFmtId="0" fontId="53" fillId="0" borderId="0" xfId="0" applyFont="1" applyAlignment="1">
      <alignment horizontal="center" vertical="center"/>
    </xf>
    <xf numFmtId="0" fontId="22" fillId="0" borderId="11" xfId="1" applyFont="1" applyBorder="1" applyAlignment="1">
      <alignment horizontal="center" vertical="center" wrapText="1"/>
    </xf>
    <xf numFmtId="0" fontId="23" fillId="0" borderId="24" xfId="1" applyFont="1" applyBorder="1" applyAlignment="1">
      <alignment vertical="top" wrapText="1"/>
    </xf>
    <xf numFmtId="0" fontId="23" fillId="0" borderId="21" xfId="1" applyFont="1" applyBorder="1" applyAlignment="1">
      <alignment vertical="top" wrapText="1"/>
    </xf>
    <xf numFmtId="0" fontId="20" fillId="0" borderId="11" xfId="1" applyFont="1" applyBorder="1" applyAlignment="1">
      <alignment horizontal="center" vertical="center" wrapText="1"/>
    </xf>
    <xf numFmtId="0" fontId="20" fillId="28" borderId="10" xfId="1" applyFont="1" applyFill="1" applyBorder="1" applyAlignment="1">
      <alignment horizontal="center" vertical="center" wrapText="1"/>
    </xf>
    <xf numFmtId="0" fontId="49" fillId="0" borderId="10" xfId="1" applyFont="1" applyBorder="1" applyAlignment="1">
      <alignment vertical="top" wrapText="1"/>
    </xf>
    <xf numFmtId="0" fontId="31" fillId="0" borderId="10" xfId="1" applyFont="1" applyBorder="1" applyAlignment="1">
      <alignment vertical="top" wrapText="1"/>
    </xf>
    <xf numFmtId="0" fontId="54" fillId="0" borderId="10" xfId="1" applyFont="1" applyBorder="1" applyAlignment="1">
      <alignment vertical="top" wrapText="1"/>
    </xf>
    <xf numFmtId="0" fontId="31" fillId="0" borderId="11" xfId="1" applyFont="1" applyBorder="1" applyAlignment="1">
      <alignment vertical="top" wrapText="1"/>
    </xf>
    <xf numFmtId="0" fontId="44" fillId="0" borderId="10" xfId="1" applyFont="1" applyBorder="1" applyAlignment="1">
      <alignment vertical="top" wrapText="1"/>
    </xf>
    <xf numFmtId="0" fontId="35" fillId="26" borderId="10" xfId="1" applyFont="1" applyFill="1" applyBorder="1" applyAlignment="1">
      <alignment horizontal="right" vertical="center"/>
    </xf>
    <xf numFmtId="177" fontId="33" fillId="0" borderId="10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horizontal="center" vertical="center" wrapText="1"/>
    </xf>
    <xf numFmtId="0" fontId="42" fillId="0" borderId="16" xfId="1" applyFont="1" applyBorder="1" applyAlignment="1">
      <alignment vertical="center" wrapText="1"/>
    </xf>
    <xf numFmtId="0" fontId="52" fillId="0" borderId="0" xfId="0" applyFont="1">
      <alignment vertical="center"/>
    </xf>
    <xf numFmtId="49" fontId="42" fillId="0" borderId="16" xfId="1" applyNumberFormat="1" applyFont="1" applyBorder="1" applyAlignment="1">
      <alignment vertical="top" wrapText="1"/>
    </xf>
    <xf numFmtId="0" fontId="36" fillId="25" borderId="12" xfId="26" applyFont="1" applyFill="1" applyBorder="1" applyAlignment="1" applyProtection="1">
      <alignment horizontal="center" vertical="center"/>
    </xf>
    <xf numFmtId="0" fontId="34" fillId="0" borderId="12" xfId="26" applyFont="1" applyBorder="1" applyAlignment="1" applyProtection="1">
      <alignment horizontal="center" vertical="center"/>
    </xf>
    <xf numFmtId="0" fontId="56" fillId="0" borderId="0" xfId="0" applyFont="1">
      <alignment vertical="center"/>
    </xf>
    <xf numFmtId="0" fontId="20" fillId="27" borderId="10" xfId="1" applyFont="1" applyFill="1" applyBorder="1" applyAlignment="1">
      <alignment horizontal="center" vertical="center" wrapText="1"/>
    </xf>
    <xf numFmtId="0" fontId="55" fillId="0" borderId="11" xfId="1" applyFont="1" applyBorder="1" applyAlignment="1">
      <alignment horizontal="center" vertical="center" wrapText="1"/>
    </xf>
    <xf numFmtId="0" fontId="32" fillId="0" borderId="10" xfId="1" applyFont="1" applyBorder="1" applyAlignment="1">
      <alignment vertical="top" wrapText="1"/>
    </xf>
    <xf numFmtId="0" fontId="37" fillId="0" borderId="0" xfId="0" applyFont="1" applyAlignment="1">
      <alignment horizontal="center" vertical="center"/>
    </xf>
    <xf numFmtId="0" fontId="34" fillId="0" borderId="10" xfId="26" applyFont="1" applyBorder="1" applyAlignment="1" applyProtection="1">
      <alignment horizontal="center" vertical="center"/>
    </xf>
    <xf numFmtId="0" fontId="42" fillId="0" borderId="10" xfId="1" applyFont="1" applyBorder="1" applyAlignment="1">
      <alignment horizontal="center" vertical="center" wrapText="1"/>
    </xf>
    <xf numFmtId="176" fontId="33" fillId="0" borderId="10" xfId="0" applyNumberFormat="1" applyFont="1" applyBorder="1" applyAlignment="1">
      <alignment horizontal="center" vertical="center"/>
    </xf>
    <xf numFmtId="0" fontId="42" fillId="0" borderId="16" xfId="1" applyFont="1" applyBorder="1" applyAlignment="1">
      <alignment horizontal="center" vertical="center"/>
    </xf>
    <xf numFmtId="0" fontId="58" fillId="25" borderId="10" xfId="1" applyFont="1" applyFill="1" applyBorder="1" applyAlignment="1">
      <alignment horizontal="center" vertical="center"/>
    </xf>
    <xf numFmtId="0" fontId="59" fillId="0" borderId="10" xfId="0" applyFont="1" applyBorder="1">
      <alignment vertical="center"/>
    </xf>
    <xf numFmtId="0" fontId="59" fillId="0" borderId="10" xfId="0" applyFont="1" applyBorder="1" applyAlignment="1">
      <alignment vertical="center" wrapText="1"/>
    </xf>
    <xf numFmtId="0" fontId="59" fillId="0" borderId="10" xfId="0" applyFont="1" applyBorder="1" applyAlignment="1">
      <alignment horizontal="left" vertical="center"/>
    </xf>
    <xf numFmtId="0" fontId="60" fillId="0" borderId="10" xfId="0" applyFont="1" applyBorder="1">
      <alignment vertical="center"/>
    </xf>
    <xf numFmtId="0" fontId="59" fillId="0" borderId="37" xfId="0" applyFont="1" applyBorder="1">
      <alignment vertical="center"/>
    </xf>
    <xf numFmtId="0" fontId="59" fillId="0" borderId="0" xfId="0" applyFont="1">
      <alignment vertical="center"/>
    </xf>
    <xf numFmtId="176" fontId="20" fillId="0" borderId="15" xfId="1" applyNumberFormat="1" applyFont="1" applyBorder="1" applyAlignment="1">
      <alignment horizontal="center" vertical="center"/>
    </xf>
    <xf numFmtId="0" fontId="20" fillId="0" borderId="10" xfId="1" applyFont="1" applyBorder="1" applyAlignment="1">
      <alignment vertical="top"/>
    </xf>
    <xf numFmtId="0" fontId="44" fillId="0" borderId="10" xfId="1" applyFont="1" applyBorder="1" applyAlignment="1">
      <alignment horizontal="center" vertical="center" wrapText="1"/>
    </xf>
    <xf numFmtId="0" fontId="9" fillId="0" borderId="12" xfId="26" applyBorder="1" applyAlignment="1" applyProtection="1">
      <alignment horizontal="center" vertical="center"/>
    </xf>
    <xf numFmtId="0" fontId="20" fillId="0" borderId="12" xfId="1" applyFont="1" applyBorder="1" applyAlignment="1">
      <alignment horizontal="center" vertical="center" wrapText="1"/>
    </xf>
    <xf numFmtId="0" fontId="42" fillId="0" borderId="10" xfId="1" applyFont="1" applyBorder="1" applyAlignment="1">
      <alignment vertical="center" wrapText="1"/>
    </xf>
    <xf numFmtId="0" fontId="44" fillId="27" borderId="10" xfId="1" applyFont="1" applyFill="1" applyBorder="1" applyAlignment="1">
      <alignment vertical="top" wrapText="1"/>
    </xf>
    <xf numFmtId="0" fontId="20" fillId="28" borderId="10" xfId="1" applyFont="1" applyFill="1" applyBorder="1" applyAlignment="1">
      <alignment horizontal="center" vertical="center"/>
    </xf>
    <xf numFmtId="176" fontId="20" fillId="27" borderId="10" xfId="0" applyNumberFormat="1" applyFont="1" applyFill="1" applyBorder="1" applyAlignment="1">
      <alignment horizontal="center" vertical="center" wrapText="1"/>
    </xf>
    <xf numFmtId="0" fontId="1" fillId="28" borderId="10" xfId="1" applyFill="1" applyBorder="1"/>
    <xf numFmtId="0" fontId="61" fillId="0" borderId="12" xfId="1" applyFont="1" applyBorder="1"/>
    <xf numFmtId="0" fontId="61" fillId="0" borderId="10" xfId="1" applyFont="1" applyBorder="1"/>
    <xf numFmtId="0" fontId="62" fillId="0" borderId="0" xfId="0" applyFont="1">
      <alignment vertical="center"/>
    </xf>
    <xf numFmtId="0" fontId="23" fillId="0" borderId="11" xfId="1" applyFont="1" applyBorder="1" applyAlignment="1">
      <alignment horizontal="center" vertical="top" wrapText="1"/>
    </xf>
    <xf numFmtId="0" fontId="23" fillId="0" borderId="12" xfId="1" applyFont="1" applyBorder="1" applyAlignment="1">
      <alignment horizontal="center" vertical="top" wrapText="1"/>
    </xf>
    <xf numFmtId="0" fontId="31" fillId="0" borderId="10" xfId="1" applyFont="1" applyBorder="1" applyAlignment="1">
      <alignment horizontal="center" vertical="top" wrapText="1"/>
    </xf>
    <xf numFmtId="0" fontId="42" fillId="0" borderId="10" xfId="1" applyFont="1" applyBorder="1" applyAlignment="1">
      <alignment horizontal="center" vertical="top" wrapText="1"/>
    </xf>
    <xf numFmtId="0" fontId="33" fillId="0" borderId="0" xfId="0" applyFont="1" applyAlignment="1">
      <alignment horizontal="center" vertical="center"/>
    </xf>
    <xf numFmtId="0" fontId="42" fillId="26" borderId="10" xfId="1" applyFont="1" applyFill="1" applyBorder="1" applyAlignment="1">
      <alignment vertical="top" wrapText="1"/>
    </xf>
    <xf numFmtId="0" fontId="32" fillId="26" borderId="10" xfId="1" applyFont="1" applyFill="1" applyBorder="1" applyAlignment="1">
      <alignment horizontal="center" vertical="center" wrapText="1"/>
    </xf>
    <xf numFmtId="0" fontId="42" fillId="26" borderId="16" xfId="1" applyFont="1" applyFill="1" applyBorder="1" applyAlignment="1">
      <alignment horizontal="center" vertical="center" wrapText="1"/>
    </xf>
    <xf numFmtId="49" fontId="42" fillId="26" borderId="16" xfId="1" applyNumberFormat="1" applyFont="1" applyFill="1" applyBorder="1" applyAlignment="1">
      <alignment vertical="top" wrapText="1"/>
    </xf>
    <xf numFmtId="176" fontId="42" fillId="0" borderId="15" xfId="1" applyNumberFormat="1" applyFont="1" applyBorder="1" applyAlignment="1">
      <alignment horizontal="center" vertical="center" wrapText="1"/>
    </xf>
    <xf numFmtId="0" fontId="63" fillId="0" borderId="12" xfId="26" applyFont="1" applyBorder="1" applyAlignment="1" applyProtection="1">
      <alignment horizontal="center" vertical="center"/>
    </xf>
    <xf numFmtId="176" fontId="42" fillId="0" borderId="10" xfId="0" applyNumberFormat="1" applyFont="1" applyBorder="1" applyAlignment="1">
      <alignment horizontal="center" vertical="center" wrapText="1"/>
    </xf>
    <xf numFmtId="0" fontId="23" fillId="28" borderId="10" xfId="1" applyFont="1" applyFill="1" applyBorder="1" applyAlignment="1">
      <alignment vertical="top" wrapText="1"/>
    </xf>
    <xf numFmtId="176" fontId="20" fillId="27" borderId="15" xfId="1" applyNumberFormat="1" applyFont="1" applyFill="1" applyBorder="1" applyAlignment="1">
      <alignment horizontal="center" vertical="center" wrapText="1"/>
    </xf>
    <xf numFmtId="0" fontId="1" fillId="0" borderId="12" xfId="1" applyBorder="1" applyAlignment="1">
      <alignment vertical="center"/>
    </xf>
    <xf numFmtId="176" fontId="20" fillId="0" borderId="10" xfId="1" applyNumberFormat="1" applyFont="1" applyBorder="1"/>
    <xf numFmtId="0" fontId="44" fillId="0" borderId="16" xfId="1" applyFont="1" applyBorder="1" applyAlignment="1">
      <alignment vertical="top" wrapText="1"/>
    </xf>
    <xf numFmtId="0" fontId="35" fillId="0" borderId="13" xfId="1" applyFont="1" applyBorder="1" applyAlignment="1">
      <alignment horizontal="right" vertical="center"/>
    </xf>
    <xf numFmtId="0" fontId="35" fillId="25" borderId="38" xfId="1" applyFont="1" applyFill="1" applyBorder="1" applyAlignment="1">
      <alignment horizontal="center" vertical="center"/>
    </xf>
    <xf numFmtId="0" fontId="31" fillId="28" borderId="16" xfId="1" applyFont="1" applyFill="1" applyBorder="1" applyAlignment="1">
      <alignment horizontal="center" vertical="center" wrapText="1"/>
    </xf>
    <xf numFmtId="179" fontId="35" fillId="25" borderId="10" xfId="1" applyNumberFormat="1" applyFont="1" applyFill="1" applyBorder="1" applyAlignment="1">
      <alignment horizontal="center" vertical="center"/>
    </xf>
    <xf numFmtId="179" fontId="35" fillId="0" borderId="10" xfId="1" applyNumberFormat="1" applyFont="1" applyBorder="1" applyAlignment="1">
      <alignment horizontal="center" vertical="center"/>
    </xf>
    <xf numFmtId="179" fontId="35" fillId="0" borderId="10" xfId="26" quotePrefix="1" applyNumberFormat="1" applyFont="1" applyBorder="1" applyAlignment="1" applyProtection="1">
      <alignment horizontal="center" vertical="center"/>
    </xf>
    <xf numFmtId="179" fontId="35" fillId="0" borderId="10" xfId="1" applyNumberFormat="1" applyFont="1" applyBorder="1" applyAlignment="1">
      <alignment horizontal="center" vertical="center" wrapText="1"/>
    </xf>
    <xf numFmtId="179" fontId="36" fillId="0" borderId="0" xfId="0" applyNumberFormat="1" applyFont="1">
      <alignment vertical="center"/>
    </xf>
    <xf numFmtId="17" fontId="35" fillId="0" borderId="10" xfId="1" applyNumberFormat="1" applyFont="1" applyBorder="1" applyAlignment="1">
      <alignment horizontal="right" vertical="center"/>
    </xf>
    <xf numFmtId="178" fontId="64" fillId="29" borderId="0" xfId="0" applyNumberFormat="1" applyFont="1" applyFill="1" applyAlignment="1">
      <alignment vertical="center" wrapText="1"/>
    </xf>
    <xf numFmtId="0" fontId="31" fillId="27" borderId="16" xfId="1" applyFont="1" applyFill="1" applyBorder="1" applyAlignment="1">
      <alignment horizontal="center" vertical="center" wrapText="1"/>
    </xf>
    <xf numFmtId="0" fontId="35" fillId="27" borderId="39" xfId="1" applyFont="1" applyFill="1" applyBorder="1" applyAlignment="1">
      <alignment horizontal="right" vertical="center"/>
    </xf>
    <xf numFmtId="0" fontId="22" fillId="27" borderId="10" xfId="1" applyFont="1" applyFill="1" applyBorder="1" applyAlignment="1">
      <alignment horizontal="center" vertical="center" wrapText="1"/>
    </xf>
    <xf numFmtId="0" fontId="31" fillId="28" borderId="10" xfId="1" applyFont="1" applyFill="1" applyBorder="1" applyAlignment="1">
      <alignment horizontal="center" vertical="center" wrapText="1"/>
    </xf>
    <xf numFmtId="0" fontId="44" fillId="27" borderId="16" xfId="1" applyFont="1" applyFill="1" applyBorder="1" applyAlignment="1">
      <alignment horizontal="center" vertical="center" wrapText="1"/>
    </xf>
    <xf numFmtId="0" fontId="0" fillId="28" borderId="0" xfId="0" applyFill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vertical="center" wrapText="1"/>
    </xf>
    <xf numFmtId="0" fontId="35" fillId="0" borderId="37" xfId="1" applyFont="1" applyBorder="1" applyAlignment="1">
      <alignment vertical="center" wrapText="1"/>
    </xf>
    <xf numFmtId="0" fontId="35" fillId="0" borderId="0" xfId="1" applyFont="1" applyAlignment="1">
      <alignment vertical="center" wrapText="1"/>
    </xf>
    <xf numFmtId="0" fontId="35" fillId="0" borderId="37" xfId="1" applyFont="1" applyBorder="1" applyAlignment="1">
      <alignment horizontal="center" vertical="center"/>
    </xf>
    <xf numFmtId="178" fontId="0" fillId="0" borderId="10" xfId="0" applyNumberFormat="1" applyBorder="1">
      <alignment vertical="center"/>
    </xf>
    <xf numFmtId="180" fontId="0" fillId="0" borderId="10" xfId="0" applyNumberFormat="1" applyBorder="1">
      <alignment vertical="center"/>
    </xf>
    <xf numFmtId="0" fontId="20" fillId="0" borderId="13" xfId="1" applyFont="1" applyBorder="1" applyAlignment="1">
      <alignment horizontal="right" vertical="center" wrapText="1"/>
    </xf>
    <xf numFmtId="0" fontId="57" fillId="27" borderId="0" xfId="0" applyFont="1" applyFill="1">
      <alignment vertical="center"/>
    </xf>
    <xf numFmtId="0" fontId="20" fillId="0" borderId="38" xfId="1" applyFont="1" applyBorder="1" applyAlignment="1">
      <alignment horizontal="center" vertical="center" wrapText="1"/>
    </xf>
    <xf numFmtId="177" fontId="23" fillId="0" borderId="10" xfId="1" applyNumberFormat="1" applyFont="1" applyBorder="1" applyAlignment="1">
      <alignment vertical="top" wrapText="1"/>
    </xf>
    <xf numFmtId="176" fontId="32" fillId="0" borderId="15" xfId="1" applyNumberFormat="1" applyFont="1" applyBorder="1" applyAlignment="1">
      <alignment horizontal="center" vertical="top" wrapText="1"/>
    </xf>
    <xf numFmtId="0" fontId="20" fillId="31" borderId="10" xfId="1" applyFont="1" applyFill="1" applyBorder="1" applyAlignment="1">
      <alignment horizontal="center" vertical="center" wrapText="1"/>
    </xf>
    <xf numFmtId="176" fontId="20" fillId="0" borderId="40" xfId="1" applyNumberFormat="1" applyFont="1" applyBorder="1" applyAlignment="1">
      <alignment horizontal="center" vertical="center" wrapText="1"/>
    </xf>
    <xf numFmtId="0" fontId="31" fillId="0" borderId="10" xfId="1" applyFont="1" applyBorder="1" applyAlignment="1">
      <alignment horizontal="center" vertical="center" wrapText="1"/>
    </xf>
    <xf numFmtId="0" fontId="32" fillId="0" borderId="10" xfId="1" applyFont="1" applyBorder="1" applyAlignment="1">
      <alignment horizontal="center" vertical="top" wrapText="1"/>
    </xf>
    <xf numFmtId="176" fontId="32" fillId="0" borderId="10" xfId="1" applyNumberFormat="1" applyFont="1" applyBorder="1" applyAlignment="1">
      <alignment horizontal="center"/>
    </xf>
    <xf numFmtId="176" fontId="20" fillId="0" borderId="10" xfId="1" applyNumberFormat="1" applyFont="1" applyBorder="1" applyAlignment="1">
      <alignment horizontal="right"/>
    </xf>
    <xf numFmtId="0" fontId="66" fillId="0" borderId="16" xfId="1" applyFont="1" applyBorder="1" applyAlignment="1">
      <alignment horizontal="center" vertical="center" wrapText="1"/>
    </xf>
    <xf numFmtId="0" fontId="20" fillId="24" borderId="41" xfId="1" applyFont="1" applyFill="1" applyBorder="1" applyAlignment="1">
      <alignment horizontal="left" wrapText="1"/>
    </xf>
    <xf numFmtId="0" fontId="67" fillId="0" borderId="16" xfId="1" applyFont="1" applyBorder="1" applyAlignment="1">
      <alignment vertical="top" wrapText="1"/>
    </xf>
    <xf numFmtId="176" fontId="20" fillId="0" borderId="43" xfId="1" applyNumberFormat="1" applyFont="1" applyBorder="1" applyAlignment="1">
      <alignment horizontal="center" vertical="center" wrapText="1"/>
    </xf>
    <xf numFmtId="0" fontId="68" fillId="0" borderId="16" xfId="1" applyFont="1" applyBorder="1" applyAlignment="1">
      <alignment vertical="top" wrapText="1"/>
    </xf>
    <xf numFmtId="0" fontId="36" fillId="0" borderId="14" xfId="0" applyFont="1" applyBorder="1">
      <alignment vertical="center"/>
    </xf>
    <xf numFmtId="178" fontId="0" fillId="0" borderId="14" xfId="0" applyNumberFormat="1" applyBorder="1">
      <alignment vertical="center"/>
    </xf>
    <xf numFmtId="0" fontId="20" fillId="0" borderId="14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1" fillId="0" borderId="15" xfId="1" applyBorder="1"/>
    <xf numFmtId="0" fontId="23" fillId="0" borderId="44" xfId="1" applyFont="1" applyBorder="1" applyAlignment="1">
      <alignment vertical="top" wrapText="1"/>
    </xf>
    <xf numFmtId="0" fontId="42" fillId="0" borderId="18" xfId="1" applyFont="1" applyBorder="1" applyAlignment="1">
      <alignment vertical="top" wrapText="1"/>
    </xf>
    <xf numFmtId="0" fontId="0" fillId="0" borderId="0" xfId="0" applyAlignment="1"/>
    <xf numFmtId="0" fontId="0" fillId="0" borderId="10" xfId="0" applyBorder="1" applyAlignment="1"/>
    <xf numFmtId="0" fontId="9" fillId="0" borderId="0" xfId="26">
      <alignment vertical="top"/>
      <protection locked="0"/>
    </xf>
    <xf numFmtId="176" fontId="22" fillId="0" borderId="15" xfId="1" applyNumberFormat="1" applyFont="1" applyBorder="1" applyAlignment="1">
      <alignment vertical="center"/>
    </xf>
    <xf numFmtId="0" fontId="69" fillId="0" borderId="10" xfId="1" applyFont="1" applyBorder="1" applyAlignment="1">
      <alignment horizontal="left" vertical="center"/>
    </xf>
    <xf numFmtId="0" fontId="70" fillId="0" borderId="16" xfId="1" applyFont="1" applyBorder="1" applyAlignment="1">
      <alignment vertical="top" wrapText="1"/>
    </xf>
    <xf numFmtId="0" fontId="20" fillId="24" borderId="28" xfId="1" applyFont="1" applyFill="1" applyBorder="1" applyAlignment="1">
      <alignment horizontal="center" vertical="center" wrapText="1"/>
    </xf>
    <xf numFmtId="176" fontId="20" fillId="0" borderId="17" xfId="1" applyNumberFormat="1" applyFont="1" applyBorder="1" applyAlignment="1">
      <alignment horizontal="center" vertical="center" wrapText="1"/>
    </xf>
    <xf numFmtId="176" fontId="20" fillId="0" borderId="13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76" fontId="44" fillId="0" borderId="10" xfId="0" applyNumberFormat="1" applyFont="1" applyBorder="1" applyAlignment="1">
      <alignment horizontal="center" vertical="center" wrapText="1"/>
    </xf>
    <xf numFmtId="0" fontId="68" fillId="0" borderId="16" xfId="1" applyFont="1" applyBorder="1" applyAlignment="1">
      <alignment horizontal="center" vertical="center" wrapText="1"/>
    </xf>
    <xf numFmtId="176" fontId="20" fillId="0" borderId="10" xfId="1" applyNumberFormat="1" applyFont="1" applyBorder="1" applyAlignment="1">
      <alignment horizontal="center" vertical="top" wrapText="1"/>
    </xf>
    <xf numFmtId="0" fontId="23" fillId="0" borderId="10" xfId="1" applyFont="1" applyBorder="1" applyAlignment="1">
      <alignment horizontal="center" vertical="top" wrapText="1"/>
    </xf>
    <xf numFmtId="0" fontId="0" fillId="0" borderId="12" xfId="0" applyBorder="1" applyAlignment="1"/>
    <xf numFmtId="0" fontId="23" fillId="0" borderId="10" xfId="1" applyFont="1" applyBorder="1" applyAlignment="1">
      <alignment vertical="top" wrapText="1"/>
    </xf>
    <xf numFmtId="0" fontId="27" fillId="0" borderId="10" xfId="26" applyFont="1" applyBorder="1" applyAlignment="1" applyProtection="1">
      <alignment horizontal="center" vertical="center"/>
    </xf>
    <xf numFmtId="0" fontId="0" fillId="0" borderId="14" xfId="0" applyBorder="1" applyAlignment="1"/>
    <xf numFmtId="0" fontId="23" fillId="0" borderId="18" xfId="1" applyFont="1" applyBorder="1" applyAlignment="1">
      <alignment horizontal="center" vertical="top" wrapText="1"/>
    </xf>
    <xf numFmtId="0" fontId="0" fillId="0" borderId="25" xfId="0" applyBorder="1" applyAlignment="1"/>
    <xf numFmtId="0" fontId="22" fillId="0" borderId="10" xfId="1" applyFont="1" applyBorder="1" applyAlignment="1">
      <alignment horizontal="center" vertical="center" wrapText="1"/>
    </xf>
    <xf numFmtId="0" fontId="23" fillId="0" borderId="18" xfId="1" applyFont="1" applyBorder="1" applyAlignment="1">
      <alignment vertical="top" wrapText="1"/>
    </xf>
    <xf numFmtId="0" fontId="22" fillId="0" borderId="16" xfId="1" applyFont="1" applyBorder="1" applyAlignment="1">
      <alignment horizontal="center" vertical="center" wrapText="1"/>
    </xf>
    <xf numFmtId="0" fontId="0" fillId="0" borderId="20" xfId="0" applyBorder="1" applyAlignment="1"/>
    <xf numFmtId="0" fontId="28" fillId="24" borderId="23" xfId="1" applyFont="1" applyFill="1" applyBorder="1" applyAlignment="1">
      <alignment horizontal="center" vertical="top" wrapText="1"/>
    </xf>
    <xf numFmtId="0" fontId="0" fillId="0" borderId="23" xfId="0" applyBorder="1" applyAlignment="1"/>
    <xf numFmtId="0" fontId="22" fillId="0" borderId="15" xfId="1" applyFont="1" applyBorder="1" applyAlignment="1">
      <alignment horizontal="center" vertical="center" wrapText="1"/>
    </xf>
    <xf numFmtId="0" fontId="29" fillId="24" borderId="27" xfId="1" applyFont="1" applyFill="1" applyBorder="1" applyAlignment="1">
      <alignment horizontal="center" vertical="center" wrapText="1"/>
    </xf>
    <xf numFmtId="0" fontId="0" fillId="0" borderId="26" xfId="0" applyBorder="1" applyAlignment="1"/>
    <xf numFmtId="0" fontId="0" fillId="0" borderId="27" xfId="0" applyBorder="1" applyAlignment="1"/>
    <xf numFmtId="0" fontId="23" fillId="0" borderId="44" xfId="1" applyFont="1" applyBorder="1" applyAlignment="1">
      <alignment horizontal="center" vertical="top" wrapText="1"/>
    </xf>
    <xf numFmtId="0" fontId="0" fillId="0" borderId="22" xfId="0" applyBorder="1" applyAlignment="1"/>
    <xf numFmtId="0" fontId="23" fillId="0" borderId="44" xfId="1" applyFont="1" applyBorder="1" applyAlignment="1">
      <alignment vertical="top" wrapText="1"/>
    </xf>
    <xf numFmtId="0" fontId="20" fillId="0" borderId="10" xfId="1" applyFont="1" applyBorder="1" applyAlignment="1">
      <alignment horizontal="center" vertical="center" wrapText="1"/>
    </xf>
    <xf numFmtId="0" fontId="20" fillId="27" borderId="10" xfId="1" applyFont="1" applyFill="1" applyBorder="1" applyAlignment="1">
      <alignment horizontal="center" vertical="center" wrapText="1"/>
    </xf>
    <xf numFmtId="0" fontId="32" fillId="0" borderId="16" xfId="1" applyFont="1" applyBorder="1" applyAlignment="1">
      <alignment horizontal="center" vertical="center" wrapText="1"/>
    </xf>
    <xf numFmtId="0" fontId="22" fillId="26" borderId="10" xfId="1" applyFont="1" applyFill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0" fillId="0" borderId="29" xfId="0" applyBorder="1" applyAlignment="1"/>
    <xf numFmtId="0" fontId="20" fillId="0" borderId="31" xfId="1" applyFont="1" applyBorder="1" applyAlignment="1">
      <alignment horizontal="center" vertical="center" wrapText="1"/>
    </xf>
    <xf numFmtId="0" fontId="0" fillId="0" borderId="32" xfId="0" applyBorder="1" applyAlignment="1"/>
    <xf numFmtId="0" fontId="20" fillId="0" borderId="10" xfId="1" applyFont="1" applyBorder="1" applyAlignment="1">
      <alignment horizontal="center" vertical="top" wrapText="1"/>
    </xf>
    <xf numFmtId="0" fontId="23" fillId="0" borderId="13" xfId="1" applyFont="1" applyBorder="1" applyAlignment="1">
      <alignment horizontal="center" vertical="top" wrapText="1"/>
    </xf>
    <xf numFmtId="0" fontId="20" fillId="28" borderId="10" xfId="1" applyFont="1" applyFill="1" applyBorder="1" applyAlignment="1">
      <alignment horizontal="center" vertical="center" wrapText="1"/>
    </xf>
    <xf numFmtId="0" fontId="20" fillId="30" borderId="10" xfId="1" applyFont="1" applyFill="1" applyBorder="1" applyAlignment="1">
      <alignment horizontal="center" vertical="center" wrapText="1"/>
    </xf>
    <xf numFmtId="0" fontId="23" fillId="28" borderId="10" xfId="1" applyFont="1" applyFill="1" applyBorder="1" applyAlignment="1">
      <alignment horizontal="center" vertical="top" wrapText="1"/>
    </xf>
    <xf numFmtId="0" fontId="20" fillId="0" borderId="15" xfId="1" applyFont="1" applyBorder="1" applyAlignment="1">
      <alignment horizontal="center" vertical="center" wrapText="1"/>
    </xf>
    <xf numFmtId="0" fontId="43" fillId="0" borderId="10" xfId="26" applyFont="1" applyBorder="1" applyAlignment="1" applyProtection="1">
      <alignment horizontal="center" vertical="center"/>
    </xf>
    <xf numFmtId="0" fontId="23" fillId="0" borderId="10" xfId="1" applyFont="1" applyBorder="1" applyAlignment="1">
      <alignment horizontal="center" vertical="center" wrapText="1"/>
    </xf>
    <xf numFmtId="0" fontId="33" fillId="0" borderId="10" xfId="1" applyFont="1" applyBorder="1" applyAlignment="1">
      <alignment horizontal="center" vertical="center" wrapText="1"/>
    </xf>
    <xf numFmtId="0" fontId="31" fillId="0" borderId="16" xfId="1" applyFont="1" applyBorder="1" applyAlignment="1">
      <alignment horizontal="center" vertical="center" wrapText="1"/>
    </xf>
    <xf numFmtId="0" fontId="44" fillId="0" borderId="16" xfId="1" applyFont="1" applyBorder="1" applyAlignment="1">
      <alignment horizontal="center" vertical="center" wrapText="1"/>
    </xf>
    <xf numFmtId="0" fontId="20" fillId="0" borderId="10" xfId="1" applyFont="1" applyBorder="1" applyAlignment="1">
      <alignment vertical="top" wrapText="1"/>
    </xf>
    <xf numFmtId="0" fontId="20" fillId="26" borderId="10" xfId="1" applyFont="1" applyFill="1" applyBorder="1" applyAlignment="1">
      <alignment horizontal="center" vertical="center" wrapText="1"/>
    </xf>
    <xf numFmtId="0" fontId="31" fillId="28" borderId="10" xfId="1" applyFont="1" applyFill="1" applyBorder="1" applyAlignment="1">
      <alignment horizontal="center" vertical="center" wrapText="1"/>
    </xf>
    <xf numFmtId="0" fontId="28" fillId="24" borderId="10" xfId="1" applyFont="1" applyFill="1" applyBorder="1" applyAlignment="1">
      <alignment horizontal="center" vertical="top" wrapText="1"/>
    </xf>
    <xf numFmtId="0" fontId="29" fillId="24" borderId="42" xfId="1" applyFont="1" applyFill="1" applyBorder="1" applyAlignment="1">
      <alignment horizontal="center" vertical="center" wrapText="1"/>
    </xf>
    <xf numFmtId="0" fontId="0" fillId="0" borderId="35" xfId="0" applyBorder="1" applyAlignment="1"/>
    <xf numFmtId="0" fontId="0" fillId="0" borderId="42" xfId="0" applyBorder="1" applyAlignment="1"/>
    <xf numFmtId="0" fontId="20" fillId="0" borderId="10" xfId="1" applyFont="1" applyBorder="1" applyAlignment="1">
      <alignment horizontal="center" vertical="center"/>
    </xf>
    <xf numFmtId="0" fontId="32" fillId="0" borderId="10" xfId="1" applyFont="1" applyBorder="1" applyAlignment="1">
      <alignment horizontal="center" vertical="center" wrapText="1"/>
    </xf>
    <xf numFmtId="0" fontId="20" fillId="0" borderId="10" xfId="1" applyFont="1" applyBorder="1" applyAlignment="1">
      <alignment vertical="center" wrapText="1"/>
    </xf>
    <xf numFmtId="0" fontId="33" fillId="0" borderId="10" xfId="0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 wrapText="1"/>
    </xf>
    <xf numFmtId="0" fontId="20" fillId="0" borderId="44" xfId="1" applyFont="1" applyBorder="1" applyAlignment="1">
      <alignment horizontal="center" vertical="center" wrapText="1"/>
    </xf>
    <xf numFmtId="0" fontId="40" fillId="0" borderId="10" xfId="26" applyFont="1" applyBorder="1" applyAlignment="1" applyProtection="1">
      <alignment horizontal="center" vertical="center"/>
    </xf>
    <xf numFmtId="0" fontId="39" fillId="0" borderId="31" xfId="1" applyFont="1" applyBorder="1" applyAlignment="1">
      <alignment horizontal="center" vertical="center" wrapText="1"/>
    </xf>
    <xf numFmtId="0" fontId="39" fillId="0" borderId="10" xfId="1" applyFont="1" applyBorder="1" applyAlignment="1">
      <alignment horizontal="center" vertical="center" wrapText="1"/>
    </xf>
    <xf numFmtId="0" fontId="39" fillId="0" borderId="16" xfId="1" applyFont="1" applyBorder="1" applyAlignment="1">
      <alignment horizontal="center" vertical="center" wrapText="1"/>
    </xf>
    <xf numFmtId="0" fontId="39" fillId="0" borderId="15" xfId="1" applyFont="1" applyBorder="1" applyAlignment="1">
      <alignment horizontal="center" vertical="center" wrapText="1"/>
    </xf>
    <xf numFmtId="0" fontId="20" fillId="0" borderId="16" xfId="1" applyFont="1" applyBorder="1" applyAlignment="1">
      <alignment horizontal="center" vertical="center" wrapText="1"/>
    </xf>
    <xf numFmtId="0" fontId="39" fillId="26" borderId="10" xfId="1" applyFont="1" applyFill="1" applyBorder="1" applyAlignment="1">
      <alignment horizontal="center" vertical="center" wrapText="1"/>
    </xf>
    <xf numFmtId="0" fontId="22" fillId="0" borderId="31" xfId="1" applyFont="1" applyBorder="1" applyAlignment="1">
      <alignment horizontal="center" vertical="center" wrapText="1"/>
    </xf>
    <xf numFmtId="0" fontId="42" fillId="0" borderId="10" xfId="1" applyFont="1" applyBorder="1" applyAlignment="1">
      <alignment horizontal="center" vertical="center" wrapText="1"/>
    </xf>
    <xf numFmtId="0" fontId="20" fillId="0" borderId="44" xfId="1" applyFont="1" applyBorder="1" applyAlignment="1">
      <alignment horizontal="center" vertical="top" wrapText="1"/>
    </xf>
    <xf numFmtId="0" fontId="20" fillId="0" borderId="18" xfId="1" applyFont="1" applyBorder="1" applyAlignment="1">
      <alignment horizontal="center" vertical="top" wrapText="1"/>
    </xf>
    <xf numFmtId="0" fontId="23" fillId="0" borderId="18" xfId="1" applyFont="1" applyBorder="1" applyAlignment="1">
      <alignment horizontal="center" vertical="center" wrapText="1"/>
    </xf>
    <xf numFmtId="0" fontId="23" fillId="0" borderId="44" xfId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7" fillId="0" borderId="11" xfId="26" applyFont="1" applyBorder="1" applyAlignment="1" applyProtection="1">
      <alignment horizontal="center" vertical="center"/>
    </xf>
    <xf numFmtId="0" fontId="20" fillId="28" borderId="10" xfId="1" applyFont="1" applyFill="1" applyBorder="1" applyAlignment="1">
      <alignment vertical="top" wrapText="1"/>
    </xf>
    <xf numFmtId="0" fontId="20" fillId="27" borderId="10" xfId="1" applyFont="1" applyFill="1" applyBorder="1" applyAlignment="1">
      <alignment vertical="top" wrapText="1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/>
    </xf>
    <xf numFmtId="0" fontId="22" fillId="0" borderId="16" xfId="1" applyFont="1" applyBorder="1" applyAlignment="1">
      <alignment horizontal="center" vertical="center"/>
    </xf>
    <xf numFmtId="0" fontId="22" fillId="26" borderId="10" xfId="1" applyFont="1" applyFill="1" applyBorder="1" applyAlignment="1">
      <alignment horizontal="center" vertical="center"/>
    </xf>
    <xf numFmtId="0" fontId="31" fillId="0" borderId="16" xfId="1" applyFont="1" applyBorder="1" applyAlignment="1">
      <alignment horizontal="center" vertical="center"/>
    </xf>
    <xf numFmtId="0" fontId="28" fillId="24" borderId="23" xfId="1" applyFont="1" applyFill="1" applyBorder="1" applyAlignment="1">
      <alignment vertical="top"/>
    </xf>
    <xf numFmtId="0" fontId="22" fillId="27" borderId="10" xfId="1" applyFont="1" applyFill="1" applyBorder="1" applyAlignment="1">
      <alignment horizontal="center" vertical="center" wrapText="1"/>
    </xf>
    <xf numFmtId="0" fontId="29" fillId="24" borderId="27" xfId="1" applyFont="1" applyFill="1" applyBorder="1" applyAlignment="1">
      <alignment horizontal="center" vertical="center"/>
    </xf>
    <xf numFmtId="0" fontId="28" fillId="24" borderId="23" xfId="1" applyFont="1" applyFill="1" applyBorder="1" applyAlignment="1">
      <alignment horizontal="left" vertical="top"/>
    </xf>
    <xf numFmtId="0" fontId="20" fillId="0" borderId="16" xfId="1" applyFont="1" applyBorder="1" applyAlignment="1">
      <alignment horizontal="center" vertical="center"/>
    </xf>
  </cellXfs>
  <cellStyles count="44">
    <cellStyle name="20% - 輔色1 2" xfId="2" xr:uid="{00000000-0005-0000-0000-000002000000}"/>
    <cellStyle name="20% - 輔色2 2" xfId="3" xr:uid="{00000000-0005-0000-0000-000003000000}"/>
    <cellStyle name="20% - 輔色3 2" xfId="4" xr:uid="{00000000-0005-0000-0000-000004000000}"/>
    <cellStyle name="20% - 輔色4 2" xfId="5" xr:uid="{00000000-0005-0000-0000-000005000000}"/>
    <cellStyle name="20% - 輔色5 2" xfId="6" xr:uid="{00000000-0005-0000-0000-000006000000}"/>
    <cellStyle name="20% - 輔色6 2" xfId="7" xr:uid="{00000000-0005-0000-0000-000007000000}"/>
    <cellStyle name="40% - 輔色1 2" xfId="8" xr:uid="{00000000-0005-0000-0000-000008000000}"/>
    <cellStyle name="40% - 輔色2 2" xfId="9" xr:uid="{00000000-0005-0000-0000-000009000000}"/>
    <cellStyle name="40% - 輔色3 2" xfId="10" xr:uid="{00000000-0005-0000-0000-00000A000000}"/>
    <cellStyle name="40% - 輔色4 2" xfId="11" xr:uid="{00000000-0005-0000-0000-00000B000000}"/>
    <cellStyle name="40% - 輔色5 2" xfId="12" xr:uid="{00000000-0005-0000-0000-00000C000000}"/>
    <cellStyle name="40% - 輔色6 2" xfId="13" xr:uid="{00000000-0005-0000-0000-00000D000000}"/>
    <cellStyle name="60% - 輔色1 2" xfId="14" xr:uid="{00000000-0005-0000-0000-00000E000000}"/>
    <cellStyle name="60% - 輔色2 2" xfId="15" xr:uid="{00000000-0005-0000-0000-00000F000000}"/>
    <cellStyle name="60% - 輔色3 2" xfId="16" xr:uid="{00000000-0005-0000-0000-000010000000}"/>
    <cellStyle name="60% - 輔色4 2" xfId="17" xr:uid="{00000000-0005-0000-0000-000011000000}"/>
    <cellStyle name="60% - 輔色5 2" xfId="18" xr:uid="{00000000-0005-0000-0000-000012000000}"/>
    <cellStyle name="60% - 輔色6 2" xfId="19" xr:uid="{00000000-0005-0000-0000-000013000000}"/>
    <cellStyle name="一般" xfId="0" builtinId="0"/>
    <cellStyle name="一般 2" xfId="1" xr:uid="{00000000-0005-0000-0000-000001000000}"/>
    <cellStyle name="中等 2" xfId="20" xr:uid="{00000000-0005-0000-0000-000014000000}"/>
    <cellStyle name="合計 2" xfId="21" xr:uid="{00000000-0005-0000-0000-000015000000}"/>
    <cellStyle name="好 2" xfId="22" xr:uid="{00000000-0005-0000-0000-000016000000}"/>
    <cellStyle name="計算方式 2" xfId="23" xr:uid="{00000000-0005-0000-0000-000017000000}"/>
    <cellStyle name="連結的儲存格 2" xfId="24" xr:uid="{00000000-0005-0000-0000-000018000000}"/>
    <cellStyle name="備註 2" xfId="25" xr:uid="{00000000-0005-0000-0000-000019000000}"/>
    <cellStyle name="超連結" xfId="26" builtinId="8"/>
    <cellStyle name="說明文字 2" xfId="27" xr:uid="{00000000-0005-0000-0000-00001B000000}"/>
    <cellStyle name="輔色1 2" xfId="28" xr:uid="{00000000-0005-0000-0000-00001C000000}"/>
    <cellStyle name="輔色2 2" xfId="29" xr:uid="{00000000-0005-0000-0000-00001D000000}"/>
    <cellStyle name="輔色3 2" xfId="30" xr:uid="{00000000-0005-0000-0000-00001E000000}"/>
    <cellStyle name="輔色4 2" xfId="31" xr:uid="{00000000-0005-0000-0000-00001F000000}"/>
    <cellStyle name="輔色5 2" xfId="32" xr:uid="{00000000-0005-0000-0000-000020000000}"/>
    <cellStyle name="輔色6 2" xfId="33" xr:uid="{00000000-0005-0000-0000-000021000000}"/>
    <cellStyle name="標題 1 2" xfId="35" xr:uid="{00000000-0005-0000-0000-000023000000}"/>
    <cellStyle name="標題 2 2" xfId="36" xr:uid="{00000000-0005-0000-0000-000024000000}"/>
    <cellStyle name="標題 3 2" xfId="37" xr:uid="{00000000-0005-0000-0000-000025000000}"/>
    <cellStyle name="標題 4 2" xfId="38" xr:uid="{00000000-0005-0000-0000-000026000000}"/>
    <cellStyle name="標題 5" xfId="34" xr:uid="{00000000-0005-0000-0000-000022000000}"/>
    <cellStyle name="輸入 2" xfId="39" xr:uid="{00000000-0005-0000-0000-000027000000}"/>
    <cellStyle name="輸出 2" xfId="40" xr:uid="{00000000-0005-0000-0000-000028000000}"/>
    <cellStyle name="檢查儲存格 2" xfId="41" xr:uid="{00000000-0005-0000-0000-000029000000}"/>
    <cellStyle name="壞 2" xfId="42" xr:uid="{00000000-0005-0000-0000-00002A000000}"/>
    <cellStyle name="警告文字 2" xfId="43" xr:uid="{00000000-0005-0000-0000-00002B000000}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ourier New"/>
      </font>
      <alignment horizontal="general" vertical="center" wrapText="1"/>
    </dxf>
    <dxf>
      <font>
        <strike val="0"/>
        <condense val="0"/>
        <extend val="0"/>
        <outline val="0"/>
        <shadow val="0"/>
        <vertAlign val="baseline"/>
        <sz val="12"/>
        <color theme="1"/>
        <name val="Courier New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Courier New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新細明體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8" formatCode="yyyy\-mm"/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fill>
        <patternFill>
          <fgColor indexed="64"/>
          <bgColor indexed="65"/>
        </patternFill>
      </fill>
      <alignment horizontal="righ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numFmt numFmtId="179" formatCode="000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6"/>
        <color theme="1"/>
        <name val="Courier New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/>
        <vertAlign val="baseline"/>
        <sz val="12"/>
        <color indexed="12"/>
        <name val="微軟正黑體"/>
      </font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</border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2"/>
        <color auto="1"/>
        <name val="微軟正黑體"/>
      </font>
      <fill>
        <patternFill patternType="solid">
          <fgColor indexed="64"/>
          <bgColor theme="3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N109" totalsRowShown="0" headerRowDxfId="23" dataDxfId="22" tableBorderDxfId="21" headerRowCellStyle="一般 2" dataCellStyle="一般 2">
  <autoFilter ref="A1:N109" xr:uid="{00000000-0009-0000-0100-000001000000}"/>
  <sortState xmlns:xlrd2="http://schemas.microsoft.com/office/spreadsheetml/2017/richdata2" ref="A2:N108">
    <sortCondition ref="B1:B108"/>
  </sortState>
  <tableColumns count="14">
    <tableColumn id="1" xr3:uid="{00000000-0010-0000-0000-000001000000}" name="編號" dataDxfId="20" dataCellStyle="超連結"/>
    <tableColumn id="2" xr3:uid="{00000000-0010-0000-0000-000002000000}" name="藥代" dataDxfId="19"/>
    <tableColumn id="3" xr3:uid="{00000000-0010-0000-0000-000003000000}" name="名稱" dataDxfId="18" dataCellStyle="一般 2"/>
    <tableColumn id="4" xr3:uid="{00000000-0010-0000-0000-000004000000}" name="中文名稱"/>
    <tableColumn id="5" xr3:uid="{00000000-0010-0000-0000-000005000000}" name="字號" dataDxfId="17" dataCellStyle="一般 2"/>
    <tableColumn id="6" xr3:uid="{00000000-0010-0000-0000-000006000000}" name="字號2" dataDxfId="16" dataCellStyle="一般 2"/>
    <tableColumn id="7" xr3:uid="{00000000-0010-0000-0000-000007000000}" name="字號3" dataDxfId="15" dataCellStyle="一般 2"/>
    <tableColumn id="9" xr3:uid="{00000000-0010-0000-0000-000009000000}" name="上期結存" dataDxfId="14" dataCellStyle="一般 2"/>
    <tableColumn id="10" xr3:uid="{00000000-0010-0000-0000-00000A000000}" name="收入" dataDxfId="13" dataCellStyle="一般 2"/>
    <tableColumn id="11" xr3:uid="{00000000-0010-0000-0000-00000B000000}" name="支出" dataDxfId="12" dataCellStyle="一般 2"/>
    <tableColumn id="12" xr3:uid="{00000000-0010-0000-0000-00000C000000}" name="欄5" dataDxfId="11" dataCellStyle="一般 2"/>
    <tableColumn id="13" xr3:uid="{00000000-0010-0000-0000-00000D000000}" name="結存" dataDxfId="10" dataCellStyle="一般 2"/>
    <tableColumn id="14" xr3:uid="{00000000-0010-0000-0000-00000E000000}" name="效期_x000a_(會變色)" dataDxfId="9"/>
    <tableColumn id="8" xr3:uid="{00000000-0010-0000-0000-000008000000}" name="無轉讓*" dataDxfId="8" dataCellStyle="一般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格1" displayName="表格1" ref="A1:D9" totalsRowShown="0" headerRowDxfId="7" headerRowBorderDxfId="6">
  <autoFilter ref="A1:D9" xr:uid="{00000000-0009-0000-0100-000002000000}"/>
  <tableColumns count="4">
    <tableColumn id="1" xr3:uid="{00000000-0010-0000-0100-000001000000}" name="日期"/>
    <tableColumn id="2" xr3:uid="{00000000-0010-0000-0100-000002000000}" name="相關編號" dataDxfId="5"/>
    <tableColumn id="3" xr3:uid="{00000000-0010-0000-0100-000003000000}" name="事件" dataDxfId="4"/>
    <tableColumn id="4" xr3:uid="{00000000-0010-0000-0100-000004000000}" name="備註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O104"/>
  <sheetViews>
    <sheetView topLeftCell="C1" workbookViewId="0">
      <selection activeCell="O3" sqref="O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Gendergin 0.5mg</v>
      </c>
      <c r="K3" s="34" t="s">
        <v>13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17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7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D57:E57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69:G69"/>
    <mergeCell ref="F11:G11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F61:G61"/>
    <mergeCell ref="D39:E39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B4:D4"/>
    <mergeCell ref="F81:G81"/>
    <mergeCell ref="F23:G23"/>
    <mergeCell ref="D62:E62"/>
    <mergeCell ref="D56:E56"/>
    <mergeCell ref="D71:E71"/>
    <mergeCell ref="F13:G13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Q109"/>
  <sheetViews>
    <sheetView zoomScale="90" zoomScaleNormal="90" workbookViewId="0">
      <pane ySplit="1" topLeftCell="A54" activePane="bottomLeft" state="frozen"/>
      <selection activeCell="I59" sqref="I59"/>
      <selection pane="bottomLeft" activeCell="A60" sqref="A60"/>
    </sheetView>
  </sheetViews>
  <sheetFormatPr defaultColWidth="8.77734375" defaultRowHeight="21"/>
  <cols>
    <col min="1" max="1" width="7.33203125" style="45" customWidth="1"/>
    <col min="2" max="2" width="33.77734375" style="169" customWidth="1"/>
    <col min="3" max="3" width="20.109375" style="45" customWidth="1"/>
    <col min="4" max="4" width="29.44140625" style="45" bestFit="1" customWidth="1"/>
    <col min="5" max="5" width="25.77734375" style="45" hidden="1" customWidth="1"/>
    <col min="6" max="6" width="15.33203125" style="45" hidden="1" customWidth="1"/>
    <col min="7" max="7" width="9.77734375" style="207" customWidth="1"/>
    <col min="8" max="8" width="10.21875" style="45" customWidth="1"/>
    <col min="9" max="10" width="8.77734375" style="45" customWidth="1"/>
    <col min="11" max="11" width="8.77734375" style="45" hidden="1" customWidth="1"/>
    <col min="12" max="12" width="9.88671875" style="45" customWidth="1"/>
    <col min="13" max="13" width="10.21875" style="132" customWidth="1"/>
  </cols>
  <sheetData>
    <row r="1" spans="1:17" ht="30" customHeight="1">
      <c r="A1" s="152" t="s">
        <v>30</v>
      </c>
      <c r="B1" s="163" t="s">
        <v>31</v>
      </c>
      <c r="C1" s="48" t="s">
        <v>3</v>
      </c>
      <c r="D1" s="48" t="s">
        <v>32</v>
      </c>
      <c r="E1" s="48" t="s">
        <v>4</v>
      </c>
      <c r="F1" s="48" t="s">
        <v>33</v>
      </c>
      <c r="G1" s="203" t="s">
        <v>34</v>
      </c>
      <c r="H1" s="48" t="s">
        <v>5</v>
      </c>
      <c r="I1" s="48" t="s">
        <v>6</v>
      </c>
      <c r="J1" s="47" t="s">
        <v>7</v>
      </c>
      <c r="K1" s="48" t="s">
        <v>35</v>
      </c>
      <c r="L1" s="48" t="s">
        <v>8</v>
      </c>
      <c r="M1" s="209" t="s">
        <v>36</v>
      </c>
      <c r="N1" s="201" t="s">
        <v>37</v>
      </c>
      <c r="P1" s="37" t="s">
        <v>38</v>
      </c>
      <c r="Q1" s="37" t="s">
        <v>39</v>
      </c>
    </row>
    <row r="2" spans="1:17" ht="30" customHeight="1">
      <c r="A2" s="153">
        <v>41</v>
      </c>
      <c r="B2" s="164" t="s">
        <v>40</v>
      </c>
      <c r="C2" s="46" t="str">
        <f>'41'!$B$3</f>
        <v>Alepan 15mg</v>
      </c>
      <c r="D2" s="46" t="s">
        <v>41</v>
      </c>
      <c r="E2" s="47" t="str">
        <f>'41'!C5</f>
        <v>衛署藥製字第046145號</v>
      </c>
      <c r="F2" s="47" t="s">
        <v>42</v>
      </c>
      <c r="G2" s="204">
        <v>46145</v>
      </c>
      <c r="H2" s="44">
        <f>'41'!L3</f>
        <v>0</v>
      </c>
      <c r="I2" s="44">
        <f>'41'!M3</f>
        <v>20</v>
      </c>
      <c r="J2" s="44">
        <f>'41'!N3</f>
        <v>14</v>
      </c>
      <c r="K2" s="44">
        <v>56</v>
      </c>
      <c r="L2" s="44">
        <f>'41'!O3</f>
        <v>6</v>
      </c>
      <c r="M2" s="221"/>
      <c r="N2" s="200"/>
    </row>
    <row r="3" spans="1:17" ht="30" customHeight="1">
      <c r="A3" s="153">
        <v>70</v>
      </c>
      <c r="B3" s="164" t="s">
        <v>43</v>
      </c>
      <c r="C3" s="46" t="str">
        <f>'70'!$B$3</f>
        <v>Alepam 15mg</v>
      </c>
      <c r="D3" s="46" t="s">
        <v>44</v>
      </c>
      <c r="E3" s="47" t="s">
        <v>45</v>
      </c>
      <c r="F3" s="47" t="s">
        <v>46</v>
      </c>
      <c r="G3" s="204">
        <v>18425</v>
      </c>
      <c r="H3" s="44">
        <f>'70'!L3</f>
        <v>0</v>
      </c>
      <c r="I3" s="44">
        <f>'70'!M3</f>
        <v>0</v>
      </c>
      <c r="J3" s="44">
        <f>'70'!N3</f>
        <v>0</v>
      </c>
      <c r="K3" s="146"/>
      <c r="L3" s="44">
        <f>'70'!O3</f>
        <v>0</v>
      </c>
      <c r="M3" s="222"/>
      <c r="N3" s="44" t="s">
        <v>47</v>
      </c>
    </row>
    <row r="4" spans="1:17" ht="30" customHeight="1">
      <c r="A4" s="153">
        <v>31</v>
      </c>
      <c r="B4" s="164" t="s">
        <v>48</v>
      </c>
      <c r="C4" s="46" t="str">
        <f>'31'!$B$3</f>
        <v>Alpraline 0.5mg</v>
      </c>
      <c r="D4" s="46" t="s">
        <v>49</v>
      </c>
      <c r="E4" s="47" t="str">
        <f>'31'!C5</f>
        <v>衛署藥製字第044685號</v>
      </c>
      <c r="F4" s="47" t="s">
        <v>42</v>
      </c>
      <c r="G4" s="204">
        <v>44685</v>
      </c>
      <c r="H4" s="44">
        <f>'31'!L3</f>
        <v>443</v>
      </c>
      <c r="I4" s="44">
        <f>'31'!M3</f>
        <v>1000</v>
      </c>
      <c r="J4" s="44">
        <f>'31'!N3</f>
        <v>903.5</v>
      </c>
      <c r="K4" s="44">
        <v>104</v>
      </c>
      <c r="L4" s="44">
        <f>'31'!O3</f>
        <v>539.5</v>
      </c>
      <c r="M4" s="221"/>
      <c r="N4" s="44"/>
    </row>
    <row r="5" spans="1:17" ht="30" customHeight="1">
      <c r="A5" s="153">
        <v>1</v>
      </c>
      <c r="B5" s="250" t="s">
        <v>50</v>
      </c>
      <c r="C5" s="43" t="str">
        <f>'1'!B3</f>
        <v>Gendergin 0.5mg</v>
      </c>
      <c r="D5" s="43" t="s">
        <v>51</v>
      </c>
      <c r="E5" s="47" t="str">
        <f>'1'!C5</f>
        <v>衛署藥製字第042514號</v>
      </c>
      <c r="F5" s="47" t="s">
        <v>42</v>
      </c>
      <c r="G5" s="204">
        <v>42514</v>
      </c>
      <c r="H5" s="44">
        <f>'1'!L3</f>
        <v>0</v>
      </c>
      <c r="I5" s="44">
        <f>'1'!M3</f>
        <v>0</v>
      </c>
      <c r="J5" s="44">
        <f>'1'!N3</f>
        <v>0</v>
      </c>
      <c r="K5" s="146"/>
      <c r="L5" s="44">
        <f>'1'!O3</f>
        <v>0</v>
      </c>
      <c r="M5" s="222"/>
      <c r="N5" s="44" t="s">
        <v>47</v>
      </c>
    </row>
    <row r="6" spans="1:17" ht="30" customHeight="1">
      <c r="A6" s="153">
        <v>54</v>
      </c>
      <c r="B6" s="164" t="s">
        <v>52</v>
      </c>
      <c r="C6" s="46" t="str">
        <f>'54'!$B$3</f>
        <v>Vanipen 0.5mg</v>
      </c>
      <c r="D6" s="46" t="s">
        <v>53</v>
      </c>
      <c r="E6" s="47" t="str">
        <f>'54'!C5</f>
        <v>衛署藥製字第044546號</v>
      </c>
      <c r="F6" s="47" t="s">
        <v>42</v>
      </c>
      <c r="G6" s="204">
        <v>44546</v>
      </c>
      <c r="H6" s="44">
        <f>'54'!L3</f>
        <v>0</v>
      </c>
      <c r="I6" s="44">
        <f>'54'!M3</f>
        <v>0</v>
      </c>
      <c r="J6" s="44">
        <f>'54'!N3</f>
        <v>0</v>
      </c>
      <c r="K6" s="146"/>
      <c r="L6" s="44">
        <f>'54'!O3</f>
        <v>0</v>
      </c>
      <c r="M6" s="222"/>
      <c r="N6" s="44" t="s">
        <v>47</v>
      </c>
    </row>
    <row r="7" spans="1:17" ht="30" customHeight="1">
      <c r="A7" s="153">
        <v>29</v>
      </c>
      <c r="B7" s="164" t="s">
        <v>54</v>
      </c>
      <c r="C7" s="46" t="str">
        <f>'29'!$B$3</f>
        <v>Alprazolam 0.5mg</v>
      </c>
      <c r="D7" s="46" t="s">
        <v>55</v>
      </c>
      <c r="E7" s="47" t="str">
        <f>'29'!C5</f>
        <v>衛署藥製字第057740號</v>
      </c>
      <c r="F7" s="47" t="s">
        <v>42</v>
      </c>
      <c r="G7" s="204">
        <v>57740</v>
      </c>
      <c r="H7" s="44">
        <f>'29'!L3</f>
        <v>1383.5</v>
      </c>
      <c r="I7" s="44">
        <f>'29'!M3</f>
        <v>6000</v>
      </c>
      <c r="J7" s="44">
        <f>'29'!N3</f>
        <v>5451</v>
      </c>
      <c r="K7" s="44">
        <v>340.5</v>
      </c>
      <c r="L7" s="44">
        <f>'29'!O3</f>
        <v>1932.5</v>
      </c>
      <c r="M7" s="221"/>
      <c r="N7" s="44"/>
    </row>
    <row r="8" spans="1:17" ht="30" customHeight="1">
      <c r="A8" s="153">
        <v>78</v>
      </c>
      <c r="B8" s="164" t="s">
        <v>56</v>
      </c>
      <c r="C8" s="46" t="str">
        <f>'78'!$B$3</f>
        <v>Aprazo 0.5mg</v>
      </c>
      <c r="D8" s="46" t="s">
        <v>57</v>
      </c>
      <c r="E8" s="47" t="s">
        <v>58</v>
      </c>
      <c r="F8" s="47" t="s">
        <v>42</v>
      </c>
      <c r="G8" s="204">
        <v>45070</v>
      </c>
      <c r="H8" s="44">
        <f>'78'!L3</f>
        <v>94</v>
      </c>
      <c r="I8" s="44">
        <f>'78'!M3</f>
        <v>1580</v>
      </c>
      <c r="J8" s="44">
        <f>'78'!N3</f>
        <v>1242</v>
      </c>
      <c r="K8" s="146"/>
      <c r="L8" s="44">
        <f>'78'!O3</f>
        <v>432</v>
      </c>
      <c r="M8" s="208">
        <v>47392</v>
      </c>
      <c r="N8" s="44"/>
    </row>
    <row r="9" spans="1:17" ht="30" customHeight="1">
      <c r="A9" s="153">
        <v>95</v>
      </c>
      <c r="B9" s="164" t="s">
        <v>59</v>
      </c>
      <c r="C9" s="46" t="str">
        <f>'95'!$B$3</f>
        <v>Alpragin 2mg</v>
      </c>
      <c r="D9" s="46" t="s">
        <v>60</v>
      </c>
      <c r="E9" s="47" t="s">
        <v>61</v>
      </c>
      <c r="F9" s="47" t="s">
        <v>42</v>
      </c>
      <c r="G9" s="204">
        <v>47961</v>
      </c>
      <c r="H9" s="44">
        <f>'95'!L3</f>
        <v>57</v>
      </c>
      <c r="I9" s="44">
        <f>'95'!M3</f>
        <v>0</v>
      </c>
      <c r="J9" s="44">
        <f>'95'!N3</f>
        <v>57</v>
      </c>
      <c r="K9" s="44">
        <v>30</v>
      </c>
      <c r="L9" s="44">
        <f>'95'!O3</f>
        <v>0</v>
      </c>
      <c r="M9" s="208">
        <v>46722</v>
      </c>
      <c r="N9" s="44"/>
    </row>
    <row r="10" spans="1:17" ht="30" customHeight="1">
      <c r="A10" s="153">
        <v>58</v>
      </c>
      <c r="B10" s="164" t="s">
        <v>62</v>
      </c>
      <c r="C10" s="46" t="str">
        <f>'58'!$B$3</f>
        <v>Anxiedin 0.5mg</v>
      </c>
      <c r="D10" s="46" t="s">
        <v>63</v>
      </c>
      <c r="E10" s="47" t="str">
        <f>'58'!C5</f>
        <v>衛署藥製字第024463號</v>
      </c>
      <c r="F10" s="47" t="s">
        <v>42</v>
      </c>
      <c r="G10" s="204">
        <v>24463</v>
      </c>
      <c r="H10" s="44">
        <f>'58'!L3</f>
        <v>64</v>
      </c>
      <c r="I10" s="44">
        <f>'58'!M3</f>
        <v>100</v>
      </c>
      <c r="J10" s="44">
        <f>'58'!N3</f>
        <v>0</v>
      </c>
      <c r="K10" s="146"/>
      <c r="L10" s="44">
        <f>'58'!O3</f>
        <v>164</v>
      </c>
      <c r="M10" s="208"/>
      <c r="N10" s="44"/>
    </row>
    <row r="11" spans="1:17" ht="30" customHeight="1">
      <c r="A11" s="153">
        <v>94</v>
      </c>
      <c r="B11" s="164" t="s">
        <v>64</v>
      </c>
      <c r="C11" s="46" t="str">
        <f>'94'!$B$3</f>
        <v>Anxicam 2mg</v>
      </c>
      <c r="D11" s="46" t="s">
        <v>65</v>
      </c>
      <c r="E11" s="47" t="s">
        <v>66</v>
      </c>
      <c r="F11" s="47" t="s">
        <v>67</v>
      </c>
      <c r="G11" s="204">
        <v>58561</v>
      </c>
      <c r="H11" s="44">
        <f>'94'!K3</f>
        <v>22</v>
      </c>
      <c r="I11" s="44">
        <f>'94'!L3</f>
        <v>122</v>
      </c>
      <c r="J11" s="44">
        <f>'94'!M3</f>
        <v>90</v>
      </c>
      <c r="K11" s="44">
        <v>30</v>
      </c>
      <c r="L11" s="44">
        <f>'94'!N3</f>
        <v>32</v>
      </c>
      <c r="M11" s="208"/>
      <c r="N11" s="44"/>
    </row>
    <row r="12" spans="1:17" ht="30" customHeight="1">
      <c r="A12" s="153">
        <v>50</v>
      </c>
      <c r="B12" s="164" t="s">
        <v>68</v>
      </c>
      <c r="C12" s="46" t="str">
        <f>'50'!$B$3</f>
        <v>ANXIEDIN 1MG</v>
      </c>
      <c r="D12" s="46" t="s">
        <v>69</v>
      </c>
      <c r="E12" s="47" t="str">
        <f>'50'!C5</f>
        <v>衛署藥輸字第024885號</v>
      </c>
      <c r="F12" s="47" t="s">
        <v>46</v>
      </c>
      <c r="G12" s="204">
        <v>24885</v>
      </c>
      <c r="H12" s="44">
        <f>'50'!L3</f>
        <v>28</v>
      </c>
      <c r="I12" s="44">
        <v>0</v>
      </c>
      <c r="J12" s="44">
        <f>'50'!N3</f>
        <v>1061</v>
      </c>
      <c r="K12" s="146"/>
      <c r="L12" s="44">
        <f>'50'!O3</f>
        <v>107</v>
      </c>
      <c r="M12" s="208"/>
      <c r="N12" s="44"/>
    </row>
    <row r="13" spans="1:17" ht="30" customHeight="1">
      <c r="A13" s="153">
        <v>22</v>
      </c>
      <c r="B13" s="164" t="s">
        <v>70</v>
      </c>
      <c r="C13" s="46" t="str">
        <f>'22'!$B$3</f>
        <v xml:space="preserve">Apo-Tramadol 37.5mg/ 325mg </v>
      </c>
      <c r="D13" s="46" t="s">
        <v>71</v>
      </c>
      <c r="E13" s="47" t="str">
        <f>'22'!C5</f>
        <v>衛署藥輸字第025452號</v>
      </c>
      <c r="F13" s="47" t="s">
        <v>46</v>
      </c>
      <c r="G13" s="204">
        <v>25452</v>
      </c>
      <c r="H13" s="44">
        <f>'22'!L3</f>
        <v>140</v>
      </c>
      <c r="I13" s="44">
        <f>'22'!M3</f>
        <v>800</v>
      </c>
      <c r="J13" s="44">
        <f>'22'!N3</f>
        <v>956</v>
      </c>
      <c r="K13" s="44">
        <v>56</v>
      </c>
      <c r="L13" s="44">
        <f>'22'!O3</f>
        <v>-16</v>
      </c>
      <c r="M13" s="208"/>
      <c r="N13" s="44"/>
    </row>
    <row r="14" spans="1:17" ht="30" customHeight="1">
      <c r="A14" s="153">
        <v>27</v>
      </c>
      <c r="B14" s="164" t="s">
        <v>72</v>
      </c>
      <c r="C14" s="46" t="str">
        <f>'27'!$B$3</f>
        <v>Apo-Methyphenidate 10mg</v>
      </c>
      <c r="D14" s="46" t="s">
        <v>73</v>
      </c>
      <c r="E14" s="47" t="str">
        <f>'27'!C5</f>
        <v>衛署藥輸字第025016號</v>
      </c>
      <c r="F14" s="47" t="s">
        <v>46</v>
      </c>
      <c r="G14" s="204">
        <v>25016</v>
      </c>
      <c r="H14" s="44">
        <f>'27'!L3</f>
        <v>0</v>
      </c>
      <c r="I14" s="44">
        <f>'27'!M3</f>
        <v>0</v>
      </c>
      <c r="J14" s="44">
        <f>'27'!N3</f>
        <v>0</v>
      </c>
      <c r="K14" s="146"/>
      <c r="L14" s="44">
        <f>'27'!O3</f>
        <v>0</v>
      </c>
      <c r="M14" s="208"/>
      <c r="N14" s="44" t="s">
        <v>47</v>
      </c>
    </row>
    <row r="15" spans="1:17" ht="30" customHeight="1">
      <c r="A15" s="153">
        <v>2</v>
      </c>
      <c r="B15" s="164" t="s">
        <v>74</v>
      </c>
      <c r="C15" s="46" t="str">
        <f>'2'!$B$3</f>
        <v>Ativan 0.5mg</v>
      </c>
      <c r="D15" s="46" t="s">
        <v>75</v>
      </c>
      <c r="E15" s="47" t="str">
        <f>'2'!C5</f>
        <v>衛署藥輸字第018741號</v>
      </c>
      <c r="F15" s="47" t="s">
        <v>46</v>
      </c>
      <c r="G15" s="204">
        <v>18741</v>
      </c>
      <c r="H15" s="44">
        <f>'2'!L3</f>
        <v>608</v>
      </c>
      <c r="I15" s="44">
        <f>'2'!M3</f>
        <v>1000</v>
      </c>
      <c r="J15" s="44">
        <f>'2'!N3</f>
        <v>1102</v>
      </c>
      <c r="K15" s="44">
        <v>91</v>
      </c>
      <c r="L15" s="44">
        <f>'2'!O3</f>
        <v>506</v>
      </c>
      <c r="M15" s="208"/>
      <c r="N15" s="44"/>
    </row>
    <row r="16" spans="1:17" ht="30" customHeight="1">
      <c r="A16" s="153">
        <v>93</v>
      </c>
      <c r="B16" s="164" t="s">
        <v>76</v>
      </c>
      <c r="C16" s="46" t="str">
        <f>'93'!$B$3</f>
        <v>Bromazin 3mg</v>
      </c>
      <c r="D16" s="46" t="s">
        <v>77</v>
      </c>
      <c r="E16" s="47" t="s">
        <v>78</v>
      </c>
      <c r="F16" s="47" t="s">
        <v>42</v>
      </c>
      <c r="G16" s="204">
        <v>26080</v>
      </c>
      <c r="H16" s="44">
        <f>'93'!L3</f>
        <v>2</v>
      </c>
      <c r="I16" s="44">
        <f>'93'!M3</f>
        <v>0</v>
      </c>
      <c r="J16" s="44">
        <f>'93'!N3</f>
        <v>0</v>
      </c>
      <c r="K16" s="44"/>
      <c r="L16" s="44">
        <f>'93'!O3</f>
        <v>2</v>
      </c>
      <c r="M16" s="208">
        <v>46600</v>
      </c>
      <c r="N16" s="44"/>
    </row>
    <row r="17" spans="1:14" ht="30" customHeight="1">
      <c r="A17" s="153">
        <v>72</v>
      </c>
      <c r="B17" s="164" t="s">
        <v>79</v>
      </c>
      <c r="C17" s="46" t="str">
        <f>'72'!$B$3</f>
        <v>Bropan 3mg</v>
      </c>
      <c r="D17" s="46" t="s">
        <v>80</v>
      </c>
      <c r="E17" s="47" t="s">
        <v>81</v>
      </c>
      <c r="F17" s="47" t="s">
        <v>42</v>
      </c>
      <c r="G17" s="204">
        <v>29503</v>
      </c>
      <c r="H17" s="44">
        <f>'72'!L3</f>
        <v>60</v>
      </c>
      <c r="I17" s="44">
        <f>'72'!M3</f>
        <v>60</v>
      </c>
      <c r="J17" s="44">
        <f>'72'!N3</f>
        <v>56</v>
      </c>
      <c r="K17" s="44"/>
      <c r="L17" s="44">
        <f>'72'!O3</f>
        <v>64</v>
      </c>
      <c r="M17" s="208"/>
      <c r="N17" s="44" t="s">
        <v>47</v>
      </c>
    </row>
    <row r="18" spans="1:14" ht="30" customHeight="1">
      <c r="A18" s="153">
        <v>56</v>
      </c>
      <c r="B18" s="164" t="s">
        <v>82</v>
      </c>
      <c r="C18" s="46" t="str">
        <f>'56'!$B$3</f>
        <v>Calmday 5mg</v>
      </c>
      <c r="D18" s="46" t="s">
        <v>83</v>
      </c>
      <c r="E18" s="47" t="str">
        <f>'56'!C5</f>
        <v>衛署藥輸字第016477號</v>
      </c>
      <c r="F18" s="47" t="s">
        <v>46</v>
      </c>
      <c r="G18" s="204">
        <v>16477</v>
      </c>
      <c r="H18" s="44">
        <f>'56'!L3</f>
        <v>0</v>
      </c>
      <c r="I18" s="44">
        <f>'56'!M3</f>
        <v>0</v>
      </c>
      <c r="J18" s="44">
        <f>'56'!N3</f>
        <v>0</v>
      </c>
      <c r="K18" s="146"/>
      <c r="L18" s="44">
        <f>'56'!O3</f>
        <v>0</v>
      </c>
      <c r="M18" s="208"/>
      <c r="N18" s="44" t="s">
        <v>47</v>
      </c>
    </row>
    <row r="19" spans="1:14" ht="30" customHeight="1">
      <c r="A19" s="153">
        <v>75</v>
      </c>
      <c r="B19" s="164" t="s">
        <v>84</v>
      </c>
      <c r="C19" s="46" t="str">
        <f>'75'!$B$3</f>
        <v>Camadol 50mg</v>
      </c>
      <c r="D19" s="46" t="s">
        <v>85</v>
      </c>
      <c r="E19" s="47" t="s">
        <v>86</v>
      </c>
      <c r="F19" s="47" t="s">
        <v>42</v>
      </c>
      <c r="G19" s="204">
        <v>43597</v>
      </c>
      <c r="H19" s="44">
        <f>'75'!L3</f>
        <v>0</v>
      </c>
      <c r="I19" s="44">
        <f>'75'!M3</f>
        <v>0</v>
      </c>
      <c r="J19" s="44">
        <f>'75'!N3</f>
        <v>0</v>
      </c>
      <c r="K19" s="146"/>
      <c r="L19" s="44">
        <f>'75'!O3</f>
        <v>0</v>
      </c>
      <c r="M19" s="208"/>
      <c r="N19" s="44" t="s">
        <v>47</v>
      </c>
    </row>
    <row r="20" spans="1:14" ht="30" customHeight="1">
      <c r="A20" s="153">
        <v>7</v>
      </c>
      <c r="B20" s="164" t="s">
        <v>87</v>
      </c>
      <c r="C20" s="46" t="str">
        <f>'7'!$B$3</f>
        <v>Clonazepam 0.5mg</v>
      </c>
      <c r="D20" s="46" t="s">
        <v>88</v>
      </c>
      <c r="E20" s="47" t="str">
        <f>'7'!C5</f>
        <v>衛署藥製字第045342號</v>
      </c>
      <c r="F20" s="47" t="s">
        <v>42</v>
      </c>
      <c r="G20" s="204">
        <v>45342</v>
      </c>
      <c r="H20" s="44">
        <f>'75'!L4</f>
        <v>0</v>
      </c>
      <c r="I20" s="44">
        <f>'7'!M3</f>
        <v>300</v>
      </c>
      <c r="J20" s="44">
        <f>'7'!N3</f>
        <v>501</v>
      </c>
      <c r="K20" s="44">
        <v>14</v>
      </c>
      <c r="L20" s="44">
        <f>'7'!O3</f>
        <v>144.5</v>
      </c>
      <c r="M20" s="208">
        <v>46266</v>
      </c>
      <c r="N20" s="44"/>
    </row>
    <row r="21" spans="1:14" ht="30" customHeight="1">
      <c r="A21" s="153">
        <v>80</v>
      </c>
      <c r="B21" s="164" t="s">
        <v>89</v>
      </c>
      <c r="C21" s="46" t="str">
        <f>'80'!$B$3</f>
        <v>Clonopam 2mg</v>
      </c>
      <c r="D21" s="46" t="s">
        <v>90</v>
      </c>
      <c r="E21" s="47" t="s">
        <v>91</v>
      </c>
      <c r="F21" s="47" t="s">
        <v>42</v>
      </c>
      <c r="G21" s="204">
        <v>45345</v>
      </c>
      <c r="H21" s="44">
        <f>'80'!L3</f>
        <v>78</v>
      </c>
      <c r="I21" s="44">
        <f>'80'!M3</f>
        <v>140</v>
      </c>
      <c r="J21" s="44">
        <f>'80'!N3</f>
        <v>119</v>
      </c>
      <c r="K21" s="44"/>
      <c r="L21" s="44">
        <f>'80'!O3</f>
        <v>99</v>
      </c>
      <c r="M21" s="208">
        <v>46327</v>
      </c>
      <c r="N21" s="44"/>
    </row>
    <row r="22" spans="1:14" ht="30" customHeight="1">
      <c r="A22" s="153">
        <v>26</v>
      </c>
      <c r="B22" s="164" t="s">
        <v>92</v>
      </c>
      <c r="C22" s="46" t="str">
        <f>'26'!$B$3</f>
        <v>Concerta E.R 18mg</v>
      </c>
      <c r="D22" s="46" t="s">
        <v>93</v>
      </c>
      <c r="E22" s="47" t="str">
        <f>'26'!C5</f>
        <v>衛署藥輸字第023731號</v>
      </c>
      <c r="F22" s="47" t="s">
        <v>46</v>
      </c>
      <c r="G22" s="204">
        <v>23731</v>
      </c>
      <c r="H22" s="44">
        <f>'26'!L3</f>
        <v>26</v>
      </c>
      <c r="I22" s="44">
        <f>'26'!M3</f>
        <v>120</v>
      </c>
      <c r="J22" s="44">
        <f>'26'!N3</f>
        <v>120</v>
      </c>
      <c r="K22" s="44">
        <v>28</v>
      </c>
      <c r="L22" s="44">
        <f>'26'!O3</f>
        <v>26</v>
      </c>
      <c r="M22" s="208">
        <v>46174</v>
      </c>
      <c r="N22" s="44"/>
    </row>
    <row r="23" spans="1:14" ht="30" customHeight="1">
      <c r="A23" s="153">
        <v>28</v>
      </c>
      <c r="B23" s="164" t="s">
        <v>94</v>
      </c>
      <c r="C23" s="46" t="str">
        <f>'28'!$B$3</f>
        <v>Concerta E.R 36mg</v>
      </c>
      <c r="D23" s="46" t="s">
        <v>95</v>
      </c>
      <c r="E23" s="47" t="str">
        <f>'28'!C5</f>
        <v>衛署藥輸字第023880號</v>
      </c>
      <c r="F23" s="47" t="s">
        <v>46</v>
      </c>
      <c r="G23" s="204">
        <v>23880</v>
      </c>
      <c r="H23" s="44">
        <f>'28'!L3</f>
        <v>0</v>
      </c>
      <c r="I23" s="44">
        <f>'28'!M3</f>
        <v>120</v>
      </c>
      <c r="J23" s="44">
        <f>'28'!N3</f>
        <v>120</v>
      </c>
      <c r="K23" s="146">
        <v>28</v>
      </c>
      <c r="L23" s="44">
        <f>'28'!O3</f>
        <v>0</v>
      </c>
      <c r="M23" s="208"/>
      <c r="N23" s="44" t="s">
        <v>47</v>
      </c>
    </row>
    <row r="24" spans="1:14" ht="30" customHeight="1">
      <c r="A24" s="153">
        <v>61</v>
      </c>
      <c r="B24" s="164" t="s">
        <v>96</v>
      </c>
      <c r="C24" s="46" t="str">
        <f>'61'!$B$3</f>
        <v>Concerta E.R 27mg</v>
      </c>
      <c r="D24" s="46" t="s">
        <v>97</v>
      </c>
      <c r="E24" s="47" t="str">
        <f>'61'!C5</f>
        <v>衛署藥輸字第023999號</v>
      </c>
      <c r="F24" s="47" t="s">
        <v>46</v>
      </c>
      <c r="G24" s="204">
        <v>23999</v>
      </c>
      <c r="H24" s="44">
        <f>'61'!L3</f>
        <v>0</v>
      </c>
      <c r="I24" s="44">
        <f>'61'!M3</f>
        <v>0</v>
      </c>
      <c r="J24" s="44">
        <f>'61'!N3</f>
        <v>0</v>
      </c>
      <c r="K24" s="146"/>
      <c r="L24" s="44">
        <f>'61'!O3</f>
        <v>0</v>
      </c>
      <c r="M24" s="208"/>
      <c r="N24" s="44" t="s">
        <v>47</v>
      </c>
    </row>
    <row r="25" spans="1:14" ht="30" customHeight="1">
      <c r="A25" s="153">
        <v>30</v>
      </c>
      <c r="B25" s="164" t="s">
        <v>98</v>
      </c>
      <c r="C25" s="46" t="str">
        <f>'30'!$B$3</f>
        <v>Dactive 10 mg</v>
      </c>
      <c r="D25" s="46" t="s">
        <v>99</v>
      </c>
      <c r="E25" s="47" t="str">
        <f>'30'!C5</f>
        <v>衛署藥輸字第024958號</v>
      </c>
      <c r="F25" s="47" t="s">
        <v>46</v>
      </c>
      <c r="G25" s="204">
        <v>24958</v>
      </c>
      <c r="H25" s="44">
        <f>'30'!L3</f>
        <v>0</v>
      </c>
      <c r="I25" s="44">
        <f>'30'!M3</f>
        <v>0</v>
      </c>
      <c r="J25" s="44">
        <f>'30'!N3</f>
        <v>0</v>
      </c>
      <c r="K25" s="146"/>
      <c r="L25" s="44">
        <f>'30'!O3</f>
        <v>0</v>
      </c>
      <c r="M25" s="208"/>
      <c r="N25" s="44" t="s">
        <v>47</v>
      </c>
    </row>
    <row r="26" spans="1:14" ht="30" customHeight="1">
      <c r="A26" s="153">
        <v>45</v>
      </c>
      <c r="B26" s="164" t="s">
        <v>100</v>
      </c>
      <c r="C26" s="46" t="str">
        <f>'45'!$B$3</f>
        <v>Dalmadorm 30mg</v>
      </c>
      <c r="D26" s="46" t="s">
        <v>101</v>
      </c>
      <c r="E26" s="47" t="str">
        <f>'45'!C5</f>
        <v>衛署藥製字第036677號</v>
      </c>
      <c r="F26" s="47" t="s">
        <v>42</v>
      </c>
      <c r="G26" s="204">
        <v>36677</v>
      </c>
      <c r="H26" s="44">
        <f>'45'!L3</f>
        <v>0</v>
      </c>
      <c r="I26" s="44">
        <f>'45'!M3</f>
        <v>0</v>
      </c>
      <c r="J26" s="44">
        <f>'45'!N3</f>
        <v>0</v>
      </c>
      <c r="K26" s="44">
        <v>56</v>
      </c>
      <c r="L26" s="44">
        <f>'45'!O3</f>
        <v>0</v>
      </c>
      <c r="M26" s="208"/>
      <c r="N26" s="44" t="s">
        <v>47</v>
      </c>
    </row>
    <row r="27" spans="1:14" ht="30" customHeight="1">
      <c r="A27" s="153">
        <v>66</v>
      </c>
      <c r="B27" s="164" t="s">
        <v>102</v>
      </c>
      <c r="C27" s="46" t="str">
        <f>'66'!$B$3</f>
        <v xml:space="preserve">Dalmadorm 15mg </v>
      </c>
      <c r="D27" s="46" t="s">
        <v>103</v>
      </c>
      <c r="E27" s="47" t="s">
        <v>104</v>
      </c>
      <c r="F27" s="47" t="s">
        <v>42</v>
      </c>
      <c r="G27" s="204">
        <v>36679</v>
      </c>
      <c r="H27" s="44"/>
      <c r="I27" s="44">
        <f>'66'!M3</f>
        <v>0</v>
      </c>
      <c r="J27" s="44">
        <f>'66'!N3</f>
        <v>0</v>
      </c>
      <c r="K27" s="44"/>
      <c r="L27" s="44"/>
      <c r="M27" s="208"/>
      <c r="N27" s="44" t="s">
        <v>47</v>
      </c>
    </row>
    <row r="28" spans="1:14" ht="30" customHeight="1">
      <c r="A28" s="173">
        <v>106</v>
      </c>
      <c r="B28" s="164" t="s">
        <v>105</v>
      </c>
      <c r="C28" s="46"/>
      <c r="D28" s="49" t="s">
        <v>106</v>
      </c>
      <c r="E28" s="47" t="s">
        <v>107</v>
      </c>
      <c r="F28" s="47" t="s">
        <v>42</v>
      </c>
      <c r="G28" s="204">
        <v>19360</v>
      </c>
      <c r="H28" s="44">
        <f>'106'!L3</f>
        <v>687</v>
      </c>
      <c r="I28" s="44">
        <f>'106'!M3</f>
        <v>0</v>
      </c>
      <c r="J28" s="44">
        <f>'106'!N3</f>
        <v>385.5</v>
      </c>
      <c r="K28" s="44">
        <f>'106'!O3</f>
        <v>301.5</v>
      </c>
      <c r="L28" s="44">
        <f>'106'!O3</f>
        <v>301.5</v>
      </c>
      <c r="M28" s="208"/>
      <c r="N28" s="44"/>
    </row>
    <row r="29" spans="1:14" ht="30" customHeight="1">
      <c r="A29" s="153">
        <v>51</v>
      </c>
      <c r="B29" s="164" t="s">
        <v>108</v>
      </c>
      <c r="C29" s="46" t="str">
        <f>'51'!$B$3</f>
        <v xml:space="preserve">Diapine 2mg </v>
      </c>
      <c r="D29" s="46" t="s">
        <v>109</v>
      </c>
      <c r="E29" s="50" t="str">
        <f>'51'!C5</f>
        <v>內衛藥製字第004875號</v>
      </c>
      <c r="F29" s="50" t="s">
        <v>110</v>
      </c>
      <c r="G29" s="205">
        <v>4875</v>
      </c>
      <c r="H29" s="44">
        <f>'51'!L3</f>
        <v>0</v>
      </c>
      <c r="I29" s="44">
        <f>'51'!M3</f>
        <v>0</v>
      </c>
      <c r="J29" s="44">
        <f>'51'!N3</f>
        <v>0</v>
      </c>
      <c r="K29" s="146"/>
      <c r="L29" s="44">
        <f>'51'!O3</f>
        <v>0</v>
      </c>
      <c r="M29" s="208"/>
      <c r="N29" s="44" t="s">
        <v>47</v>
      </c>
    </row>
    <row r="30" spans="1:14" ht="30" customHeight="1">
      <c r="A30" s="153">
        <v>13</v>
      </c>
      <c r="B30" s="164" t="s">
        <v>111</v>
      </c>
      <c r="C30" s="46" t="str">
        <f>'13'!$B$3</f>
        <v>Diapin 2mg</v>
      </c>
      <c r="D30" s="46" t="s">
        <v>112</v>
      </c>
      <c r="E30" s="47" t="str">
        <f>'13'!C5</f>
        <v>衛署藥製字第000059號</v>
      </c>
      <c r="F30" s="47" t="s">
        <v>42</v>
      </c>
      <c r="G30" s="204">
        <v>59</v>
      </c>
      <c r="H30" s="44">
        <f>'13'!L3</f>
        <v>76</v>
      </c>
      <c r="I30" s="44">
        <f>'13'!M3</f>
        <v>0</v>
      </c>
      <c r="J30" s="44">
        <f>'13'!N3</f>
        <v>28</v>
      </c>
      <c r="K30" s="44"/>
      <c r="L30" s="44">
        <f>'13'!O3</f>
        <v>48</v>
      </c>
      <c r="M30" s="208">
        <v>46082</v>
      </c>
      <c r="N30" s="44"/>
    </row>
    <row r="31" spans="1:14" ht="30" customHeight="1">
      <c r="A31" s="153">
        <v>71</v>
      </c>
      <c r="B31" s="164" t="s">
        <v>113</v>
      </c>
      <c r="C31" s="46" t="str">
        <f>'71'!$B$3</f>
        <v>Dipoxido 10mg</v>
      </c>
      <c r="D31" s="46" t="s">
        <v>114</v>
      </c>
      <c r="E31" s="47" t="str">
        <f>'71'!C5</f>
        <v>內衛藥製字第005038號</v>
      </c>
      <c r="F31" s="47" t="s">
        <v>110</v>
      </c>
      <c r="G31" s="204">
        <v>5038</v>
      </c>
      <c r="H31" s="44">
        <f>'71'!L3</f>
        <v>0</v>
      </c>
      <c r="I31" s="44">
        <f>'71'!M3</f>
        <v>0</v>
      </c>
      <c r="J31" s="44">
        <f>'71'!N3</f>
        <v>0</v>
      </c>
      <c r="K31" s="146"/>
      <c r="L31" s="44">
        <f>'71'!O3</f>
        <v>0</v>
      </c>
      <c r="M31" s="208"/>
      <c r="N31" s="44" t="s">
        <v>47</v>
      </c>
    </row>
    <row r="32" spans="1:14" ht="30" customHeight="1">
      <c r="A32" s="153">
        <v>68</v>
      </c>
      <c r="B32" s="164" t="s">
        <v>115</v>
      </c>
      <c r="C32" s="46" t="str">
        <f>'68'!$B$3</f>
        <v>Dormicum 7.5mg</v>
      </c>
      <c r="D32" s="46" t="s">
        <v>116</v>
      </c>
      <c r="E32" s="47" t="s">
        <v>117</v>
      </c>
      <c r="F32" s="47" t="s">
        <v>46</v>
      </c>
      <c r="G32" s="204">
        <v>17577</v>
      </c>
      <c r="H32" s="44">
        <f>'68'!L3</f>
        <v>41</v>
      </c>
      <c r="I32" s="44">
        <f>'68'!M3</f>
        <v>800</v>
      </c>
      <c r="J32" s="44">
        <f>'68'!N3</f>
        <v>280</v>
      </c>
      <c r="K32" s="44"/>
      <c r="L32" s="44">
        <f>'68'!O3</f>
        <v>561</v>
      </c>
      <c r="M32" s="208">
        <v>46631</v>
      </c>
      <c r="N32" s="44"/>
    </row>
    <row r="33" spans="1:14" ht="30" customHeight="1">
      <c r="A33" s="153">
        <v>60</v>
      </c>
      <c r="B33" s="164" t="s">
        <v>118</v>
      </c>
      <c r="C33" s="46" t="str">
        <f>'60'!$B$3</f>
        <v>Dupin 5mg</v>
      </c>
      <c r="D33" s="46" t="s">
        <v>119</v>
      </c>
      <c r="E33" s="47" t="str">
        <f>'60'!C5</f>
        <v>內衛藥製字第010468號</v>
      </c>
      <c r="F33" s="47" t="s">
        <v>110</v>
      </c>
      <c r="G33" s="204">
        <v>10468</v>
      </c>
      <c r="H33" s="44">
        <f>'60'!L3</f>
        <v>0</v>
      </c>
      <c r="I33" s="44">
        <f>'60'!M3</f>
        <v>0</v>
      </c>
      <c r="J33" s="44">
        <f>'60'!N3</f>
        <v>0</v>
      </c>
      <c r="K33" s="44"/>
      <c r="L33" s="44">
        <f>'60'!O3</f>
        <v>0</v>
      </c>
      <c r="M33" s="208"/>
      <c r="N33" s="44"/>
    </row>
    <row r="34" spans="1:14" ht="30" customHeight="1">
      <c r="A34" s="153">
        <v>38</v>
      </c>
      <c r="B34" s="164" t="s">
        <v>120</v>
      </c>
      <c r="C34" s="46" t="str">
        <f>'38'!$B$3</f>
        <v>Elinin 20mg</v>
      </c>
      <c r="D34" s="46" t="s">
        <v>121</v>
      </c>
      <c r="E34" s="47" t="str">
        <f>'38'!C5</f>
        <v>衛署藥製字第031515號</v>
      </c>
      <c r="F34" s="47" t="s">
        <v>42</v>
      </c>
      <c r="G34" s="204">
        <v>31515</v>
      </c>
      <c r="H34" s="44">
        <f>'38'!L3</f>
        <v>0</v>
      </c>
      <c r="I34" s="44">
        <f>'38'!M3</f>
        <v>0</v>
      </c>
      <c r="J34" s="44">
        <f>'38'!N3</f>
        <v>0</v>
      </c>
      <c r="K34" s="146"/>
      <c r="L34" s="44">
        <f>'38'!O3</f>
        <v>0</v>
      </c>
      <c r="M34" s="208"/>
      <c r="N34" s="44" t="s">
        <v>47</v>
      </c>
    </row>
    <row r="35" spans="1:14" ht="30" customHeight="1">
      <c r="A35" s="248">
        <v>102</v>
      </c>
      <c r="B35" s="164" t="s">
        <v>122</v>
      </c>
      <c r="C35" s="46" t="s">
        <v>123</v>
      </c>
      <c r="D35" s="46" t="s">
        <v>124</v>
      </c>
      <c r="E35" s="47" t="str">
        <f>'102'!C5</f>
        <v>衛署藥製字第033157號</v>
      </c>
      <c r="F35" s="44" t="s">
        <v>42</v>
      </c>
      <c r="G35" s="204">
        <v>33157</v>
      </c>
      <c r="H35" s="44">
        <f>'102'!L3</f>
        <v>3052</v>
      </c>
      <c r="I35" s="44">
        <f>'102'!M3</f>
        <v>3000</v>
      </c>
      <c r="J35" s="44">
        <f>'102'!N3</f>
        <v>1134</v>
      </c>
      <c r="K35" s="44">
        <v>1476</v>
      </c>
      <c r="L35" s="44">
        <f>'102'!O3</f>
        <v>4918</v>
      </c>
      <c r="M35" s="208"/>
      <c r="N35" s="44"/>
    </row>
    <row r="36" spans="1:14" ht="30" customHeight="1">
      <c r="A36" s="153">
        <v>3</v>
      </c>
      <c r="B36" s="164" t="s">
        <v>125</v>
      </c>
      <c r="C36" s="46" t="str">
        <f>'3'!$B$3</f>
        <v xml:space="preserve">ERA 0.25mg  </v>
      </c>
      <c r="D36" s="46" t="s">
        <v>126</v>
      </c>
      <c r="E36" s="47" t="str">
        <f>'3'!C5</f>
        <v>衛署藥製字第037577號</v>
      </c>
      <c r="F36" s="47" t="s">
        <v>42</v>
      </c>
      <c r="G36" s="204">
        <v>37577</v>
      </c>
      <c r="H36" s="44">
        <v>8</v>
      </c>
      <c r="I36" s="44">
        <f>'3'!M3</f>
        <v>0</v>
      </c>
      <c r="J36" s="44">
        <f>'3'!N3</f>
        <v>0</v>
      </c>
      <c r="K36" s="44">
        <v>300</v>
      </c>
      <c r="L36" s="223">
        <v>0</v>
      </c>
      <c r="M36" s="208"/>
      <c r="N36" s="44"/>
    </row>
    <row r="37" spans="1:14" ht="30" customHeight="1">
      <c r="A37" s="153">
        <v>59</v>
      </c>
      <c r="B37" s="164" t="s">
        <v>127</v>
      </c>
      <c r="C37" s="46" t="str">
        <f>'59'!$B$3</f>
        <v>Erispan-S 0.25mg</v>
      </c>
      <c r="D37" s="46" t="s">
        <v>128</v>
      </c>
      <c r="E37" s="47" t="str">
        <f>'59'!C5</f>
        <v>衛署藥製字第046729號</v>
      </c>
      <c r="F37" s="47" t="s">
        <v>42</v>
      </c>
      <c r="G37" s="204">
        <v>46729</v>
      </c>
      <c r="H37" s="44">
        <f>'59'!L3</f>
        <v>860.5</v>
      </c>
      <c r="I37" s="44">
        <f>'59'!M3</f>
        <v>6000</v>
      </c>
      <c r="J37" s="44">
        <f>'59'!N3</f>
        <v>5210</v>
      </c>
      <c r="K37" s="44">
        <v>86</v>
      </c>
      <c r="L37" s="44">
        <f>'59'!O3</f>
        <v>1650.5</v>
      </c>
      <c r="M37" s="208"/>
      <c r="N37" s="44"/>
    </row>
    <row r="38" spans="1:14" ht="30" customHeight="1">
      <c r="A38" s="153">
        <v>99</v>
      </c>
      <c r="B38" s="164" t="s">
        <v>129</v>
      </c>
      <c r="C38" s="46" t="str">
        <f>'99'!$B$3</f>
        <v>Esomin 2mg</v>
      </c>
      <c r="D38" s="43" t="s">
        <v>130</v>
      </c>
      <c r="E38" s="47" t="str">
        <f>'99'!C5</f>
        <v>衛署藥製字第043499號</v>
      </c>
      <c r="F38" s="47" t="s">
        <v>42</v>
      </c>
      <c r="G38" s="204">
        <v>43499</v>
      </c>
      <c r="H38" s="44">
        <f>'99'!L3</f>
        <v>4</v>
      </c>
      <c r="I38" s="44">
        <f>'99'!M3</f>
        <v>0</v>
      </c>
      <c r="J38" s="44">
        <f>'99'!N3</f>
        <v>0</v>
      </c>
      <c r="K38" s="44"/>
      <c r="L38" s="44">
        <f>'99'!O3</f>
        <v>4</v>
      </c>
      <c r="M38" s="208">
        <v>46113</v>
      </c>
      <c r="N38" s="44"/>
    </row>
    <row r="39" spans="1:14" ht="30" customHeight="1">
      <c r="A39" s="153">
        <v>4</v>
      </c>
      <c r="B39" s="164" t="s">
        <v>131</v>
      </c>
      <c r="C39" s="46" t="str">
        <f>'4'!$B$3</f>
        <v>ELAM 2mg</v>
      </c>
      <c r="D39" s="46" t="s">
        <v>132</v>
      </c>
      <c r="E39" s="47" t="str">
        <f>'4'!C5</f>
        <v>衛署藥製字第043860號</v>
      </c>
      <c r="F39" s="47" t="s">
        <v>42</v>
      </c>
      <c r="G39" s="204">
        <v>43860</v>
      </c>
      <c r="H39" s="44">
        <f>'4'!L3</f>
        <v>1038.5</v>
      </c>
      <c r="I39" s="44">
        <f>'4'!M3</f>
        <v>0</v>
      </c>
      <c r="J39" s="44">
        <f>'4'!N3</f>
        <v>600</v>
      </c>
      <c r="K39" s="44">
        <v>102</v>
      </c>
      <c r="L39" s="44">
        <f>'4'!O3</f>
        <v>438.5</v>
      </c>
      <c r="M39" s="208"/>
      <c r="N39" s="44"/>
    </row>
    <row r="40" spans="1:14" ht="30" customHeight="1">
      <c r="A40" s="153">
        <v>14</v>
      </c>
      <c r="B40" s="165" t="s">
        <v>133</v>
      </c>
      <c r="C40" s="46" t="str">
        <f>'14'!$B$3</f>
        <v>Eszo 2mg</v>
      </c>
      <c r="D40" s="46" t="s">
        <v>134</v>
      </c>
      <c r="E40" s="47" t="str">
        <f>'14'!C5</f>
        <v>衛署藥製字第042646號</v>
      </c>
      <c r="F40" s="47" t="s">
        <v>42</v>
      </c>
      <c r="G40" s="204">
        <v>42646</v>
      </c>
      <c r="H40" s="44">
        <f>'14'!L3</f>
        <v>482.5</v>
      </c>
      <c r="I40" s="44">
        <f>'14'!M3</f>
        <v>1000</v>
      </c>
      <c r="J40" s="44">
        <f>'14'!N3</f>
        <v>1164</v>
      </c>
      <c r="K40" s="44">
        <v>58</v>
      </c>
      <c r="L40" s="44">
        <f>'14'!O3</f>
        <v>318.5</v>
      </c>
      <c r="M40" s="208"/>
      <c r="N40" s="44"/>
    </row>
    <row r="41" spans="1:14" ht="30" customHeight="1">
      <c r="A41" s="153">
        <v>32</v>
      </c>
      <c r="B41" s="164" t="s">
        <v>135</v>
      </c>
      <c r="C41" s="46" t="str">
        <f>'32'!$B$3</f>
        <v>Eurodin 2mg</v>
      </c>
      <c r="D41" s="46" t="s">
        <v>136</v>
      </c>
      <c r="E41" s="47" t="str">
        <f>'32'!C5</f>
        <v>衛署藥製字第012458號</v>
      </c>
      <c r="F41" s="47" t="s">
        <v>42</v>
      </c>
      <c r="G41" s="204">
        <v>12458</v>
      </c>
      <c r="H41" s="44">
        <f>'32'!L3</f>
        <v>553</v>
      </c>
      <c r="I41" s="44">
        <f>'32'!M3</f>
        <v>2900</v>
      </c>
      <c r="J41" s="44">
        <f>'32'!N3</f>
        <v>2080</v>
      </c>
      <c r="K41" s="44">
        <v>168</v>
      </c>
      <c r="L41" s="44">
        <f>'32'!O3</f>
        <v>1373</v>
      </c>
      <c r="M41" s="208"/>
      <c r="N41" s="44"/>
    </row>
    <row r="42" spans="1:14" ht="30" customHeight="1">
      <c r="A42" s="153">
        <v>91</v>
      </c>
      <c r="B42" s="164" t="s">
        <v>137</v>
      </c>
      <c r="C42" s="46" t="str">
        <f>'91'!$B$3</f>
        <v>Fallep 2mg</v>
      </c>
      <c r="D42" s="46" t="s">
        <v>138</v>
      </c>
      <c r="E42" s="47" t="s">
        <v>139</v>
      </c>
      <c r="F42" s="47" t="s">
        <v>42</v>
      </c>
      <c r="G42" s="204">
        <v>48472</v>
      </c>
      <c r="H42" s="44">
        <f>'91'!L3</f>
        <v>6</v>
      </c>
      <c r="I42" s="44">
        <f>'91'!M3</f>
        <v>0</v>
      </c>
      <c r="J42" s="44">
        <f>'91'!N3</f>
        <v>0</v>
      </c>
      <c r="K42" s="44"/>
      <c r="L42" s="44">
        <f>'91'!O3</f>
        <v>6</v>
      </c>
      <c r="M42" s="208">
        <v>46082</v>
      </c>
      <c r="N42" s="44"/>
    </row>
    <row r="43" spans="1:14" ht="30" customHeight="1">
      <c r="A43" s="153">
        <v>15</v>
      </c>
      <c r="B43" s="164" t="s">
        <v>140</v>
      </c>
      <c r="C43" s="46" t="str">
        <f>'15'!$B$3</f>
        <v>Flupine 0.25mg</v>
      </c>
      <c r="D43" s="46" t="s">
        <v>141</v>
      </c>
      <c r="E43" s="47" t="str">
        <f>'15'!C5</f>
        <v>衛署藥製字第041519號</v>
      </c>
      <c r="F43" s="47" t="s">
        <v>42</v>
      </c>
      <c r="G43" s="204">
        <v>41519</v>
      </c>
      <c r="H43" s="44">
        <f>'15'!L3</f>
        <v>79</v>
      </c>
      <c r="I43" s="44">
        <f>'15'!M3</f>
        <v>300</v>
      </c>
      <c r="J43" s="44">
        <f>'15'!N3</f>
        <v>224</v>
      </c>
      <c r="K43" s="44"/>
      <c r="L43" s="44">
        <f>'15'!O3</f>
        <v>155</v>
      </c>
      <c r="M43" s="208"/>
      <c r="N43" s="44"/>
    </row>
    <row r="44" spans="1:14" ht="30" customHeight="1">
      <c r="A44" s="153">
        <v>103</v>
      </c>
      <c r="B44" s="164" t="s">
        <v>142</v>
      </c>
      <c r="C44" s="46" t="s">
        <v>143</v>
      </c>
      <c r="D44" s="49" t="s">
        <v>144</v>
      </c>
      <c r="E44" s="47" t="s">
        <v>145</v>
      </c>
      <c r="F44" s="47" t="s">
        <v>42</v>
      </c>
      <c r="G44" s="204">
        <v>40148</v>
      </c>
      <c r="H44" s="44">
        <f>'103'!L3</f>
        <v>52</v>
      </c>
      <c r="I44" s="44">
        <f>'103'!M3</f>
        <v>90</v>
      </c>
      <c r="J44" s="44">
        <f>'103'!N3</f>
        <v>140</v>
      </c>
      <c r="K44" s="44">
        <f>'103'!O4</f>
        <v>0</v>
      </c>
      <c r="L44" s="44">
        <f>'103'!O3</f>
        <v>2</v>
      </c>
      <c r="M44" s="208">
        <v>46631</v>
      </c>
      <c r="N44" s="44"/>
    </row>
    <row r="45" spans="1:14" ht="30" customHeight="1">
      <c r="A45" s="153">
        <v>82</v>
      </c>
      <c r="B45" s="164" t="s">
        <v>146</v>
      </c>
      <c r="C45" s="46" t="str">
        <f>'82'!$B$3</f>
        <v>Frisium 10mg</v>
      </c>
      <c r="D45" s="46" t="s">
        <v>147</v>
      </c>
      <c r="E45" s="47" t="s">
        <v>148</v>
      </c>
      <c r="F45" s="47" t="s">
        <v>46</v>
      </c>
      <c r="G45" s="204">
        <v>23071</v>
      </c>
      <c r="H45" s="44">
        <f>'82'!L3</f>
        <v>0</v>
      </c>
      <c r="I45" s="44">
        <f>'82'!M3</f>
        <v>0</v>
      </c>
      <c r="J45" s="44">
        <f>'82'!N3</f>
        <v>0</v>
      </c>
      <c r="K45" s="146"/>
      <c r="L45" s="44">
        <f>'82'!O3</f>
        <v>0</v>
      </c>
      <c r="M45" s="208"/>
      <c r="N45" s="44" t="s">
        <v>47</v>
      </c>
    </row>
    <row r="46" spans="1:14" ht="30" customHeight="1">
      <c r="A46" s="153">
        <v>49</v>
      </c>
      <c r="B46" s="164" t="s">
        <v>149</v>
      </c>
      <c r="C46" s="46" t="str">
        <f>'49'!$B$3</f>
        <v>Gendergin S.R 1mg</v>
      </c>
      <c r="D46" s="46" t="s">
        <v>150</v>
      </c>
      <c r="E46" s="47" t="str">
        <f>'49'!C5</f>
        <v>衛署藥製字第044011號</v>
      </c>
      <c r="F46" s="47" t="s">
        <v>42</v>
      </c>
      <c r="G46" s="204">
        <v>44011</v>
      </c>
      <c r="H46" s="44">
        <f>'49'!L3</f>
        <v>0</v>
      </c>
      <c r="I46" s="44">
        <f>'49'!M3</f>
        <v>0</v>
      </c>
      <c r="J46" s="44">
        <f>'49'!N3</f>
        <v>0</v>
      </c>
      <c r="K46" s="146"/>
      <c r="L46" s="44">
        <f>'49'!O3</f>
        <v>0</v>
      </c>
      <c r="M46" s="208"/>
      <c r="N46" s="44" t="s">
        <v>47</v>
      </c>
    </row>
    <row r="47" spans="1:14" ht="30" customHeight="1">
      <c r="A47" s="153">
        <v>55</v>
      </c>
      <c r="B47" s="164" t="s">
        <v>151</v>
      </c>
      <c r="C47" s="46" t="str">
        <f>'55'!$B$3</f>
        <v>Genclone 7.5mg</v>
      </c>
      <c r="D47" s="46" t="s">
        <v>152</v>
      </c>
      <c r="E47" s="51" t="str">
        <f>'55'!C5</f>
        <v>衛署藥字製第043460號</v>
      </c>
      <c r="F47" s="51" t="s">
        <v>153</v>
      </c>
      <c r="G47" s="206">
        <v>43460</v>
      </c>
      <c r="H47" s="44">
        <f>'55'!L3</f>
        <v>84</v>
      </c>
      <c r="I47" s="44">
        <f>'55'!M3</f>
        <v>260</v>
      </c>
      <c r="J47" s="44">
        <f>'55'!N3</f>
        <v>280</v>
      </c>
      <c r="K47" s="44">
        <v>38</v>
      </c>
      <c r="L47" s="44">
        <f>'55'!O3</f>
        <v>64</v>
      </c>
      <c r="M47" s="208">
        <v>47027</v>
      </c>
      <c r="N47" s="44"/>
    </row>
    <row r="48" spans="1:14" ht="30" customHeight="1">
      <c r="A48" s="153">
        <v>5</v>
      </c>
      <c r="B48" s="164" t="s">
        <v>154</v>
      </c>
      <c r="C48" s="46" t="str">
        <f>'5'!$B$3</f>
        <v>Halcion 0.25mg</v>
      </c>
      <c r="D48" s="46" t="s">
        <v>155</v>
      </c>
      <c r="E48" s="47" t="str">
        <f>'5'!C5</f>
        <v>衛署藥輸字第021726號</v>
      </c>
      <c r="F48" s="47" t="s">
        <v>46</v>
      </c>
      <c r="G48" s="204">
        <v>21726</v>
      </c>
      <c r="H48" s="44">
        <f>'5'!L3</f>
        <v>136.5</v>
      </c>
      <c r="I48" s="44">
        <f>'5'!M3</f>
        <v>300</v>
      </c>
      <c r="J48" s="44">
        <f>'5'!N3</f>
        <v>312</v>
      </c>
      <c r="K48" s="44">
        <v>42</v>
      </c>
      <c r="L48" s="44">
        <f>'5'!O3</f>
        <v>124.5</v>
      </c>
      <c r="M48" s="208"/>
      <c r="N48" s="44"/>
    </row>
    <row r="49" spans="1:14" ht="30" customHeight="1">
      <c r="A49" s="153">
        <v>24</v>
      </c>
      <c r="B49" s="164" t="s">
        <v>156</v>
      </c>
      <c r="C49" s="46" t="str">
        <f>'24'!$B$3</f>
        <v>Imovane 7.5mg</v>
      </c>
      <c r="D49" s="46" t="s">
        <v>157</v>
      </c>
      <c r="E49" s="47" t="str">
        <f>'24'!C5</f>
        <v>衛署藥輸字第018158號</v>
      </c>
      <c r="F49" s="47" t="s">
        <v>46</v>
      </c>
      <c r="G49" s="204">
        <v>18158</v>
      </c>
      <c r="H49" s="44">
        <f>'24'!L3</f>
        <v>323</v>
      </c>
      <c r="I49" s="44">
        <f>'24'!M3</f>
        <v>1680</v>
      </c>
      <c r="J49" s="44">
        <f>'24'!N3</f>
        <v>1566.5</v>
      </c>
      <c r="K49" s="44">
        <v>175</v>
      </c>
      <c r="L49" s="44">
        <f>'24'!O3</f>
        <v>436.5</v>
      </c>
      <c r="M49" s="208"/>
      <c r="N49" s="44"/>
    </row>
    <row r="50" spans="1:14" ht="30" customHeight="1">
      <c r="A50" s="153">
        <v>43</v>
      </c>
      <c r="B50" s="165" t="s">
        <v>158</v>
      </c>
      <c r="C50" s="46" t="str">
        <f>'43'!$B$3</f>
        <v>Kinax 0.5mg</v>
      </c>
      <c r="D50" s="46" t="s">
        <v>159</v>
      </c>
      <c r="E50" s="47" t="str">
        <f>'43'!C5</f>
        <v>衛署藥製字第042686號</v>
      </c>
      <c r="F50" s="47" t="s">
        <v>42</v>
      </c>
      <c r="G50" s="204">
        <v>42686</v>
      </c>
      <c r="H50" s="44">
        <f>'43'!L3</f>
        <v>2620</v>
      </c>
      <c r="I50" s="44">
        <f>'43'!M3</f>
        <v>0</v>
      </c>
      <c r="J50" s="44">
        <f>'43'!N3</f>
        <v>1764.5</v>
      </c>
      <c r="K50" s="44">
        <v>120</v>
      </c>
      <c r="L50" s="44">
        <f>'43'!O3</f>
        <v>855.5</v>
      </c>
      <c r="M50" s="208"/>
      <c r="N50" s="44"/>
    </row>
    <row r="51" spans="1:14" ht="30" customHeight="1">
      <c r="A51" s="153">
        <v>53</v>
      </c>
      <c r="B51" s="164" t="s">
        <v>160</v>
      </c>
      <c r="C51" s="46" t="str">
        <f>'53'!$B$3</f>
        <v>Kinzolam 2mg</v>
      </c>
      <c r="D51" s="46" t="s">
        <v>161</v>
      </c>
      <c r="E51" s="47" t="str">
        <f>'53'!C5</f>
        <v>衛署藥製字第044029號</v>
      </c>
      <c r="F51" s="47" t="s">
        <v>42</v>
      </c>
      <c r="G51" s="204">
        <v>44029</v>
      </c>
      <c r="H51" s="44">
        <f>'53'!L3</f>
        <v>2</v>
      </c>
      <c r="I51" s="44">
        <f>'53'!M3</f>
        <v>170</v>
      </c>
      <c r="J51" s="44">
        <f>'53'!N3</f>
        <v>140</v>
      </c>
      <c r="K51" s="44"/>
      <c r="L51" s="44">
        <f>'53'!O3</f>
        <v>32</v>
      </c>
      <c r="M51" s="208">
        <v>46569</v>
      </c>
      <c r="N51" s="44"/>
    </row>
    <row r="52" spans="1:14" ht="30" customHeight="1">
      <c r="A52" s="153">
        <v>74</v>
      </c>
      <c r="B52" s="164" t="s">
        <v>162</v>
      </c>
      <c r="C52" s="46" t="str">
        <f>'74'!$B$3</f>
        <v>Larpam 2mg</v>
      </c>
      <c r="D52" s="46" t="s">
        <v>163</v>
      </c>
      <c r="E52" s="47" t="s">
        <v>164</v>
      </c>
      <c r="F52" s="47" t="s">
        <v>42</v>
      </c>
      <c r="G52" s="204">
        <v>33929</v>
      </c>
      <c r="H52" s="44">
        <f>'74'!L3</f>
        <v>0</v>
      </c>
      <c r="I52" s="44">
        <f>'74'!M3</f>
        <v>0</v>
      </c>
      <c r="J52" s="44">
        <f>'74'!N3</f>
        <v>0</v>
      </c>
      <c r="K52" s="44"/>
      <c r="L52" s="44">
        <f>'74'!O3</f>
        <v>0</v>
      </c>
      <c r="M52" s="208"/>
      <c r="N52" s="44" t="s">
        <v>47</v>
      </c>
    </row>
    <row r="53" spans="1:14" ht="30" customHeight="1">
      <c r="A53" s="153">
        <v>42</v>
      </c>
      <c r="B53" s="164" t="s">
        <v>165</v>
      </c>
      <c r="C53" s="46" t="str">
        <f>'42'!$B$3</f>
        <v xml:space="preserve">Lendormin 0.25mg </v>
      </c>
      <c r="D53" s="46" t="s">
        <v>166</v>
      </c>
      <c r="E53" s="47" t="str">
        <f>'42'!C5</f>
        <v>衛署藥輸字第025713號</v>
      </c>
      <c r="F53" s="47" t="s">
        <v>46</v>
      </c>
      <c r="G53" s="204">
        <v>25713</v>
      </c>
      <c r="H53" s="44">
        <f>'42'!L3</f>
        <v>510.5</v>
      </c>
      <c r="I53" s="44">
        <f>'42'!M3</f>
        <v>1600</v>
      </c>
      <c r="J53" s="44">
        <f>'42'!N3</f>
        <v>1972</v>
      </c>
      <c r="K53" s="44">
        <v>149</v>
      </c>
      <c r="L53" s="44">
        <f>'42'!O3</f>
        <v>138.5</v>
      </c>
      <c r="M53" s="208"/>
      <c r="N53" s="44"/>
    </row>
    <row r="54" spans="1:14" ht="30" customHeight="1">
      <c r="A54" s="153">
        <v>16</v>
      </c>
      <c r="B54" s="164" t="s">
        <v>167</v>
      </c>
      <c r="C54" s="46" t="str">
        <f>'16'!$B$3</f>
        <v>Lexotan 3mg</v>
      </c>
      <c r="D54" s="46" t="s">
        <v>168</v>
      </c>
      <c r="E54" s="47" t="str">
        <f>'16'!C5</f>
        <v>衛署藥輸字第004457號</v>
      </c>
      <c r="F54" s="47" t="s">
        <v>46</v>
      </c>
      <c r="G54" s="204">
        <v>4457</v>
      </c>
      <c r="H54" s="44">
        <f>'16'!L3</f>
        <v>3</v>
      </c>
      <c r="I54" s="44">
        <f>'16'!M3</f>
        <v>350</v>
      </c>
      <c r="J54" s="44">
        <f>'16'!N3</f>
        <v>308</v>
      </c>
      <c r="K54" s="44"/>
      <c r="L54" s="44">
        <f>'16'!O3</f>
        <v>45</v>
      </c>
      <c r="M54" s="208"/>
      <c r="N54" s="44"/>
    </row>
    <row r="55" spans="1:14" ht="30" customHeight="1">
      <c r="A55" s="153">
        <v>46</v>
      </c>
      <c r="B55" s="164" t="s">
        <v>169</v>
      </c>
      <c r="C55" s="46" t="str">
        <f>'46'!$B$3</f>
        <v>Lexotan 1.5mg</v>
      </c>
      <c r="D55" s="46" t="s">
        <v>170</v>
      </c>
      <c r="E55" s="47" t="str">
        <f>'46'!C5</f>
        <v>衛署藥輸字第004459號</v>
      </c>
      <c r="F55" s="47" t="s">
        <v>46</v>
      </c>
      <c r="G55" s="204">
        <v>4459</v>
      </c>
      <c r="H55" s="44">
        <f>'46'!L3</f>
        <v>0</v>
      </c>
      <c r="I55" s="44">
        <f>'46'!M3</f>
        <v>0</v>
      </c>
      <c r="J55" s="44">
        <f>'46'!N3</f>
        <v>0</v>
      </c>
      <c r="K55" s="146"/>
      <c r="L55" s="44">
        <f>'46'!O3</f>
        <v>0</v>
      </c>
      <c r="M55" s="208"/>
      <c r="N55" s="44" t="s">
        <v>47</v>
      </c>
    </row>
    <row r="56" spans="1:14" ht="30" customHeight="1">
      <c r="A56" s="153">
        <v>85</v>
      </c>
      <c r="B56" s="164" t="s">
        <v>171</v>
      </c>
      <c r="C56" s="46" t="str">
        <f>'85'!$B$3</f>
        <v>Lorazin 1mg</v>
      </c>
      <c r="D56" s="46" t="s">
        <v>172</v>
      </c>
      <c r="E56" s="47" t="s">
        <v>173</v>
      </c>
      <c r="F56" s="47" t="s">
        <v>42</v>
      </c>
      <c r="G56" s="204">
        <v>22816</v>
      </c>
      <c r="H56" s="44">
        <f>'85'!L3</f>
        <v>4</v>
      </c>
      <c r="I56" s="44">
        <f>'85'!M3</f>
        <v>0</v>
      </c>
      <c r="J56" s="44">
        <f>'85'!N3</f>
        <v>0</v>
      </c>
      <c r="K56" s="146"/>
      <c r="L56" s="44">
        <f>'85'!O3</f>
        <v>4</v>
      </c>
      <c r="M56" s="208">
        <v>46266</v>
      </c>
      <c r="N56" s="44"/>
    </row>
    <row r="57" spans="1:14" ht="30" customHeight="1">
      <c r="A57" s="153">
        <v>39</v>
      </c>
      <c r="B57" s="164" t="s">
        <v>174</v>
      </c>
      <c r="C57" s="46" t="str">
        <f>'39'!$B$3</f>
        <v>Lowen 0.5mg</v>
      </c>
      <c r="D57" s="46" t="s">
        <v>175</v>
      </c>
      <c r="E57" s="47" t="str">
        <f>'39'!C5</f>
        <v>衛署藥製字第027849號</v>
      </c>
      <c r="F57" s="47" t="s">
        <v>42</v>
      </c>
      <c r="G57" s="204">
        <v>27849</v>
      </c>
      <c r="H57" s="44">
        <f>'39'!L3</f>
        <v>64</v>
      </c>
      <c r="I57" s="44">
        <f>'39'!M3</f>
        <v>120</v>
      </c>
      <c r="J57" s="44">
        <f>'39'!N3</f>
        <v>168</v>
      </c>
      <c r="K57" s="44"/>
      <c r="L57" s="44">
        <f>'39'!O3</f>
        <v>16</v>
      </c>
      <c r="M57" s="208">
        <v>46204</v>
      </c>
      <c r="N57" s="44"/>
    </row>
    <row r="58" spans="1:14" ht="30" customHeight="1">
      <c r="A58" s="153">
        <v>97</v>
      </c>
      <c r="B58" s="164" t="s">
        <v>176</v>
      </c>
      <c r="C58" s="46" t="str">
        <f>'97'!$B$3</f>
        <v>Methydur S.R 22mg</v>
      </c>
      <c r="D58" s="46" t="s">
        <v>177</v>
      </c>
      <c r="E58" s="47" t="s">
        <v>178</v>
      </c>
      <c r="F58" s="47" t="s">
        <v>67</v>
      </c>
      <c r="G58" s="204">
        <v>60165</v>
      </c>
      <c r="H58" s="44">
        <f>'97'!L3</f>
        <v>6</v>
      </c>
      <c r="I58" s="44">
        <f>'97'!M3</f>
        <v>0</v>
      </c>
      <c r="J58" s="44">
        <f>'97'!N3</f>
        <v>0</v>
      </c>
      <c r="K58" s="44"/>
      <c r="L58" s="44">
        <f>'97'!O3</f>
        <v>6</v>
      </c>
      <c r="M58" s="208">
        <v>46296</v>
      </c>
      <c r="N58" s="44"/>
    </row>
    <row r="59" spans="1:14" ht="30" customHeight="1">
      <c r="A59" s="248">
        <v>104</v>
      </c>
      <c r="B59" s="164" t="s">
        <v>179</v>
      </c>
      <c r="C59" s="46" t="s">
        <v>180</v>
      </c>
      <c r="D59" s="46" t="s">
        <v>181</v>
      </c>
      <c r="E59" s="47" t="s">
        <v>182</v>
      </c>
      <c r="F59" s="47" t="s">
        <v>42</v>
      </c>
      <c r="G59" s="204">
        <v>60152</v>
      </c>
      <c r="H59" s="44">
        <f>'104'!L3</f>
        <v>4</v>
      </c>
      <c r="I59" s="44">
        <f>'104'!M3</f>
        <v>112</v>
      </c>
      <c r="J59" s="44">
        <f>'104'!N3</f>
        <v>112</v>
      </c>
      <c r="K59" s="44">
        <f>'104'!O3</f>
        <v>4</v>
      </c>
      <c r="L59" s="44">
        <f>'104'!O3</f>
        <v>4</v>
      </c>
      <c r="M59" s="208">
        <v>46054</v>
      </c>
      <c r="N59" s="44"/>
    </row>
    <row r="60" spans="1:14" ht="30" customHeight="1">
      <c r="A60" s="153">
        <v>17</v>
      </c>
      <c r="B60" s="164" t="s">
        <v>183</v>
      </c>
      <c r="C60" s="46" t="str">
        <f>'17'!$B$3</f>
        <v>Modipanol 2mg</v>
      </c>
      <c r="D60" s="46" t="s">
        <v>184</v>
      </c>
      <c r="E60" s="47" t="str">
        <f>'17'!C5</f>
        <v>衛署藥製字第037997號</v>
      </c>
      <c r="F60" s="47" t="s">
        <v>42</v>
      </c>
      <c r="G60" s="204">
        <v>37997</v>
      </c>
      <c r="H60" s="44">
        <f>'17'!L3</f>
        <v>20</v>
      </c>
      <c r="I60" s="44">
        <f>'17'!M3</f>
        <v>150</v>
      </c>
      <c r="J60" s="44">
        <f>'17'!N3</f>
        <v>84</v>
      </c>
      <c r="K60" s="44">
        <v>38</v>
      </c>
      <c r="L60" s="44">
        <f>'17'!O3</f>
        <v>86</v>
      </c>
      <c r="M60" s="208">
        <v>46539</v>
      </c>
      <c r="N60" s="44"/>
    </row>
    <row r="61" spans="1:14" ht="30" customHeight="1">
      <c r="A61" s="153">
        <v>96</v>
      </c>
      <c r="B61" s="164" t="s">
        <v>185</v>
      </c>
      <c r="C61" s="46" t="str">
        <f>'96'!$B$3</f>
        <v>Modipanol 1mg</v>
      </c>
      <c r="D61" s="46" t="s">
        <v>186</v>
      </c>
      <c r="E61" s="47" t="s">
        <v>187</v>
      </c>
      <c r="F61" s="47" t="s">
        <v>42</v>
      </c>
      <c r="G61" s="204">
        <v>45779</v>
      </c>
      <c r="H61" s="44">
        <f>'96'!L3</f>
        <v>0</v>
      </c>
      <c r="I61" s="44">
        <f>'96'!M3</f>
        <v>60</v>
      </c>
      <c r="J61" s="44">
        <f>'96'!N3</f>
        <v>56</v>
      </c>
      <c r="K61" s="44"/>
      <c r="L61" s="44">
        <f>'96'!O3</f>
        <v>4</v>
      </c>
      <c r="M61" s="208"/>
      <c r="N61" s="44" t="s">
        <v>47</v>
      </c>
    </row>
    <row r="62" spans="1:14" ht="30" customHeight="1">
      <c r="A62" s="153">
        <v>67</v>
      </c>
      <c r="B62" s="164" t="s">
        <v>188</v>
      </c>
      <c r="C62" s="46" t="str">
        <f>'67'!$B$3</f>
        <v xml:space="preserve">Muaction S.R 100mg </v>
      </c>
      <c r="D62" s="46" t="s">
        <v>189</v>
      </c>
      <c r="E62" s="47" t="s">
        <v>190</v>
      </c>
      <c r="F62" s="47" t="s">
        <v>42</v>
      </c>
      <c r="G62" s="204">
        <v>42770</v>
      </c>
      <c r="H62" s="44">
        <f>'67'!L3</f>
        <v>0</v>
      </c>
      <c r="I62" s="44">
        <f>'67'!M3</f>
        <v>0</v>
      </c>
      <c r="J62" s="44">
        <f>'67'!N3</f>
        <v>0</v>
      </c>
      <c r="K62" s="146"/>
      <c r="L62" s="44">
        <f>'67'!O3</f>
        <v>0</v>
      </c>
      <c r="M62" s="208"/>
      <c r="N62" s="44" t="s">
        <v>47</v>
      </c>
    </row>
    <row r="63" spans="1:14" ht="30" customHeight="1">
      <c r="A63" s="153">
        <v>98</v>
      </c>
      <c r="B63" s="164" t="s">
        <v>191</v>
      </c>
      <c r="C63" s="46" t="str">
        <f>'98'!$B$3</f>
        <v>Nargin 5mg</v>
      </c>
      <c r="D63" s="43" t="s">
        <v>192</v>
      </c>
      <c r="E63" s="47" t="str">
        <f>'98'!C5</f>
        <v>衛署藥製字第055108號</v>
      </c>
      <c r="F63" s="47" t="s">
        <v>42</v>
      </c>
      <c r="G63" s="204">
        <v>55108</v>
      </c>
      <c r="H63" s="44">
        <f>'98'!L3</f>
        <v>0</v>
      </c>
      <c r="I63" s="44">
        <f>'98'!M3</f>
        <v>0</v>
      </c>
      <c r="J63" s="44">
        <f>'98'!N3</f>
        <v>0</v>
      </c>
      <c r="K63" s="146"/>
      <c r="L63" s="44">
        <f>'98'!O3</f>
        <v>0</v>
      </c>
      <c r="M63" s="208"/>
      <c r="N63" s="44" t="s">
        <v>47</v>
      </c>
    </row>
    <row r="64" spans="1:14" ht="30" customHeight="1">
      <c r="A64" s="153">
        <v>6</v>
      </c>
      <c r="B64" s="164" t="s">
        <v>193</v>
      </c>
      <c r="C64" s="46" t="str">
        <f>'6'!$B$3</f>
        <v>Onsleep 10mg</v>
      </c>
      <c r="D64" s="46" t="s">
        <v>194</v>
      </c>
      <c r="E64" s="47" t="str">
        <f>'6'!C5</f>
        <v>衛署藥製字第049166號</v>
      </c>
      <c r="F64" s="47" t="s">
        <v>42</v>
      </c>
      <c r="G64" s="204">
        <v>49166</v>
      </c>
      <c r="H64" s="44">
        <f>'6'!L3</f>
        <v>0</v>
      </c>
      <c r="I64" s="44">
        <f>'6'!M3</f>
        <v>0</v>
      </c>
      <c r="J64" s="44">
        <f>'6'!N3</f>
        <v>0</v>
      </c>
      <c r="K64" s="146"/>
      <c r="L64" s="44">
        <f>'6'!O3</f>
        <v>0</v>
      </c>
      <c r="M64" s="208"/>
      <c r="N64" s="44" t="s">
        <v>47</v>
      </c>
    </row>
    <row r="65" spans="1:14" ht="30" customHeight="1">
      <c r="A65" s="153">
        <v>87</v>
      </c>
      <c r="B65" s="164" t="s">
        <v>195</v>
      </c>
      <c r="C65" s="46" t="str">
        <f>'87'!$B$3</f>
        <v>Opicet 37.5mg</v>
      </c>
      <c r="D65" s="46" t="s">
        <v>196</v>
      </c>
      <c r="E65" s="47" t="s">
        <v>197</v>
      </c>
      <c r="F65" s="47" t="s">
        <v>67</v>
      </c>
      <c r="G65" s="204">
        <v>58168</v>
      </c>
      <c r="H65" s="44">
        <f>'87'!L3</f>
        <v>0</v>
      </c>
      <c r="I65" s="44">
        <f>'87'!M3</f>
        <v>0</v>
      </c>
      <c r="J65" s="44">
        <f>'87'!N3</f>
        <v>0</v>
      </c>
      <c r="K65" s="146"/>
      <c r="L65" s="44">
        <f>'87'!O3</f>
        <v>0</v>
      </c>
      <c r="M65" s="208"/>
      <c r="N65" s="44" t="s">
        <v>47</v>
      </c>
    </row>
    <row r="66" spans="1:14" ht="30" customHeight="1">
      <c r="A66" s="153">
        <v>52</v>
      </c>
      <c r="B66" s="164" t="s">
        <v>198</v>
      </c>
      <c r="C66" s="46" t="str">
        <f>'52'!$B$3</f>
        <v>Phenobarbital 30mg</v>
      </c>
      <c r="D66" s="46" t="s">
        <v>199</v>
      </c>
      <c r="E66" s="47" t="str">
        <f>'52'!C5</f>
        <v>內衛藥製字第013419號</v>
      </c>
      <c r="F66" s="47" t="s">
        <v>110</v>
      </c>
      <c r="G66" s="204">
        <v>13419</v>
      </c>
      <c r="H66" s="44">
        <f>'52'!L3</f>
        <v>2</v>
      </c>
      <c r="I66" s="44">
        <f>'52'!M3</f>
        <v>0</v>
      </c>
      <c r="J66" s="44">
        <f>'52'!N3</f>
        <v>2</v>
      </c>
      <c r="K66" s="44"/>
      <c r="L66" s="44">
        <f>'52'!O3</f>
        <v>0</v>
      </c>
      <c r="M66" s="208">
        <v>46023</v>
      </c>
      <c r="N66" s="44"/>
    </row>
    <row r="67" spans="1:14" ht="30" customHeight="1">
      <c r="A67" s="153">
        <v>89</v>
      </c>
      <c r="B67" s="164" t="s">
        <v>200</v>
      </c>
      <c r="C67" s="46" t="str">
        <f>'89'!$B$3</f>
        <v>Ripam 0.5mg</v>
      </c>
      <c r="D67" s="46" t="s">
        <v>201</v>
      </c>
      <c r="E67" s="47" t="s">
        <v>202</v>
      </c>
      <c r="F67" s="47" t="s">
        <v>42</v>
      </c>
      <c r="G67" s="204">
        <v>58017</v>
      </c>
      <c r="H67" s="44">
        <f>'89'!L3</f>
        <v>100</v>
      </c>
      <c r="I67" s="44">
        <f>'89'!M3</f>
        <v>360</v>
      </c>
      <c r="J67" s="44">
        <f>'89'!N3</f>
        <v>364</v>
      </c>
      <c r="K67" s="44"/>
      <c r="L67" s="44">
        <f>'89'!O3</f>
        <v>96</v>
      </c>
      <c r="M67" s="208">
        <v>46631</v>
      </c>
      <c r="N67" s="44"/>
    </row>
    <row r="68" spans="1:14" ht="30" customHeight="1">
      <c r="A68" s="193">
        <v>35</v>
      </c>
      <c r="B68" s="167" t="s">
        <v>203</v>
      </c>
      <c r="C68" s="46" t="str">
        <f>'35'!$B$3</f>
        <v>Ritalin 10mg</v>
      </c>
      <c r="D68" s="46" t="s">
        <v>204</v>
      </c>
      <c r="E68" s="47" t="str">
        <f>'35'!C5</f>
        <v>衛署藥製字第030740號</v>
      </c>
      <c r="F68" s="47" t="s">
        <v>42</v>
      </c>
      <c r="G68" s="204">
        <v>30740</v>
      </c>
      <c r="H68" s="44">
        <f>'35'!L3</f>
        <v>0</v>
      </c>
      <c r="I68" s="44">
        <f>'35'!M3</f>
        <v>0</v>
      </c>
      <c r="J68" s="44">
        <f>'35'!N3</f>
        <v>0</v>
      </c>
      <c r="K68" s="146"/>
      <c r="L68" s="44">
        <f>'35'!O3</f>
        <v>0</v>
      </c>
      <c r="M68" s="208"/>
      <c r="N68" s="44" t="s">
        <v>47</v>
      </c>
    </row>
    <row r="69" spans="1:14" ht="30" customHeight="1">
      <c r="A69" s="153">
        <v>81</v>
      </c>
      <c r="B69" s="164" t="s">
        <v>205</v>
      </c>
      <c r="C69" s="46" t="str">
        <f>'81'!$B$3</f>
        <v>Ritalin 10mg</v>
      </c>
      <c r="D69" s="46" t="s">
        <v>204</v>
      </c>
      <c r="E69" s="47" t="s">
        <v>206</v>
      </c>
      <c r="F69" s="47" t="s">
        <v>207</v>
      </c>
      <c r="G69" s="204">
        <v>27080</v>
      </c>
      <c r="H69" s="44">
        <f>'81'!L3</f>
        <v>0</v>
      </c>
      <c r="I69" s="44">
        <f>'81'!M3</f>
        <v>0</v>
      </c>
      <c r="J69" s="44">
        <f>'81'!N3</f>
        <v>0</v>
      </c>
      <c r="K69" s="44"/>
      <c r="L69" s="44">
        <f>'81'!O3</f>
        <v>0</v>
      </c>
      <c r="M69" s="208">
        <v>45962</v>
      </c>
      <c r="N69" s="44"/>
    </row>
    <row r="70" spans="1:14" ht="30" customHeight="1">
      <c r="A70" s="153">
        <v>86</v>
      </c>
      <c r="B70" s="164" t="s">
        <v>208</v>
      </c>
      <c r="C70" s="46" t="str">
        <f>'86'!$B$3</f>
        <v>Ritalin LA 20mg</v>
      </c>
      <c r="D70" s="46" t="s">
        <v>209</v>
      </c>
      <c r="E70" s="47" t="s">
        <v>210</v>
      </c>
      <c r="F70" s="47" t="s">
        <v>46</v>
      </c>
      <c r="G70" s="204">
        <v>25333</v>
      </c>
      <c r="H70" s="44">
        <f>'86'!L3</f>
        <v>8</v>
      </c>
      <c r="I70" s="44">
        <f>'86'!M3</f>
        <v>30</v>
      </c>
      <c r="J70" s="44">
        <f>'86'!N3</f>
        <v>28</v>
      </c>
      <c r="K70" s="44"/>
      <c r="L70" s="44">
        <f>'86'!O3</f>
        <v>10</v>
      </c>
      <c r="M70" s="208">
        <v>46082</v>
      </c>
      <c r="N70" s="44"/>
    </row>
    <row r="71" spans="1:14" ht="30" customHeight="1">
      <c r="A71" s="153">
        <v>90</v>
      </c>
      <c r="B71" s="164" t="s">
        <v>211</v>
      </c>
      <c r="C71" s="46" t="str">
        <f>'90'!$B$3</f>
        <v>Ritalin LA 40mg</v>
      </c>
      <c r="D71" s="46" t="s">
        <v>212</v>
      </c>
      <c r="E71" s="47" t="str">
        <f>'90'!C5</f>
        <v>衛署藥輸字第025335號</v>
      </c>
      <c r="F71" s="47" t="s">
        <v>46</v>
      </c>
      <c r="G71" s="204">
        <v>25335</v>
      </c>
      <c r="H71" s="44">
        <f>'90'!L3</f>
        <v>0</v>
      </c>
      <c r="I71" s="44">
        <f>'90'!M3</f>
        <v>0</v>
      </c>
      <c r="J71" s="44">
        <f>'90'!N3</f>
        <v>0</v>
      </c>
      <c r="K71" s="146"/>
      <c r="L71" s="44">
        <f>'90'!O3</f>
        <v>0</v>
      </c>
      <c r="M71" s="208"/>
      <c r="N71" s="44" t="s">
        <v>47</v>
      </c>
    </row>
    <row r="72" spans="1:14" ht="30" customHeight="1">
      <c r="A72" s="153">
        <v>18</v>
      </c>
      <c r="B72" s="164" t="s">
        <v>213</v>
      </c>
      <c r="C72" s="46" t="str">
        <f>'18'!$B$3</f>
        <v>Rivotril 0.5mg</v>
      </c>
      <c r="D72" s="46" t="s">
        <v>214</v>
      </c>
      <c r="E72" s="47" t="str">
        <f>'18'!C5</f>
        <v>衛署藥輸字第003077號</v>
      </c>
      <c r="F72" s="47" t="s">
        <v>46</v>
      </c>
      <c r="G72" s="204">
        <v>3077</v>
      </c>
      <c r="H72" s="44">
        <f>'18'!L3</f>
        <v>991</v>
      </c>
      <c r="I72" s="44">
        <f>'18'!M3</f>
        <v>5100</v>
      </c>
      <c r="J72" s="44">
        <f>'18'!N3</f>
        <v>3391.5</v>
      </c>
      <c r="K72" s="44">
        <f>288+428.5</f>
        <v>716.5</v>
      </c>
      <c r="L72" s="44">
        <f>'18'!O3</f>
        <v>2699.5</v>
      </c>
      <c r="M72" s="208"/>
      <c r="N72" s="44"/>
    </row>
    <row r="73" spans="1:14" ht="30" customHeight="1">
      <c r="A73" s="153">
        <v>23</v>
      </c>
      <c r="B73" s="164" t="s">
        <v>215</v>
      </c>
      <c r="C73" s="46" t="str">
        <f>'23'!$B$3</f>
        <v>Rivotril 2mg</v>
      </c>
      <c r="D73" s="46" t="s">
        <v>216</v>
      </c>
      <c r="E73" s="47" t="str">
        <f>'23'!C5</f>
        <v>衛署藥輸字第003078號</v>
      </c>
      <c r="F73" s="47" t="s">
        <v>46</v>
      </c>
      <c r="G73" s="204">
        <v>3078</v>
      </c>
      <c r="H73" s="44">
        <f>'23'!L3</f>
        <v>206.5</v>
      </c>
      <c r="I73" s="44">
        <f>'23'!M3</f>
        <v>1200</v>
      </c>
      <c r="J73" s="44">
        <f>'23'!N3</f>
        <v>664</v>
      </c>
      <c r="K73" s="44">
        <v>98</v>
      </c>
      <c r="L73" s="44">
        <f>'23'!O3</f>
        <v>742.5</v>
      </c>
      <c r="M73" s="208"/>
      <c r="N73" s="44"/>
    </row>
    <row r="74" spans="1:14" ht="30" customHeight="1">
      <c r="A74" s="153">
        <v>77</v>
      </c>
      <c r="B74" s="164" t="s">
        <v>217</v>
      </c>
      <c r="C74" s="46" t="str">
        <f>'77'!$B$3</f>
        <v>Seanto 10mg</v>
      </c>
      <c r="D74" s="46" t="s">
        <v>218</v>
      </c>
      <c r="E74" s="47" t="s">
        <v>219</v>
      </c>
      <c r="F74" s="47" t="s">
        <v>42</v>
      </c>
      <c r="G74" s="204">
        <v>31295</v>
      </c>
      <c r="H74" s="44">
        <f>'77'!L3</f>
        <v>0</v>
      </c>
      <c r="I74" s="44">
        <f>'77'!M3</f>
        <v>0</v>
      </c>
      <c r="J74" s="44">
        <f>'77'!N3</f>
        <v>0</v>
      </c>
      <c r="K74" s="146"/>
      <c r="L74" s="44">
        <f>'77'!O3</f>
        <v>0</v>
      </c>
      <c r="M74" s="208"/>
      <c r="N74" s="44" t="s">
        <v>47</v>
      </c>
    </row>
    <row r="75" spans="1:14" ht="30" customHeight="1">
      <c r="A75" s="153">
        <v>47</v>
      </c>
      <c r="B75" s="164" t="s">
        <v>220</v>
      </c>
      <c r="C75" s="46" t="str">
        <f>'47'!$B$3</f>
        <v>Secorin 10mg</v>
      </c>
      <c r="D75" s="46" t="s">
        <v>221</v>
      </c>
      <c r="E75" s="47" t="str">
        <f>'47'!C5</f>
        <v>衛署藥製字第028649號</v>
      </c>
      <c r="F75" s="47" t="s">
        <v>42</v>
      </c>
      <c r="G75" s="204">
        <v>28649</v>
      </c>
      <c r="H75" s="44">
        <f>'47'!L3</f>
        <v>0</v>
      </c>
      <c r="I75" s="44">
        <f>'47'!M3</f>
        <v>396</v>
      </c>
      <c r="J75" s="44">
        <f>'47'!N3</f>
        <v>286</v>
      </c>
      <c r="K75" s="146"/>
      <c r="L75" s="44">
        <f>'47'!O3</f>
        <v>110</v>
      </c>
      <c r="M75" s="208"/>
      <c r="N75" s="44" t="s">
        <v>47</v>
      </c>
    </row>
    <row r="76" spans="1:14" ht="30" customHeight="1">
      <c r="A76" s="153">
        <v>37</v>
      </c>
      <c r="B76" s="164" t="s">
        <v>222</v>
      </c>
      <c r="C76" s="46" t="str">
        <f>'37'!$B$3</f>
        <v>Silence 1mg</v>
      </c>
      <c r="D76" s="46" t="s">
        <v>223</v>
      </c>
      <c r="E76" s="47" t="str">
        <f>'37'!C5</f>
        <v>衛署藥製字第019247號</v>
      </c>
      <c r="F76" s="47" t="s">
        <v>42</v>
      </c>
      <c r="G76" s="204">
        <v>19247</v>
      </c>
      <c r="H76" s="44">
        <f>'37'!L3</f>
        <v>574</v>
      </c>
      <c r="I76" s="44">
        <f>'37'!M3</f>
        <v>2030</v>
      </c>
      <c r="J76" s="44">
        <f>'37'!N3</f>
        <v>898</v>
      </c>
      <c r="K76" s="44"/>
      <c r="L76" s="44">
        <f>'37'!O3</f>
        <v>1706</v>
      </c>
      <c r="M76" s="208"/>
      <c r="N76" s="44"/>
    </row>
    <row r="77" spans="1:14" ht="30" customHeight="1">
      <c r="A77" s="153">
        <v>100</v>
      </c>
      <c r="B77" s="164" t="s">
        <v>224</v>
      </c>
      <c r="C77" s="46" t="str">
        <f>'100'!$B$3</f>
        <v>Sonaplon 2mg</v>
      </c>
      <c r="D77" s="46" t="s">
        <v>225</v>
      </c>
      <c r="E77" s="47" t="str">
        <f>'100'!C5</f>
        <v>衛部藥製字第049423號</v>
      </c>
      <c r="F77" s="47" t="s">
        <v>67</v>
      </c>
      <c r="G77" s="204">
        <v>49423</v>
      </c>
      <c r="H77" s="44">
        <f>'100'!L3</f>
        <v>0</v>
      </c>
      <c r="I77" s="44">
        <f>'100'!M3</f>
        <v>0</v>
      </c>
      <c r="J77" s="44">
        <f>'100'!N3</f>
        <v>0</v>
      </c>
      <c r="K77" s="44"/>
      <c r="L77" s="44">
        <f>'100'!O3</f>
        <v>0</v>
      </c>
      <c r="M77" s="208"/>
      <c r="N77" s="44" t="s">
        <v>47</v>
      </c>
    </row>
    <row r="78" spans="1:14" ht="30" customHeight="1">
      <c r="A78" s="153">
        <v>34</v>
      </c>
      <c r="B78" s="164" t="s">
        <v>226</v>
      </c>
      <c r="C78" s="46" t="str">
        <f>'34'!$B$3</f>
        <v>Sotalon 10mg</v>
      </c>
      <c r="D78" s="46" t="s">
        <v>227</v>
      </c>
      <c r="E78" s="47" t="str">
        <f>'34'!C5</f>
        <v>衛署藥製字第049084號</v>
      </c>
      <c r="F78" s="47" t="s">
        <v>42</v>
      </c>
      <c r="G78" s="204">
        <v>49084</v>
      </c>
      <c r="H78" s="44">
        <f>'34'!L3</f>
        <v>0</v>
      </c>
      <c r="I78" s="44">
        <f>'34'!M3</f>
        <v>0</v>
      </c>
      <c r="J78" s="44">
        <f>'34'!N3</f>
        <v>0</v>
      </c>
      <c r="K78" s="146"/>
      <c r="L78" s="44">
        <f>'34'!O3</f>
        <v>0</v>
      </c>
      <c r="M78" s="208"/>
      <c r="N78" s="44" t="s">
        <v>47</v>
      </c>
    </row>
    <row r="79" spans="1:14" ht="30" customHeight="1">
      <c r="A79" s="153">
        <v>88</v>
      </c>
      <c r="B79" s="164" t="s">
        <v>228</v>
      </c>
      <c r="C79" s="46" t="str">
        <f>'88'!$B$3</f>
        <v>Stapam 0.5mg</v>
      </c>
      <c r="D79" s="46" t="s">
        <v>229</v>
      </c>
      <c r="E79" s="47" t="s">
        <v>230</v>
      </c>
      <c r="F79" s="47" t="s">
        <v>42</v>
      </c>
      <c r="G79" s="204">
        <v>22111</v>
      </c>
      <c r="H79" s="44">
        <f>'88'!L3</f>
        <v>0</v>
      </c>
      <c r="I79" s="44">
        <f>'88'!M3</f>
        <v>0</v>
      </c>
      <c r="J79" s="44">
        <f>'88'!N3</f>
        <v>0</v>
      </c>
      <c r="K79" s="146"/>
      <c r="L79" s="44">
        <f>'88'!O3</f>
        <v>0</v>
      </c>
      <c r="M79" s="208"/>
      <c r="N79" s="44" t="s">
        <v>47</v>
      </c>
    </row>
    <row r="80" spans="1:14" ht="30" customHeight="1">
      <c r="A80" s="153">
        <v>19</v>
      </c>
      <c r="B80" s="164" t="s">
        <v>231</v>
      </c>
      <c r="C80" s="46" t="str">
        <f>'19'!$B$3</f>
        <v>Stilnox 10mg</v>
      </c>
      <c r="D80" s="46" t="s">
        <v>232</v>
      </c>
      <c r="E80" s="47" t="str">
        <f>'19'!C5</f>
        <v>衛署藥輸字第021531號</v>
      </c>
      <c r="F80" s="47" t="s">
        <v>46</v>
      </c>
      <c r="G80" s="204">
        <v>21531</v>
      </c>
      <c r="H80" s="44">
        <f>'19'!L3</f>
        <v>505.5</v>
      </c>
      <c r="I80" s="44">
        <f>'19'!M3</f>
        <v>3024</v>
      </c>
      <c r="J80" s="44">
        <f>'19'!N3</f>
        <v>1760</v>
      </c>
      <c r="K80" s="44">
        <v>274</v>
      </c>
      <c r="L80" s="44">
        <f>'19'!O3</f>
        <v>1769.5</v>
      </c>
      <c r="M80" s="208"/>
      <c r="N80" s="44"/>
    </row>
    <row r="81" spans="1:14" ht="30" customHeight="1">
      <c r="A81" s="153">
        <v>48</v>
      </c>
      <c r="B81" s="164" t="s">
        <v>233</v>
      </c>
      <c r="C81" s="46" t="str">
        <f>'48'!$B$3</f>
        <v>Stilnox C.R 6.25 mg</v>
      </c>
      <c r="D81" s="46" t="s">
        <v>234</v>
      </c>
      <c r="E81" s="47" t="str">
        <f>'48'!C5</f>
        <v>衛署藥輸字第024677號</v>
      </c>
      <c r="F81" s="47" t="s">
        <v>46</v>
      </c>
      <c r="G81" s="204">
        <v>24677</v>
      </c>
      <c r="H81" s="44">
        <f>'48'!L3</f>
        <v>0</v>
      </c>
      <c r="I81" s="44">
        <f>'48'!M3</f>
        <v>112</v>
      </c>
      <c r="J81" s="44">
        <f>'48'!N3</f>
        <v>56</v>
      </c>
      <c r="K81" s="44"/>
      <c r="L81" s="44">
        <f>'48'!O3</f>
        <v>56</v>
      </c>
      <c r="M81" s="208"/>
      <c r="N81" s="44" t="s">
        <v>47</v>
      </c>
    </row>
    <row r="82" spans="1:14" ht="30" customHeight="1">
      <c r="A82" s="153">
        <v>25</v>
      </c>
      <c r="B82" s="164" t="s">
        <v>235</v>
      </c>
      <c r="C82" s="46" t="str">
        <f>'25'!$B$3</f>
        <v>Semi-Nax  10mg</v>
      </c>
      <c r="D82" s="46" t="s">
        <v>236</v>
      </c>
      <c r="E82" s="47" t="str">
        <f>'25'!C5</f>
        <v>衛署藥製字第044463號</v>
      </c>
      <c r="F82" s="47" t="s">
        <v>42</v>
      </c>
      <c r="G82" s="204">
        <v>44463</v>
      </c>
      <c r="H82" s="44">
        <f>'25'!L3</f>
        <v>107</v>
      </c>
      <c r="I82" s="44">
        <f>'25'!M3</f>
        <v>750</v>
      </c>
      <c r="J82" s="44">
        <f>'25'!N3</f>
        <v>690</v>
      </c>
      <c r="K82" s="44">
        <v>28</v>
      </c>
      <c r="L82" s="44">
        <f>'25'!O3</f>
        <v>167</v>
      </c>
      <c r="M82" s="208">
        <v>46600</v>
      </c>
      <c r="N82" s="44"/>
    </row>
    <row r="83" spans="1:14" ht="30" customHeight="1">
      <c r="A83" s="153">
        <v>8</v>
      </c>
      <c r="B83" s="166" t="s">
        <v>237</v>
      </c>
      <c r="C83" s="46" t="str">
        <f>'8'!$B$3</f>
        <v>SULNINE  10mg</v>
      </c>
      <c r="D83" s="46" t="s">
        <v>238</v>
      </c>
      <c r="E83" s="47" t="str">
        <f>'8'!C5</f>
        <v>衛署藥製字第035256號</v>
      </c>
      <c r="F83" s="47" t="s">
        <v>42</v>
      </c>
      <c r="G83" s="204">
        <v>35256</v>
      </c>
      <c r="H83" s="44">
        <f>'8'!L3</f>
        <v>415</v>
      </c>
      <c r="I83" s="44">
        <f>'8'!M3</f>
        <v>3000</v>
      </c>
      <c r="J83" s="44">
        <f>'8'!N3</f>
        <v>2213</v>
      </c>
      <c r="K83" s="44">
        <v>197</v>
      </c>
      <c r="L83" s="44">
        <f>'8'!O3</f>
        <v>1202</v>
      </c>
      <c r="M83" s="208"/>
      <c r="N83" s="44"/>
    </row>
    <row r="84" spans="1:14" ht="30" customHeight="1">
      <c r="A84" s="153">
        <v>40</v>
      </c>
      <c r="B84" s="164" t="s">
        <v>239</v>
      </c>
      <c r="C84" s="46" t="str">
        <f>'40'!$B$3</f>
        <v>Syndoman 15mg</v>
      </c>
      <c r="D84" s="46" t="s">
        <v>240</v>
      </c>
      <c r="E84" s="47" t="str">
        <f>'40'!C5</f>
        <v>衛署藥製字第042227號</v>
      </c>
      <c r="F84" s="47" t="s">
        <v>42</v>
      </c>
      <c r="G84" s="204">
        <v>42227</v>
      </c>
      <c r="H84" s="44">
        <f>'40'!L3</f>
        <v>0</v>
      </c>
      <c r="I84" s="44">
        <f>'40'!M3</f>
        <v>0</v>
      </c>
      <c r="J84" s="44">
        <f>'40'!N3</f>
        <v>0</v>
      </c>
      <c r="K84" s="44"/>
      <c r="L84" s="44">
        <f>'40'!O3</f>
        <v>0</v>
      </c>
      <c r="M84" s="208"/>
      <c r="N84" s="44" t="s">
        <v>47</v>
      </c>
    </row>
    <row r="85" spans="1:14" ht="30" customHeight="1">
      <c r="A85" s="153">
        <v>84</v>
      </c>
      <c r="B85" s="164" t="s">
        <v>241</v>
      </c>
      <c r="C85" s="46" t="str">
        <f>'84'!$B$3</f>
        <v>Syndoman 30mg</v>
      </c>
      <c r="D85" s="46" t="s">
        <v>242</v>
      </c>
      <c r="E85" s="47" t="s">
        <v>243</v>
      </c>
      <c r="F85" s="47" t="s">
        <v>42</v>
      </c>
      <c r="G85" s="204">
        <v>42222</v>
      </c>
      <c r="H85" s="44">
        <f>'84'!L3</f>
        <v>0</v>
      </c>
      <c r="I85" s="44">
        <f>'84'!M3</f>
        <v>0</v>
      </c>
      <c r="J85" s="44">
        <f>'84'!N3</f>
        <v>0</v>
      </c>
      <c r="K85" s="44">
        <v>28</v>
      </c>
      <c r="L85" s="44">
        <f>'84'!O3</f>
        <v>0</v>
      </c>
      <c r="M85" s="208"/>
      <c r="N85" s="44" t="s">
        <v>47</v>
      </c>
    </row>
    <row r="86" spans="1:14" ht="30" customHeight="1">
      <c r="A86" s="153">
        <v>69</v>
      </c>
      <c r="B86" s="164" t="s">
        <v>244</v>
      </c>
      <c r="C86" s="46" t="str">
        <f>'69'!$B$3</f>
        <v>Taee S.C 5mg</v>
      </c>
      <c r="D86" s="46" t="s">
        <v>245</v>
      </c>
      <c r="E86" s="47" t="s">
        <v>246</v>
      </c>
      <c r="F86" s="47" t="s">
        <v>110</v>
      </c>
      <c r="G86" s="204">
        <v>1503</v>
      </c>
      <c r="H86" s="44">
        <f>'69'!L3</f>
        <v>0</v>
      </c>
      <c r="I86" s="44">
        <f>'69'!M3</f>
        <v>0</v>
      </c>
      <c r="J86" s="44">
        <f>'69'!N3</f>
        <v>0</v>
      </c>
      <c r="K86" s="146"/>
      <c r="L86" s="44">
        <f>'69'!O3</f>
        <v>0</v>
      </c>
      <c r="M86" s="208"/>
      <c r="N86" s="44" t="s">
        <v>47</v>
      </c>
    </row>
    <row r="87" spans="1:14" ht="30" customHeight="1">
      <c r="A87" s="153">
        <v>73</v>
      </c>
      <c r="B87" s="164" t="s">
        <v>247</v>
      </c>
      <c r="C87" s="46" t="str">
        <f>'73'!$B$3</f>
        <v>Tramacet 37.5mg</v>
      </c>
      <c r="D87" s="46" t="s">
        <v>248</v>
      </c>
      <c r="E87" s="47" t="s">
        <v>249</v>
      </c>
      <c r="F87" s="47" t="s">
        <v>42</v>
      </c>
      <c r="G87" s="204">
        <v>57779</v>
      </c>
      <c r="H87" s="44">
        <f>'73'!L3</f>
        <v>275</v>
      </c>
      <c r="I87" s="44">
        <f>'73'!M3</f>
        <v>0</v>
      </c>
      <c r="J87" s="44">
        <f>'73'!N3</f>
        <v>136</v>
      </c>
      <c r="K87" s="44"/>
      <c r="L87" s="44">
        <f>'73'!O3</f>
        <v>139</v>
      </c>
      <c r="M87" s="208">
        <v>46692</v>
      </c>
      <c r="N87" s="44"/>
    </row>
    <row r="88" spans="1:14" ht="30" customHeight="1">
      <c r="A88" s="153">
        <v>76</v>
      </c>
      <c r="B88" s="164" t="s">
        <v>250</v>
      </c>
      <c r="C88" s="46" t="str">
        <f>'76'!$B$3</f>
        <v>Tramed 50mg</v>
      </c>
      <c r="D88" s="46" t="s">
        <v>251</v>
      </c>
      <c r="E88" s="47" t="s">
        <v>252</v>
      </c>
      <c r="F88" s="47" t="s">
        <v>42</v>
      </c>
      <c r="G88" s="204">
        <v>43824</v>
      </c>
      <c r="H88" s="44">
        <f>'76'!L3</f>
        <v>8</v>
      </c>
      <c r="I88" s="44">
        <f>'76'!M3</f>
        <v>0</v>
      </c>
      <c r="J88" s="44">
        <f>'76'!N3</f>
        <v>0</v>
      </c>
      <c r="K88" s="44"/>
      <c r="L88" s="44">
        <f>'76'!O3</f>
        <v>8</v>
      </c>
      <c r="M88" s="208">
        <v>46143</v>
      </c>
      <c r="N88" s="44"/>
    </row>
    <row r="89" spans="1:14" ht="30" customHeight="1">
      <c r="A89" s="153">
        <v>83</v>
      </c>
      <c r="B89" s="164" t="s">
        <v>253</v>
      </c>
      <c r="C89" s="46" t="str">
        <f>'83'!$B$3</f>
        <v>Tramadol Sandoz Uno 200mg</v>
      </c>
      <c r="D89" s="46" t="s">
        <v>254</v>
      </c>
      <c r="E89" s="47" t="s">
        <v>255</v>
      </c>
      <c r="F89" s="47" t="s">
        <v>46</v>
      </c>
      <c r="G89" s="204">
        <v>24340</v>
      </c>
      <c r="H89" s="44">
        <f>'83'!L3</f>
        <v>0</v>
      </c>
      <c r="I89" s="44">
        <f>'83'!M3</f>
        <v>0</v>
      </c>
      <c r="J89" s="44">
        <f>'83'!N3</f>
        <v>0</v>
      </c>
      <c r="K89" s="146"/>
      <c r="L89" s="44">
        <f>'83'!O3</f>
        <v>0</v>
      </c>
      <c r="M89" s="208"/>
      <c r="N89" s="44" t="s">
        <v>47</v>
      </c>
    </row>
    <row r="90" spans="1:14" ht="30" customHeight="1">
      <c r="A90" s="153">
        <v>101</v>
      </c>
      <c r="B90" s="164" t="s">
        <v>256</v>
      </c>
      <c r="C90" s="49" t="s">
        <v>257</v>
      </c>
      <c r="D90" s="49" t="s">
        <v>258</v>
      </c>
      <c r="E90" s="47" t="str">
        <f>'101'!C5</f>
        <v>衛署藥製字第045279號</v>
      </c>
      <c r="F90" s="47" t="s">
        <v>42</v>
      </c>
      <c r="G90" s="204">
        <v>45279</v>
      </c>
      <c r="H90" s="44">
        <f>'101'!L3</f>
        <v>4</v>
      </c>
      <c r="I90" s="44">
        <f>'101'!M3</f>
        <v>0</v>
      </c>
      <c r="J90" s="44">
        <f>'101'!N3</f>
        <v>0</v>
      </c>
      <c r="K90" s="44"/>
      <c r="L90" s="44">
        <f>'101'!O3</f>
        <v>4</v>
      </c>
      <c r="M90" s="208">
        <v>46692</v>
      </c>
      <c r="N90" s="44"/>
    </row>
    <row r="91" spans="1:14" ht="30" customHeight="1">
      <c r="A91" s="153">
        <v>20</v>
      </c>
      <c r="B91" s="164" t="s">
        <v>259</v>
      </c>
      <c r="C91" s="46" t="str">
        <f>'20'!$B$3</f>
        <v>Ultracet 37.5mg</v>
      </c>
      <c r="D91" s="46" t="s">
        <v>260</v>
      </c>
      <c r="E91" s="47" t="str">
        <f>'20'!C5</f>
        <v>衛署藥輸字第023917號</v>
      </c>
      <c r="F91" s="47" t="s">
        <v>46</v>
      </c>
      <c r="G91" s="204">
        <v>23917</v>
      </c>
      <c r="H91" s="44">
        <f>'20'!L3</f>
        <v>0</v>
      </c>
      <c r="I91" s="44">
        <f>'20'!M3</f>
        <v>0</v>
      </c>
      <c r="J91" s="44">
        <f>'20'!N3</f>
        <v>0</v>
      </c>
      <c r="K91" s="146"/>
      <c r="L91" s="44">
        <f>'20'!O3</f>
        <v>0</v>
      </c>
      <c r="M91" s="208"/>
      <c r="N91" s="44" t="s">
        <v>47</v>
      </c>
    </row>
    <row r="92" spans="1:14" ht="30" customHeight="1">
      <c r="A92" s="153">
        <v>65</v>
      </c>
      <c r="B92" s="164" t="s">
        <v>261</v>
      </c>
      <c r="C92" s="46" t="str">
        <f>'65'!$B$3</f>
        <v>Traceton 37.5mg</v>
      </c>
      <c r="D92" s="46" t="s">
        <v>262</v>
      </c>
      <c r="E92" s="47" t="s">
        <v>263</v>
      </c>
      <c r="F92" s="47" t="s">
        <v>42</v>
      </c>
      <c r="G92" s="204">
        <v>56706</v>
      </c>
      <c r="H92" s="44">
        <f>'65'!L3</f>
        <v>7</v>
      </c>
      <c r="I92" s="44">
        <f>'65'!M3</f>
        <v>630</v>
      </c>
      <c r="J92" s="44">
        <f>'65'!N3</f>
        <v>536</v>
      </c>
      <c r="K92" s="146"/>
      <c r="L92" s="44">
        <f>'65'!O3</f>
        <v>101</v>
      </c>
      <c r="M92" s="208"/>
      <c r="N92" s="44"/>
    </row>
    <row r="93" spans="1:14" ht="30" customHeight="1">
      <c r="A93" s="153">
        <v>92</v>
      </c>
      <c r="B93" s="164" t="s">
        <v>264</v>
      </c>
      <c r="C93" s="46" t="str">
        <f>'92'!$B$3</f>
        <v>Utraphen 37.5mg</v>
      </c>
      <c r="D93" s="46" t="s">
        <v>265</v>
      </c>
      <c r="E93" s="47" t="s">
        <v>266</v>
      </c>
      <c r="F93" s="47" t="s">
        <v>42</v>
      </c>
      <c r="G93" s="204">
        <v>57777</v>
      </c>
      <c r="H93" s="44">
        <f>'92'!L3</f>
        <v>0</v>
      </c>
      <c r="I93" s="44">
        <f>'92'!M3</f>
        <v>80</v>
      </c>
      <c r="J93" s="44">
        <f>'92'!N3</f>
        <v>66</v>
      </c>
      <c r="K93" s="44"/>
      <c r="L93" s="44">
        <f>'92'!O3</f>
        <v>14</v>
      </c>
      <c r="M93" s="208"/>
      <c r="N93" s="44"/>
    </row>
    <row r="94" spans="1:14" ht="30" customHeight="1">
      <c r="A94" s="153">
        <v>9</v>
      </c>
      <c r="B94" s="164" t="s">
        <v>267</v>
      </c>
      <c r="C94" s="46" t="str">
        <f>'9'!$B$3</f>
        <v xml:space="preserve">Diazepam 2mg </v>
      </c>
      <c r="D94" s="46" t="s">
        <v>268</v>
      </c>
      <c r="E94" s="47" t="str">
        <f>'9'!C5</f>
        <v>衛署藥製字第030507號</v>
      </c>
      <c r="F94" s="47" t="s">
        <v>42</v>
      </c>
      <c r="G94" s="204">
        <v>30507</v>
      </c>
      <c r="H94" s="44">
        <f>'9'!L3</f>
        <v>706</v>
      </c>
      <c r="I94" s="44">
        <f>'9'!M3</f>
        <v>1000</v>
      </c>
      <c r="J94" s="44">
        <f>'9'!N3</f>
        <v>1390</v>
      </c>
      <c r="K94" s="44">
        <v>419</v>
      </c>
      <c r="L94" s="44">
        <f>'9'!O3</f>
        <v>316</v>
      </c>
      <c r="M94" s="208"/>
      <c r="N94" s="44"/>
    </row>
    <row r="95" spans="1:14" ht="30" customHeight="1">
      <c r="A95" s="173">
        <v>105</v>
      </c>
      <c r="B95" s="164" t="s">
        <v>269</v>
      </c>
      <c r="C95" s="46" t="s">
        <v>270</v>
      </c>
      <c r="D95" s="46" t="s">
        <v>271</v>
      </c>
      <c r="E95" s="47" t="s">
        <v>272</v>
      </c>
      <c r="F95" s="47" t="s">
        <v>46</v>
      </c>
      <c r="G95" s="204">
        <v>26598</v>
      </c>
      <c r="H95" s="44">
        <f>'105'!L3</f>
        <v>4</v>
      </c>
      <c r="I95" s="44">
        <f>'105'!M3</f>
        <v>0</v>
      </c>
      <c r="J95" s="44">
        <f>'105'!N3</f>
        <v>0</v>
      </c>
      <c r="K95" s="44">
        <f>'105'!O3</f>
        <v>4</v>
      </c>
      <c r="L95" s="44">
        <f>'105'!O3</f>
        <v>4</v>
      </c>
      <c r="M95" s="208">
        <v>46296</v>
      </c>
      <c r="N95" s="44"/>
    </row>
    <row r="96" spans="1:14" ht="30" customHeight="1">
      <c r="A96" s="153">
        <v>21</v>
      </c>
      <c r="B96" s="164" t="s">
        <v>273</v>
      </c>
      <c r="C96" s="46" t="str">
        <f>'21'!$B$3</f>
        <v>Xanax 0.5mg</v>
      </c>
      <c r="D96" s="46" t="s">
        <v>274</v>
      </c>
      <c r="E96" s="47" t="str">
        <f>'21'!C5</f>
        <v>衛署藥輸字第021140號</v>
      </c>
      <c r="F96" s="47" t="s">
        <v>46</v>
      </c>
      <c r="G96" s="204">
        <v>21140</v>
      </c>
      <c r="H96" s="44">
        <f>'21'!L3</f>
        <v>1402</v>
      </c>
      <c r="I96" s="44">
        <f>'21'!M3</f>
        <v>3000</v>
      </c>
      <c r="J96" s="44">
        <f>'21'!N3</f>
        <v>2951</v>
      </c>
      <c r="K96" s="44">
        <v>418</v>
      </c>
      <c r="L96" s="44">
        <f>'21'!O3</f>
        <v>1451</v>
      </c>
      <c r="M96" s="208"/>
      <c r="N96" s="44"/>
    </row>
    <row r="97" spans="1:14" ht="30" customHeight="1">
      <c r="A97" s="153">
        <v>33</v>
      </c>
      <c r="B97" s="164" t="s">
        <v>275</v>
      </c>
      <c r="C97" s="46" t="str">
        <f>'33'!$B$3</f>
        <v>Xanax XR E.R 0.5mg</v>
      </c>
      <c r="D97" s="46" t="s">
        <v>276</v>
      </c>
      <c r="E97" s="47" t="str">
        <f>'33'!C5</f>
        <v>衛署藥輸字第021698號</v>
      </c>
      <c r="F97" s="47" t="s">
        <v>46</v>
      </c>
      <c r="G97" s="204">
        <v>21698</v>
      </c>
      <c r="H97" s="44">
        <f>'33'!L3</f>
        <v>150</v>
      </c>
      <c r="I97" s="44">
        <f>'33'!M3</f>
        <v>710</v>
      </c>
      <c r="J97" s="44">
        <f>'33'!N3</f>
        <v>762</v>
      </c>
      <c r="K97" s="44">
        <v>30</v>
      </c>
      <c r="L97" s="44">
        <f>'33'!O3</f>
        <v>98</v>
      </c>
      <c r="M97" s="208"/>
      <c r="N97" s="44"/>
    </row>
    <row r="98" spans="1:14" ht="30" customHeight="1">
      <c r="A98" s="153">
        <v>44</v>
      </c>
      <c r="B98" s="164" t="s">
        <v>277</v>
      </c>
      <c r="C98" s="46" t="str">
        <f>'44'!$B$3</f>
        <v>Xanax 0.25mg</v>
      </c>
      <c r="D98" s="46" t="s">
        <v>278</v>
      </c>
      <c r="E98" s="47" t="str">
        <f>'44'!C5</f>
        <v>衛署藥輸字第021234號</v>
      </c>
      <c r="F98" s="47" t="s">
        <v>46</v>
      </c>
      <c r="G98" s="204">
        <v>21234</v>
      </c>
      <c r="H98" s="44">
        <f>'44'!L3</f>
        <v>92</v>
      </c>
      <c r="I98" s="44">
        <f>'44'!M3</f>
        <v>60</v>
      </c>
      <c r="J98" s="44">
        <f>'44'!N3</f>
        <v>28</v>
      </c>
      <c r="K98" s="44"/>
      <c r="L98" s="44">
        <f>'44'!O3</f>
        <v>124</v>
      </c>
      <c r="M98" s="208">
        <v>46266</v>
      </c>
      <c r="N98" s="44"/>
    </row>
    <row r="99" spans="1:14" ht="30" customHeight="1">
      <c r="A99" s="153">
        <v>62</v>
      </c>
      <c r="B99" s="164" t="s">
        <v>279</v>
      </c>
      <c r="C99" s="46" t="str">
        <f>'62'!$B$3</f>
        <v>Zipsoon 10mg</v>
      </c>
      <c r="D99" s="46" t="s">
        <v>280</v>
      </c>
      <c r="E99" s="47" t="str">
        <f>'62'!C5</f>
        <v>衛署藥製字第046563號</v>
      </c>
      <c r="F99" s="47" t="s">
        <v>42</v>
      </c>
      <c r="G99" s="204">
        <v>46563</v>
      </c>
      <c r="H99" s="44">
        <f>'62'!L3</f>
        <v>690</v>
      </c>
      <c r="I99" s="44">
        <f>'62'!M3</f>
        <v>1000</v>
      </c>
      <c r="J99" s="44">
        <f>'62'!N3</f>
        <v>964</v>
      </c>
      <c r="K99" s="44">
        <v>88</v>
      </c>
      <c r="L99" s="44">
        <f>'62'!O3</f>
        <v>726</v>
      </c>
      <c r="M99" s="208"/>
      <c r="N99" s="44"/>
    </row>
    <row r="100" spans="1:14" ht="30" customHeight="1">
      <c r="A100" s="153">
        <v>10</v>
      </c>
      <c r="B100" s="164" t="s">
        <v>281</v>
      </c>
      <c r="C100" s="46" t="str">
        <f>'10'!$B$3</f>
        <v>Zodenox 10mg</v>
      </c>
      <c r="D100" s="46" t="s">
        <v>282</v>
      </c>
      <c r="E100" s="47" t="str">
        <f>'10'!C5</f>
        <v>衛署藥製字第049217號</v>
      </c>
      <c r="F100" s="47" t="s">
        <v>42</v>
      </c>
      <c r="G100" s="204">
        <v>49217</v>
      </c>
      <c r="H100" s="44">
        <f>'10'!L3</f>
        <v>32</v>
      </c>
      <c r="I100" s="44">
        <f>'10'!M3</f>
        <v>360</v>
      </c>
      <c r="J100" s="44">
        <f>'10'!N3</f>
        <v>252</v>
      </c>
      <c r="K100" s="44"/>
      <c r="L100" s="44">
        <f>'10'!O3</f>
        <v>140</v>
      </c>
      <c r="M100" s="208"/>
      <c r="N100" s="44" t="s">
        <v>47</v>
      </c>
    </row>
    <row r="101" spans="1:14">
      <c r="A101" s="153">
        <v>11</v>
      </c>
      <c r="B101" s="167" t="s">
        <v>283</v>
      </c>
      <c r="C101" s="46" t="str">
        <f>'11'!$B$3</f>
        <v>Zolpidem 10mg</v>
      </c>
      <c r="D101" s="219" t="s">
        <v>284</v>
      </c>
      <c r="E101" s="47" t="str">
        <f>'11'!C5</f>
        <v>衛署藥製字第046255號</v>
      </c>
      <c r="F101" s="47" t="s">
        <v>42</v>
      </c>
      <c r="G101" s="204">
        <v>46255</v>
      </c>
      <c r="H101" s="44">
        <f>'11'!L3</f>
        <v>0</v>
      </c>
      <c r="I101" s="44">
        <f>'11'!M3</f>
        <v>0</v>
      </c>
      <c r="J101" s="44">
        <f>'11'!N3</f>
        <v>0</v>
      </c>
      <c r="K101" s="146"/>
      <c r="L101" s="44">
        <f>'11'!O3</f>
        <v>0</v>
      </c>
      <c r="M101" s="208"/>
      <c r="N101" s="44" t="s">
        <v>47</v>
      </c>
    </row>
    <row r="102" spans="1:14" ht="30" customHeight="1">
      <c r="A102" s="153">
        <v>36</v>
      </c>
      <c r="B102" s="164" t="s">
        <v>285</v>
      </c>
      <c r="C102" s="46" t="str">
        <f>'36'!$B$3</f>
        <v>Zolon 7.5mg</v>
      </c>
      <c r="D102" s="46" t="s">
        <v>286</v>
      </c>
      <c r="E102" s="47" t="str">
        <f>'36'!C5</f>
        <v>衛署藥製字第046013號</v>
      </c>
      <c r="F102" s="47" t="s">
        <v>42</v>
      </c>
      <c r="G102" s="204">
        <v>46013</v>
      </c>
      <c r="H102" s="44">
        <f>'36'!L3</f>
        <v>113</v>
      </c>
      <c r="I102" s="44">
        <f>'36'!M3</f>
        <v>300</v>
      </c>
      <c r="J102" s="44">
        <f>'36'!N3</f>
        <v>187</v>
      </c>
      <c r="K102" s="44">
        <v>86</v>
      </c>
      <c r="L102" s="44">
        <f>'36'!O3</f>
        <v>226</v>
      </c>
      <c r="M102" s="208"/>
      <c r="N102" s="44"/>
    </row>
    <row r="103" spans="1:14" ht="30" customHeight="1">
      <c r="A103" s="153">
        <v>79</v>
      </c>
      <c r="B103" s="164" t="s">
        <v>287</v>
      </c>
      <c r="C103" s="46" t="str">
        <f>'79'!$B$3</f>
        <v>Zolnox 10mg</v>
      </c>
      <c r="D103" s="46" t="s">
        <v>288</v>
      </c>
      <c r="E103" s="47" t="s">
        <v>289</v>
      </c>
      <c r="F103" s="47" t="s">
        <v>42</v>
      </c>
      <c r="G103" s="204">
        <v>44605</v>
      </c>
      <c r="H103" s="44">
        <f>'79'!L3</f>
        <v>232</v>
      </c>
      <c r="I103" s="44">
        <f>'79'!M3</f>
        <v>800</v>
      </c>
      <c r="J103" s="44">
        <f>'79'!N3</f>
        <v>856</v>
      </c>
      <c r="K103" s="44">
        <v>134</v>
      </c>
      <c r="L103" s="44">
        <f>'79'!O3</f>
        <v>176</v>
      </c>
      <c r="M103" s="208"/>
      <c r="N103" s="44"/>
    </row>
    <row r="104" spans="1:14" ht="31.2" customHeight="1">
      <c r="A104" s="153">
        <v>63</v>
      </c>
      <c r="B104" s="168" t="s">
        <v>290</v>
      </c>
      <c r="C104" s="218" t="str">
        <f>'63'!$B$3</f>
        <v>Zoldem 10mg</v>
      </c>
      <c r="D104" s="219" t="s">
        <v>291</v>
      </c>
      <c r="E104" s="220" t="str">
        <f>'63'!C5</f>
        <v>衛署藥輸字第023735號</v>
      </c>
      <c r="F104" s="47" t="s">
        <v>46</v>
      </c>
      <c r="G104" s="204">
        <v>23735</v>
      </c>
      <c r="H104" s="44">
        <f>'63'!L3</f>
        <v>0</v>
      </c>
      <c r="I104" s="44">
        <f>'63'!M3</f>
        <v>0</v>
      </c>
      <c r="J104" s="44">
        <f>'63'!N3</f>
        <v>0</v>
      </c>
      <c r="K104" s="146"/>
      <c r="L104" s="44">
        <f>'63'!O3</f>
        <v>0</v>
      </c>
      <c r="M104" s="208"/>
      <c r="N104" s="44" t="s">
        <v>47</v>
      </c>
    </row>
    <row r="105" spans="1:14">
      <c r="A105" s="159">
        <v>12</v>
      </c>
      <c r="B105" s="164" t="s">
        <v>292</v>
      </c>
      <c r="C105" s="46" t="str">
        <f>'12'!$B$3</f>
        <v>Zolpidem 10mg</v>
      </c>
      <c r="D105" s="46" t="s">
        <v>293</v>
      </c>
      <c r="E105" s="47" t="str">
        <f>'12'!C5</f>
        <v>衛署藥製字第057306號</v>
      </c>
      <c r="F105" s="47" t="s">
        <v>42</v>
      </c>
      <c r="G105" s="204">
        <v>57306</v>
      </c>
      <c r="H105" s="44">
        <f>'12'!L3</f>
        <v>2233</v>
      </c>
      <c r="I105" s="44">
        <f>'12'!M3</f>
        <v>3000</v>
      </c>
      <c r="J105" s="44">
        <f>'12'!N3</f>
        <v>3043</v>
      </c>
      <c r="K105" s="44">
        <f>284+30</f>
        <v>314</v>
      </c>
      <c r="L105" s="44">
        <f>'12'!O3</f>
        <v>2190</v>
      </c>
      <c r="M105" s="208"/>
      <c r="N105" s="44"/>
    </row>
    <row r="106" spans="1:14">
      <c r="A106" s="159">
        <v>64</v>
      </c>
      <c r="B106" s="164" t="s">
        <v>294</v>
      </c>
      <c r="C106" s="46" t="str">
        <f>'64'!$B$3</f>
        <v>Zopidem 10MG</v>
      </c>
      <c r="D106" s="46" t="s">
        <v>295</v>
      </c>
      <c r="E106" s="47" t="s">
        <v>296</v>
      </c>
      <c r="F106" s="47" t="s">
        <v>42</v>
      </c>
      <c r="G106" s="204">
        <v>44826</v>
      </c>
      <c r="H106" s="44">
        <f>'64'!L3</f>
        <v>0</v>
      </c>
      <c r="I106" s="44">
        <f>'64'!M3</f>
        <v>0</v>
      </c>
      <c r="J106" s="44">
        <f>'64'!N3</f>
        <v>0</v>
      </c>
      <c r="K106" s="146"/>
      <c r="L106" s="44">
        <f>'64'!O3</f>
        <v>0</v>
      </c>
      <c r="M106" s="208"/>
      <c r="N106" s="44" t="s">
        <v>47</v>
      </c>
    </row>
    <row r="107" spans="1:14">
      <c r="A107" s="159">
        <v>57</v>
      </c>
      <c r="B107" s="164"/>
      <c r="C107" s="46">
        <f>'57'!$B$3</f>
        <v>0</v>
      </c>
      <c r="D107" s="46"/>
      <c r="E107" s="47">
        <f>'57'!C5</f>
        <v>0</v>
      </c>
      <c r="F107" s="47">
        <v>0</v>
      </c>
      <c r="G107" s="204"/>
      <c r="H107" s="44">
        <f>'57'!L3</f>
        <v>0</v>
      </c>
      <c r="I107" s="44">
        <f>'57'!M3</f>
        <v>0</v>
      </c>
      <c r="J107" s="44">
        <f>'57'!N3</f>
        <v>0</v>
      </c>
      <c r="K107" s="44"/>
      <c r="L107" s="44">
        <f>'57'!O3</f>
        <v>0</v>
      </c>
      <c r="M107" s="208"/>
      <c r="N107" s="44"/>
    </row>
    <row r="108" spans="1:14" ht="30.9" customHeight="1">
      <c r="A108" s="159">
        <v>107</v>
      </c>
      <c r="B108" s="164" t="s">
        <v>297</v>
      </c>
      <c r="C108" s="46" t="s">
        <v>298</v>
      </c>
      <c r="D108" s="49" t="s">
        <v>299</v>
      </c>
      <c r="E108" s="47"/>
      <c r="F108" s="47"/>
      <c r="G108" s="204"/>
      <c r="H108" s="44"/>
      <c r="I108" s="44">
        <f>'107'!M3</f>
        <v>64</v>
      </c>
      <c r="J108" s="44">
        <f>'107'!N3</f>
        <v>0</v>
      </c>
      <c r="K108" s="44">
        <f>'106'!O4</f>
        <v>0</v>
      </c>
      <c r="L108" s="44">
        <f>'107'!O3</f>
        <v>64</v>
      </c>
      <c r="M108" s="221"/>
      <c r="N108" s="44"/>
    </row>
    <row r="109" spans="1:14">
      <c r="A109" s="159">
        <v>108</v>
      </c>
      <c r="B109" s="164" t="s">
        <v>300</v>
      </c>
      <c r="C109" s="46" t="s">
        <v>301</v>
      </c>
      <c r="D109" s="239" t="s">
        <v>302</v>
      </c>
      <c r="E109" s="47"/>
      <c r="F109" s="47"/>
      <c r="G109" s="204">
        <v>25332</v>
      </c>
      <c r="H109" s="44">
        <v>0</v>
      </c>
      <c r="I109" s="44">
        <v>30</v>
      </c>
      <c r="J109" s="44"/>
      <c r="K109" s="44"/>
      <c r="L109" s="44">
        <f>'108'!O3</f>
        <v>4</v>
      </c>
      <c r="M109" s="240"/>
      <c r="N109" s="44"/>
    </row>
  </sheetData>
  <phoneticPr fontId="30" type="noConversion"/>
  <conditionalFormatting sqref="M1:M1048576">
    <cfRule type="timePeriod" dxfId="2" priority="1" timePeriod="nextMonth">
      <formula>AND(MONTH(M1)=MONTH(EDATE(TODAY(),0+1)),YEAR(M1)=YEAR(EDATE(TODAY(),0+1)))</formula>
    </cfRule>
  </conditionalFormatting>
  <hyperlinks>
    <hyperlink ref="A2" location="'41'!A1" display="'41'!A1" xr:uid="{00000000-0004-0000-0100-000000000000}"/>
    <hyperlink ref="A3" location="'70'!A1" display="'70'!A1" xr:uid="{00000000-0004-0000-0100-000001000000}"/>
    <hyperlink ref="A4" location="'31'!A1" display="'31'!A1" xr:uid="{00000000-0004-0000-0100-000002000000}"/>
    <hyperlink ref="A5" location="'1'!A1" display="'1'!A1" xr:uid="{00000000-0004-0000-0100-000003000000}"/>
    <hyperlink ref="A6" location="'54'!A1" display="'54'!A1" xr:uid="{00000000-0004-0000-0100-000004000000}"/>
    <hyperlink ref="A7" location="'29'!A1" display="'29'!A1" xr:uid="{00000000-0004-0000-0100-000005000000}"/>
    <hyperlink ref="A8" location="'78'!A1" display="'78'!A1" xr:uid="{00000000-0004-0000-0100-000006000000}"/>
    <hyperlink ref="A9" location="'95'!A1" display="'95'!A1" xr:uid="{00000000-0004-0000-0100-000007000000}"/>
    <hyperlink ref="A10" location="'58'!A1" display="'58'!A1" xr:uid="{00000000-0004-0000-0100-000008000000}"/>
    <hyperlink ref="A11" location="'94'!A1" display="'94'!A1" xr:uid="{00000000-0004-0000-0100-000009000000}"/>
    <hyperlink ref="A12" location="'50'!A1" display="'50'!A1" xr:uid="{00000000-0004-0000-0100-00000A000000}"/>
    <hyperlink ref="A13" location="'22'!A1" display="'22'!A1" xr:uid="{00000000-0004-0000-0100-00000B000000}"/>
    <hyperlink ref="A14" location="'27'!A1" display="'27'!A1" xr:uid="{00000000-0004-0000-0100-00000C000000}"/>
    <hyperlink ref="A15" location="'2'!A1" display="'2'!A1" xr:uid="{00000000-0004-0000-0100-00000D000000}"/>
    <hyperlink ref="A16" location="'93'!A1" display="'93'!A1" xr:uid="{00000000-0004-0000-0100-00000E000000}"/>
    <hyperlink ref="A17" location="'72'!A1" display="'72'!A1" xr:uid="{00000000-0004-0000-0100-00000F000000}"/>
    <hyperlink ref="A18" location="'56'!A1" display="'56'!A1" xr:uid="{00000000-0004-0000-0100-000010000000}"/>
    <hyperlink ref="A19" location="'75'!A1" display="'75'!A1" xr:uid="{00000000-0004-0000-0100-000011000000}"/>
    <hyperlink ref="A20" location="'7'!A1" display="'7'!A1" xr:uid="{00000000-0004-0000-0100-000012000000}"/>
    <hyperlink ref="A21" location="'80'!A1" display="'80'!A1" xr:uid="{00000000-0004-0000-0100-000013000000}"/>
    <hyperlink ref="A22" location="'26'!A1" display="'26'!A1" xr:uid="{00000000-0004-0000-0100-000014000000}"/>
    <hyperlink ref="A23" location="'28'!A1" display="'28'!A1" xr:uid="{00000000-0004-0000-0100-000015000000}"/>
    <hyperlink ref="A24" location="'61'!A1" display="'61'!A1" xr:uid="{00000000-0004-0000-0100-000016000000}"/>
    <hyperlink ref="A25" location="'30'!A1" display="'30'!A1" xr:uid="{00000000-0004-0000-0100-000017000000}"/>
    <hyperlink ref="A26" location="'45'!A1" display="'45'!A1" xr:uid="{00000000-0004-0000-0100-000018000000}"/>
    <hyperlink ref="A27" location="'66'!A1" display="'66'!A1" xr:uid="{00000000-0004-0000-0100-000019000000}"/>
    <hyperlink ref="A28" location="'106'!A1" display="'106'!A1" xr:uid="{00000000-0004-0000-0100-00001A000000}"/>
    <hyperlink ref="A29" location="'51'!A1" display="'51'!A1" xr:uid="{00000000-0004-0000-0100-00001B000000}"/>
    <hyperlink ref="A30" location="'13'!A1" display="'13'!A1" xr:uid="{00000000-0004-0000-0100-00001C000000}"/>
    <hyperlink ref="A31" location="'71'!A1" display="'71'!A1" xr:uid="{00000000-0004-0000-0100-00001D000000}"/>
    <hyperlink ref="A32" location="'68'!A1" display="'68'!A1" xr:uid="{00000000-0004-0000-0100-00001E000000}"/>
    <hyperlink ref="A33" location="'60'!A1" display="'60'!A1" xr:uid="{00000000-0004-0000-0100-00001F000000}"/>
    <hyperlink ref="A34" location="'38'!A1" display="'38'!A1" xr:uid="{00000000-0004-0000-0100-000020000000}"/>
    <hyperlink ref="A35" location="'102'!A1" display="'102'!A1" xr:uid="{00000000-0004-0000-0100-000021000000}"/>
    <hyperlink ref="A36" location="'3'!A1" display="'3'!A1" xr:uid="{00000000-0004-0000-0100-000022000000}"/>
    <hyperlink ref="A37" location="'59'!A1" display="'59'!A1" xr:uid="{00000000-0004-0000-0100-000023000000}"/>
    <hyperlink ref="A38" location="'99'!A1" display="'99'!A1" xr:uid="{00000000-0004-0000-0100-000024000000}"/>
    <hyperlink ref="A39" location="'4'!A1" display="'4'!A1" xr:uid="{00000000-0004-0000-0100-000025000000}"/>
    <hyperlink ref="A40" location="'14'!A1" display="'14'!A1" xr:uid="{00000000-0004-0000-0100-000026000000}"/>
    <hyperlink ref="A41" location="'32'!A1" display="'32'!A1" xr:uid="{00000000-0004-0000-0100-000027000000}"/>
    <hyperlink ref="A42" location="'91'!A1" display="'91'!A1" xr:uid="{00000000-0004-0000-0100-000028000000}"/>
    <hyperlink ref="A43" location="'15'!A1" display="'15'!A1" xr:uid="{00000000-0004-0000-0100-000029000000}"/>
    <hyperlink ref="A44" location="'103'!A1" display="'103'!A1" xr:uid="{00000000-0004-0000-0100-00002A000000}"/>
    <hyperlink ref="A45" location="'82'!A1" display="'82'!A1" xr:uid="{00000000-0004-0000-0100-00002B000000}"/>
    <hyperlink ref="A46" location="'49'!A1" display="'49'!A1" xr:uid="{00000000-0004-0000-0100-00002C000000}"/>
    <hyperlink ref="A47" location="'55'!A1" display="'55'!A1" xr:uid="{00000000-0004-0000-0100-00002D000000}"/>
    <hyperlink ref="A48" location="'5'!A1" display="'5'!A1" xr:uid="{00000000-0004-0000-0100-00002E000000}"/>
    <hyperlink ref="A49" location="'24'!A1" display="'24'!A1" xr:uid="{00000000-0004-0000-0100-00002F000000}"/>
    <hyperlink ref="A50" location="'43'!A1" display="'43'!A1" xr:uid="{00000000-0004-0000-0100-000030000000}"/>
    <hyperlink ref="A51" location="'53'!A1" display="'53'!A1" xr:uid="{00000000-0004-0000-0100-000031000000}"/>
    <hyperlink ref="A52" location="'74'!A1" display="'74'!A1" xr:uid="{00000000-0004-0000-0100-000032000000}"/>
    <hyperlink ref="A53" location="'42'!A1" display="'42'!A1" xr:uid="{00000000-0004-0000-0100-000033000000}"/>
    <hyperlink ref="A54" location="'16'!A1" display="'16'!A1" xr:uid="{00000000-0004-0000-0100-000034000000}"/>
    <hyperlink ref="A55" location="'46'!A1" display="'46'!A1" xr:uid="{00000000-0004-0000-0100-000035000000}"/>
    <hyperlink ref="A56" location="'85'!A1" display="'85'!A1" xr:uid="{00000000-0004-0000-0100-000036000000}"/>
    <hyperlink ref="A57" location="'39'!A1" display="'39'!A1" xr:uid="{00000000-0004-0000-0100-000037000000}"/>
    <hyperlink ref="A58" location="'97'!A1" display="'97'!A1" xr:uid="{00000000-0004-0000-0100-000038000000}"/>
    <hyperlink ref="A59" location="'104'!A1" display="'104'!A1" xr:uid="{00000000-0004-0000-0100-000039000000}"/>
    <hyperlink ref="A60" location="'17'!A1" display="'17'!A1" xr:uid="{00000000-0004-0000-0100-00003A000000}"/>
    <hyperlink ref="A61" location="'96'!A1" display="'96'!A1" xr:uid="{00000000-0004-0000-0100-00003B000000}"/>
    <hyperlink ref="A62" location="'67'!A1" display="'67'!A1" xr:uid="{00000000-0004-0000-0100-00003C000000}"/>
    <hyperlink ref="A63" location="'98'!A1" display="'98'!A1" xr:uid="{00000000-0004-0000-0100-00003D000000}"/>
    <hyperlink ref="A64" location="'6'!A1" display="'6'!A1" xr:uid="{00000000-0004-0000-0100-00003E000000}"/>
    <hyperlink ref="A65" location="'87'!A1" display="'87'!A1" xr:uid="{00000000-0004-0000-0100-00003F000000}"/>
    <hyperlink ref="A66" location="'52'!A1" display="'52'!A1" xr:uid="{00000000-0004-0000-0100-000040000000}"/>
    <hyperlink ref="A67" location="'89'!A1" display="'89'!A1" xr:uid="{00000000-0004-0000-0100-000041000000}"/>
    <hyperlink ref="A68" location="'35'!A1" display="'35'!A1" xr:uid="{00000000-0004-0000-0100-000042000000}"/>
    <hyperlink ref="A69" location="'81'!A1" display="'81'!A1" xr:uid="{00000000-0004-0000-0100-000043000000}"/>
    <hyperlink ref="A70" location="'86'!A1" display="'86'!A1" xr:uid="{00000000-0004-0000-0100-000044000000}"/>
    <hyperlink ref="A71" location="'90'!A1" display="'90'!A1" xr:uid="{00000000-0004-0000-0100-000045000000}"/>
    <hyperlink ref="A72" location="'18'!A1" display="'18'!A1" xr:uid="{00000000-0004-0000-0100-000046000000}"/>
    <hyperlink ref="A73" location="'23'!A1" display="'23'!A1" xr:uid="{00000000-0004-0000-0100-000047000000}"/>
    <hyperlink ref="A74" location="'77'!A1" display="'77'!A1" xr:uid="{00000000-0004-0000-0100-000048000000}"/>
    <hyperlink ref="A75" location="'47'!A1" display="'47'!A1" xr:uid="{00000000-0004-0000-0100-000049000000}"/>
    <hyperlink ref="A76" location="'37'!A1" display="'37'!A1" xr:uid="{00000000-0004-0000-0100-00004A000000}"/>
    <hyperlink ref="A77" location="'100'!A1" display="'100'!A1" xr:uid="{00000000-0004-0000-0100-00004B000000}"/>
    <hyperlink ref="A78" location="'34'!A1" display="'34'!A1" xr:uid="{00000000-0004-0000-0100-00004C000000}"/>
    <hyperlink ref="A79" location="'88'!A1" display="'88'!A1" xr:uid="{00000000-0004-0000-0100-00004D000000}"/>
    <hyperlink ref="A80" location="'19'!A1" display="'19'!A1" xr:uid="{00000000-0004-0000-0100-00004E000000}"/>
    <hyperlink ref="A81" location="'48'!A1" display="'48'!A1" xr:uid="{00000000-0004-0000-0100-00004F000000}"/>
    <hyperlink ref="A82" location="'25'!A1" display="'25'!A1" xr:uid="{00000000-0004-0000-0100-000050000000}"/>
    <hyperlink ref="A83" location="'8'!A1" display="'8'!A1" xr:uid="{00000000-0004-0000-0100-000051000000}"/>
    <hyperlink ref="A84" location="'40'!A1" display="'40'!A1" xr:uid="{00000000-0004-0000-0100-000052000000}"/>
    <hyperlink ref="A85" location="'84'!A1" display="'84'!A1" xr:uid="{00000000-0004-0000-0100-000053000000}"/>
    <hyperlink ref="A86" location="'69'!A1" display="'69'!A1" xr:uid="{00000000-0004-0000-0100-000054000000}"/>
    <hyperlink ref="A87" location="'73'!A1" display="'73'!A1" xr:uid="{00000000-0004-0000-0100-000055000000}"/>
    <hyperlink ref="A88" location="'76'!A1" display="'76'!A1" xr:uid="{00000000-0004-0000-0100-000056000000}"/>
    <hyperlink ref="A89" location="'83'!A1" display="'83'!A1" xr:uid="{00000000-0004-0000-0100-000057000000}"/>
    <hyperlink ref="A90" location="'101'!A1" display="'101'!A1" xr:uid="{00000000-0004-0000-0100-000058000000}"/>
    <hyperlink ref="A91" location="'20'!A1" display="'20'!A1" xr:uid="{00000000-0004-0000-0100-000059000000}"/>
    <hyperlink ref="A92" location="'65'!A1" display="'65'!A1" xr:uid="{00000000-0004-0000-0100-00005A000000}"/>
    <hyperlink ref="A93" location="'92'!A1" display="'92'!A1" xr:uid="{00000000-0004-0000-0100-00005B000000}"/>
    <hyperlink ref="A94" location="'9'!A1" display="'9'!A1" xr:uid="{00000000-0004-0000-0100-00005C000000}"/>
    <hyperlink ref="A95" location="'105'!A1" display="'105'!A1" xr:uid="{00000000-0004-0000-0100-00005D000000}"/>
    <hyperlink ref="A96" location="'21'!A1" display="'21'!A1" xr:uid="{00000000-0004-0000-0100-00005E000000}"/>
    <hyperlink ref="A97" location="'33'!A1" display="'33'!A1" xr:uid="{00000000-0004-0000-0100-00005F000000}"/>
    <hyperlink ref="A98" location="'44'!A1" display="'44'!A1" xr:uid="{00000000-0004-0000-0100-000060000000}"/>
    <hyperlink ref="A99" location="'62'!A1" display="'62'!A1" xr:uid="{00000000-0004-0000-0100-000061000000}"/>
    <hyperlink ref="A100" location="'10'!A1" display="'10'!A1" xr:uid="{00000000-0004-0000-0100-000062000000}"/>
    <hyperlink ref="A101" location="'11'!A1" display="'11'!A1" xr:uid="{00000000-0004-0000-0100-000063000000}"/>
    <hyperlink ref="A102" location="'36'!A1" display="'36'!A1" xr:uid="{00000000-0004-0000-0100-000064000000}"/>
    <hyperlink ref="A103" location="'79'!A1" display="'79'!A1" xr:uid="{00000000-0004-0000-0100-000065000000}"/>
    <hyperlink ref="A104" location="'63'!A1" display="'63'!A1" xr:uid="{00000000-0004-0000-0100-000066000000}"/>
    <hyperlink ref="A105" location="'12'!A1" display="'12'!A1" xr:uid="{00000000-0004-0000-0100-000067000000}"/>
    <hyperlink ref="A106" location="'64'!A1" display="'64'!A1" xr:uid="{00000000-0004-0000-0100-000068000000}"/>
    <hyperlink ref="A107" location="'57'!A1" display="'57'!A1" xr:uid="{00000000-0004-0000-0100-000069000000}"/>
    <hyperlink ref="A108" location="'107'!A1" display="'107'!A1" xr:uid="{00000000-0004-0000-0100-00006A000000}"/>
    <hyperlink ref="A109" location="'108'!A1" display="'108'!A1" xr:uid="{00000000-0004-0000-0100-00006B000000}"/>
  </hyperlinks>
  <pageMargins left="0.70866141732283472" right="0.70866141732283472" top="2.165354330708662" bottom="0.43307086614173229" header="0.31496062992125978" footer="0.31496062992125978"/>
  <pageSetup paperSize="9" scale="48" fitToHeight="0" orientation="portrait" horizontalDpi="360" verticalDpi="36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H10"/>
  <sheetViews>
    <sheetView topLeftCell="A4" workbookViewId="0">
      <selection activeCell="F94" sqref="F94:G94"/>
    </sheetView>
  </sheetViews>
  <sheetFormatPr defaultColWidth="8.77734375" defaultRowHeight="16.2"/>
  <cols>
    <col min="1" max="1" width="13.88671875" style="246" bestFit="1" customWidth="1"/>
    <col min="2" max="2" width="12.109375" style="106" customWidth="1"/>
    <col min="3" max="3" width="30.44140625" style="246" bestFit="1" customWidth="1"/>
    <col min="4" max="4" width="27.33203125" style="246" bestFit="1" customWidth="1"/>
  </cols>
  <sheetData>
    <row r="1" spans="1:8">
      <c r="A1" s="112" t="s">
        <v>303</v>
      </c>
      <c r="B1" s="113" t="s">
        <v>304</v>
      </c>
      <c r="C1" s="112" t="s">
        <v>305</v>
      </c>
      <c r="D1" s="112" t="s">
        <v>306</v>
      </c>
    </row>
    <row r="2" spans="1:8" ht="31.5" customHeight="1">
      <c r="A2" s="118">
        <v>45146</v>
      </c>
      <c r="B2" s="119">
        <v>24</v>
      </c>
      <c r="C2" s="120" t="s">
        <v>307</v>
      </c>
      <c r="D2" s="111" t="s">
        <v>308</v>
      </c>
    </row>
    <row r="3" spans="1:8" ht="31.5" customHeight="1">
      <c r="A3" s="118">
        <v>45185</v>
      </c>
      <c r="B3" s="119">
        <v>36</v>
      </c>
      <c r="C3" s="120" t="s">
        <v>309</v>
      </c>
      <c r="D3" s="111" t="s">
        <v>310</v>
      </c>
      <c r="H3" t="s">
        <v>311</v>
      </c>
    </row>
    <row r="4" spans="1:8">
      <c r="A4" s="118">
        <v>45201</v>
      </c>
      <c r="B4" s="123" t="s">
        <v>312</v>
      </c>
      <c r="C4" s="118" t="s">
        <v>313</v>
      </c>
      <c r="D4" s="122"/>
      <c r="H4" t="s">
        <v>314</v>
      </c>
    </row>
    <row r="5" spans="1:8">
      <c r="A5" s="118">
        <v>45213</v>
      </c>
      <c r="B5" s="119">
        <v>36</v>
      </c>
      <c r="C5" s="111" t="s">
        <v>309</v>
      </c>
      <c r="D5" s="111" t="s">
        <v>315</v>
      </c>
    </row>
    <row r="6" spans="1:8" ht="33" customHeight="1">
      <c r="A6" s="118">
        <v>45231</v>
      </c>
      <c r="B6" s="135">
        <v>79</v>
      </c>
      <c r="C6" s="120" t="s">
        <v>316</v>
      </c>
      <c r="D6" s="111" t="s">
        <v>317</v>
      </c>
    </row>
    <row r="7" spans="1:8" ht="31.2" customHeight="1">
      <c r="A7" s="118">
        <v>45271</v>
      </c>
      <c r="B7" s="119">
        <v>102</v>
      </c>
      <c r="C7" s="111" t="s">
        <v>318</v>
      </c>
      <c r="D7" s="111" t="s">
        <v>319</v>
      </c>
    </row>
    <row r="8" spans="1:8">
      <c r="A8" s="118">
        <v>45475</v>
      </c>
      <c r="B8" s="119">
        <v>105</v>
      </c>
      <c r="C8" s="111" t="s">
        <v>320</v>
      </c>
      <c r="D8" s="111"/>
    </row>
    <row r="9" spans="1:8">
      <c r="A9" s="118">
        <v>45845</v>
      </c>
      <c r="B9" s="216">
        <v>107</v>
      </c>
      <c r="C9" s="111" t="s">
        <v>321</v>
      </c>
      <c r="D9" s="217"/>
    </row>
    <row r="10" spans="1:8">
      <c r="A10" s="118"/>
    </row>
  </sheetData>
  <phoneticPr fontId="30" type="noConversion"/>
  <pageMargins left="0.7" right="0.7" top="0.75" bottom="0.75" header="0.3" footer="0.3"/>
  <pageSetup paperSize="132" orientation="portrait" horizontalDpi="180" verticalDpi="18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Q136"/>
  <sheetViews>
    <sheetView workbookViewId="0">
      <pane ySplit="6" topLeftCell="A31" activePane="bottomLeft" state="frozen"/>
      <selection activeCell="F94" sqref="F94:G94"/>
      <selection pane="bottomLeft" sqref="A1:I1"/>
    </sheetView>
  </sheetViews>
  <sheetFormatPr defaultColWidth="8.77734375" defaultRowHeight="16.2"/>
  <cols>
    <col min="1" max="1" width="16.33203125" style="246" bestFit="1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8.77734375" style="88" customWidth="1"/>
    <col min="7" max="7" width="6.33203125" style="88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7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91" t="s">
        <v>322</v>
      </c>
      <c r="K1" s="38" t="s">
        <v>323</v>
      </c>
      <c r="L1" s="38" t="s">
        <v>324</v>
      </c>
      <c r="M1" s="1"/>
      <c r="N1" s="1"/>
      <c r="O1" s="1"/>
    </row>
    <row r="2" spans="1:17" ht="34.950000000000003" customHeight="1">
      <c r="A2" s="33" t="s">
        <v>325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7" ht="19.5" customHeight="1">
      <c r="A3" s="23" t="s">
        <v>9</v>
      </c>
      <c r="B3" s="282" t="s">
        <v>326</v>
      </c>
      <c r="C3" s="263"/>
      <c r="D3" s="260"/>
      <c r="E3" s="266" t="s">
        <v>11</v>
      </c>
      <c r="F3" s="263"/>
      <c r="G3" s="260"/>
      <c r="H3" s="268" t="s">
        <v>327</v>
      </c>
      <c r="I3" s="269"/>
      <c r="J3" s="19"/>
      <c r="K3" s="34" t="s">
        <v>328</v>
      </c>
      <c r="L3" s="5">
        <f>H7</f>
        <v>608</v>
      </c>
      <c r="M3" s="3">
        <f>SUM(C$8:C$1048576)</f>
        <v>1000</v>
      </c>
      <c r="N3" s="3">
        <f>SUM(F:F)</f>
        <v>1102</v>
      </c>
      <c r="O3" s="3">
        <f>L3+M3-N3</f>
        <v>506</v>
      </c>
    </row>
    <row r="4" spans="1:17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329</v>
      </c>
      <c r="I4" s="269"/>
      <c r="J4" s="12"/>
      <c r="K4" s="3"/>
      <c r="L4" s="3"/>
      <c r="M4" s="3"/>
      <c r="N4" s="3"/>
      <c r="O4" s="3"/>
    </row>
    <row r="5" spans="1:17" ht="19.5" customHeight="1">
      <c r="A5" s="272" t="s">
        <v>18</v>
      </c>
      <c r="B5" s="260"/>
      <c r="C5" s="262" t="s">
        <v>330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7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7" ht="25.2" customHeight="1">
      <c r="A7" s="196" t="s">
        <v>29</v>
      </c>
      <c r="B7" s="155" t="s">
        <v>5</v>
      </c>
      <c r="C7" s="155">
        <v>608</v>
      </c>
      <c r="D7" s="280"/>
      <c r="E7" s="260"/>
      <c r="F7" s="280"/>
      <c r="G7" s="260"/>
      <c r="H7" s="155">
        <v>608</v>
      </c>
      <c r="I7" s="210" t="s">
        <v>331</v>
      </c>
      <c r="J7" s="12"/>
      <c r="K7" s="3"/>
      <c r="L7" s="3"/>
      <c r="M7" s="3"/>
      <c r="N7" s="3"/>
      <c r="O7" s="3"/>
      <c r="Q7" s="37" t="s">
        <v>332</v>
      </c>
    </row>
    <row r="8" spans="1:17" ht="25.2" customHeight="1">
      <c r="A8" s="39" t="s">
        <v>333</v>
      </c>
      <c r="B8" s="38" t="s">
        <v>323</v>
      </c>
      <c r="C8" s="38"/>
      <c r="D8" s="279"/>
      <c r="E8" s="260"/>
      <c r="F8" s="279">
        <v>20</v>
      </c>
      <c r="G8" s="260"/>
      <c r="H8" s="38">
        <f t="shared" ref="H8:H17" si="0">H7-F8</f>
        <v>588</v>
      </c>
      <c r="I8" s="37"/>
      <c r="J8" s="12"/>
      <c r="K8" s="3"/>
      <c r="L8" s="3"/>
      <c r="M8" s="3"/>
      <c r="N8" s="3"/>
      <c r="O8" s="3"/>
      <c r="Q8" s="37" t="s">
        <v>38</v>
      </c>
    </row>
    <row r="9" spans="1:17" ht="25.2" customHeight="1">
      <c r="A9" s="39" t="s">
        <v>334</v>
      </c>
      <c r="B9" s="38" t="s">
        <v>323</v>
      </c>
      <c r="C9" s="7"/>
      <c r="D9" s="259"/>
      <c r="E9" s="260"/>
      <c r="F9" s="279">
        <v>30</v>
      </c>
      <c r="G9" s="260"/>
      <c r="H9" s="38">
        <f t="shared" si="0"/>
        <v>558</v>
      </c>
      <c r="I9" s="26"/>
      <c r="J9" s="12"/>
      <c r="K9" s="3"/>
      <c r="L9" s="3"/>
      <c r="M9" s="3"/>
      <c r="N9" s="3"/>
      <c r="O9" s="3"/>
    </row>
    <row r="10" spans="1:17" ht="25.2" customHeight="1">
      <c r="A10" s="39" t="s">
        <v>335</v>
      </c>
      <c r="B10" s="38" t="s">
        <v>323</v>
      </c>
      <c r="C10" s="7"/>
      <c r="D10" s="259"/>
      <c r="E10" s="260"/>
      <c r="F10" s="279">
        <v>84</v>
      </c>
      <c r="G10" s="260"/>
      <c r="H10" s="38">
        <f t="shared" si="0"/>
        <v>474</v>
      </c>
      <c r="I10" s="26"/>
      <c r="J10" s="12"/>
      <c r="K10" s="3"/>
      <c r="L10" s="3"/>
      <c r="M10" s="3"/>
      <c r="N10" s="3"/>
      <c r="O10" s="3"/>
    </row>
    <row r="11" spans="1:17" ht="25.2" customHeight="1">
      <c r="A11" s="39" t="s">
        <v>336</v>
      </c>
      <c r="B11" s="38" t="s">
        <v>323</v>
      </c>
      <c r="C11" s="7"/>
      <c r="D11" s="259"/>
      <c r="E11" s="260"/>
      <c r="F11" s="279">
        <v>3</v>
      </c>
      <c r="G11" s="260"/>
      <c r="H11" s="38">
        <f t="shared" si="0"/>
        <v>471</v>
      </c>
      <c r="I11" s="26"/>
      <c r="J11" s="12"/>
      <c r="K11" s="3"/>
      <c r="L11" s="3"/>
      <c r="M11" s="3"/>
      <c r="N11" s="3"/>
      <c r="O11" s="3"/>
    </row>
    <row r="12" spans="1:17" ht="25.2" customHeight="1">
      <c r="A12" s="39" t="s">
        <v>337</v>
      </c>
      <c r="B12" s="38" t="s">
        <v>323</v>
      </c>
      <c r="C12" s="7"/>
      <c r="D12" s="259"/>
      <c r="E12" s="260"/>
      <c r="F12" s="279">
        <v>30</v>
      </c>
      <c r="G12" s="260"/>
      <c r="H12" s="38">
        <f t="shared" si="0"/>
        <v>441</v>
      </c>
      <c r="I12" s="26"/>
      <c r="J12" s="12"/>
      <c r="K12" s="3"/>
      <c r="L12" s="3"/>
      <c r="M12" s="3"/>
      <c r="N12" s="3"/>
      <c r="O12" s="3"/>
    </row>
    <row r="13" spans="1:17" ht="25.2" customHeight="1">
      <c r="A13" s="39" t="s">
        <v>338</v>
      </c>
      <c r="B13" s="38" t="s">
        <v>323</v>
      </c>
      <c r="C13" s="7"/>
      <c r="D13" s="259"/>
      <c r="E13" s="260"/>
      <c r="F13" s="279">
        <v>20</v>
      </c>
      <c r="G13" s="260"/>
      <c r="H13" s="38">
        <f t="shared" si="0"/>
        <v>421</v>
      </c>
      <c r="I13" s="26"/>
      <c r="J13" s="12"/>
      <c r="K13" s="3"/>
      <c r="L13" s="3"/>
      <c r="M13" s="3"/>
      <c r="N13" s="3"/>
      <c r="O13" s="3"/>
    </row>
    <row r="14" spans="1:17" ht="25.2" customHeight="1">
      <c r="A14" s="39" t="s">
        <v>339</v>
      </c>
      <c r="B14" s="38" t="s">
        <v>323</v>
      </c>
      <c r="C14" s="7"/>
      <c r="D14" s="259"/>
      <c r="E14" s="260"/>
      <c r="F14" s="279">
        <v>84</v>
      </c>
      <c r="G14" s="260"/>
      <c r="H14" s="38">
        <f t="shared" si="0"/>
        <v>337</v>
      </c>
      <c r="I14" s="26"/>
      <c r="J14" s="12"/>
      <c r="K14" s="3"/>
      <c r="L14" s="3"/>
      <c r="M14" s="3"/>
      <c r="N14" s="3"/>
      <c r="O14" s="3"/>
    </row>
    <row r="15" spans="1:17" ht="25.2" customHeight="1">
      <c r="A15" s="39" t="s">
        <v>340</v>
      </c>
      <c r="B15" s="38" t="s">
        <v>323</v>
      </c>
      <c r="C15" s="7"/>
      <c r="D15" s="259"/>
      <c r="E15" s="260"/>
      <c r="F15" s="279">
        <v>56</v>
      </c>
      <c r="G15" s="260"/>
      <c r="H15" s="38">
        <f t="shared" si="0"/>
        <v>281</v>
      </c>
      <c r="I15" s="26"/>
      <c r="J15" s="12"/>
      <c r="K15" s="3"/>
      <c r="L15" s="3"/>
      <c r="M15" s="3"/>
      <c r="N15" s="3"/>
      <c r="O15" s="3"/>
    </row>
    <row r="16" spans="1:17" ht="25.2" customHeight="1">
      <c r="A16" s="39" t="s">
        <v>341</v>
      </c>
      <c r="B16" s="148" t="s">
        <v>323</v>
      </c>
      <c r="C16" s="7"/>
      <c r="D16" s="259"/>
      <c r="E16" s="260"/>
      <c r="F16" s="279">
        <v>28</v>
      </c>
      <c r="G16" s="260"/>
      <c r="H16" s="38">
        <f t="shared" si="0"/>
        <v>253</v>
      </c>
      <c r="I16" s="26"/>
      <c r="J16" s="12"/>
      <c r="K16" s="3"/>
      <c r="L16" s="3"/>
      <c r="M16" s="3"/>
      <c r="N16" s="3"/>
      <c r="O16" s="3"/>
    </row>
    <row r="17" spans="1:10" ht="25.2" customHeight="1">
      <c r="A17" s="39" t="s">
        <v>342</v>
      </c>
      <c r="B17" s="38" t="s">
        <v>323</v>
      </c>
      <c r="C17" s="7"/>
      <c r="D17" s="259"/>
      <c r="E17" s="260"/>
      <c r="F17" s="279">
        <v>20</v>
      </c>
      <c r="G17" s="260"/>
      <c r="H17" s="38">
        <f t="shared" si="0"/>
        <v>233</v>
      </c>
      <c r="I17" s="151"/>
      <c r="J17" s="12"/>
    </row>
    <row r="18" spans="1:10" ht="25.2" customHeight="1">
      <c r="A18" s="39" t="s">
        <v>343</v>
      </c>
      <c r="B18" s="38" t="s">
        <v>324</v>
      </c>
      <c r="C18" s="7">
        <v>1000</v>
      </c>
      <c r="D18" s="259" t="s">
        <v>344</v>
      </c>
      <c r="E18" s="260"/>
      <c r="F18" s="279"/>
      <c r="G18" s="260"/>
      <c r="H18" s="38">
        <v>1233</v>
      </c>
      <c r="I18" s="26" t="s">
        <v>345</v>
      </c>
      <c r="J18" s="12"/>
    </row>
    <row r="19" spans="1:10" ht="25.2" customHeight="1">
      <c r="A19" s="39" t="s">
        <v>346</v>
      </c>
      <c r="B19" s="38" t="s">
        <v>323</v>
      </c>
      <c r="C19" s="7"/>
      <c r="D19" s="259"/>
      <c r="E19" s="260"/>
      <c r="F19" s="279">
        <v>37</v>
      </c>
      <c r="G19" s="260"/>
      <c r="H19" s="38">
        <f t="shared" ref="H19:H43" si="1">H18-F19</f>
        <v>1196</v>
      </c>
      <c r="I19" s="26"/>
      <c r="J19" s="12"/>
    </row>
    <row r="20" spans="1:10" ht="25.2" customHeight="1">
      <c r="A20" s="38" t="s">
        <v>347</v>
      </c>
      <c r="B20" s="38" t="s">
        <v>323</v>
      </c>
      <c r="C20" s="7"/>
      <c r="D20" s="259"/>
      <c r="E20" s="260"/>
      <c r="F20" s="279">
        <v>30</v>
      </c>
      <c r="G20" s="260"/>
      <c r="H20" s="38">
        <f t="shared" si="1"/>
        <v>1166</v>
      </c>
      <c r="I20" s="26"/>
      <c r="J20" s="12"/>
    </row>
    <row r="21" spans="1:10" ht="25.2" customHeight="1">
      <c r="A21" s="39" t="s">
        <v>348</v>
      </c>
      <c r="B21" s="38" t="s">
        <v>323</v>
      </c>
      <c r="C21" s="7"/>
      <c r="D21" s="259"/>
      <c r="E21" s="260"/>
      <c r="F21" s="279">
        <v>14</v>
      </c>
      <c r="G21" s="260"/>
      <c r="H21" s="38">
        <f t="shared" si="1"/>
        <v>1152</v>
      </c>
      <c r="I21" s="26"/>
      <c r="J21" s="12"/>
    </row>
    <row r="22" spans="1:10" ht="25.2" customHeight="1">
      <c r="A22" s="39" t="s">
        <v>349</v>
      </c>
      <c r="B22" s="38" t="s">
        <v>323</v>
      </c>
      <c r="C22" s="7"/>
      <c r="D22" s="259"/>
      <c r="E22" s="260"/>
      <c r="F22" s="279">
        <v>84</v>
      </c>
      <c r="G22" s="260"/>
      <c r="H22" s="38">
        <f t="shared" si="1"/>
        <v>1068</v>
      </c>
      <c r="I22" s="26"/>
      <c r="J22" s="12"/>
    </row>
    <row r="23" spans="1:10" ht="25.2" customHeight="1">
      <c r="A23" s="39" t="s">
        <v>350</v>
      </c>
      <c r="B23" s="38" t="s">
        <v>323</v>
      </c>
      <c r="C23" s="7"/>
      <c r="D23" s="259"/>
      <c r="E23" s="260"/>
      <c r="F23" s="279">
        <v>56</v>
      </c>
      <c r="G23" s="260"/>
      <c r="H23" s="38">
        <f t="shared" si="1"/>
        <v>1012</v>
      </c>
      <c r="I23" s="26"/>
      <c r="J23" s="12"/>
    </row>
    <row r="24" spans="1:10" ht="25.2" customHeight="1">
      <c r="A24" s="39" t="s">
        <v>351</v>
      </c>
      <c r="B24" s="38" t="s">
        <v>323</v>
      </c>
      <c r="C24" s="7"/>
      <c r="D24" s="259"/>
      <c r="E24" s="260"/>
      <c r="F24" s="279">
        <v>20</v>
      </c>
      <c r="G24" s="260"/>
      <c r="H24" s="38">
        <f t="shared" si="1"/>
        <v>992</v>
      </c>
      <c r="I24" s="26"/>
      <c r="J24" s="12"/>
    </row>
    <row r="25" spans="1:10" ht="25.2" customHeight="1">
      <c r="A25" s="39" t="s">
        <v>352</v>
      </c>
      <c r="B25" s="38" t="s">
        <v>323</v>
      </c>
      <c r="C25" s="7"/>
      <c r="D25" s="259"/>
      <c r="E25" s="260"/>
      <c r="F25" s="279">
        <v>7</v>
      </c>
      <c r="G25" s="260"/>
      <c r="H25" s="38">
        <f t="shared" si="1"/>
        <v>985</v>
      </c>
      <c r="I25" s="26"/>
      <c r="J25" s="12"/>
    </row>
    <row r="26" spans="1:10" ht="25.2" customHeight="1">
      <c r="A26" s="39" t="s">
        <v>353</v>
      </c>
      <c r="B26" s="38" t="s">
        <v>323</v>
      </c>
      <c r="C26" s="7"/>
      <c r="D26" s="259"/>
      <c r="E26" s="260"/>
      <c r="F26" s="279">
        <v>84</v>
      </c>
      <c r="G26" s="260"/>
      <c r="H26" s="38">
        <f t="shared" si="1"/>
        <v>901</v>
      </c>
      <c r="I26" s="26"/>
      <c r="J26" s="12"/>
    </row>
    <row r="27" spans="1:10" ht="25.2" customHeight="1">
      <c r="A27" s="39" t="s">
        <v>354</v>
      </c>
      <c r="B27" s="38" t="s">
        <v>323</v>
      </c>
      <c r="C27" s="7"/>
      <c r="D27" s="259"/>
      <c r="E27" s="260"/>
      <c r="F27" s="279">
        <v>28</v>
      </c>
      <c r="G27" s="260"/>
      <c r="H27" s="38">
        <f t="shared" si="1"/>
        <v>873</v>
      </c>
      <c r="I27" s="26"/>
      <c r="J27" s="12"/>
    </row>
    <row r="28" spans="1:10" ht="25.2" customHeight="1">
      <c r="A28" s="39" t="s">
        <v>355</v>
      </c>
      <c r="B28" s="38" t="s">
        <v>323</v>
      </c>
      <c r="C28" s="7"/>
      <c r="D28" s="259"/>
      <c r="E28" s="260"/>
      <c r="F28" s="279">
        <v>3</v>
      </c>
      <c r="G28" s="260"/>
      <c r="H28" s="38">
        <f t="shared" si="1"/>
        <v>870</v>
      </c>
      <c r="I28" s="26"/>
      <c r="J28" s="12"/>
    </row>
    <row r="29" spans="1:10" ht="25.2" customHeight="1">
      <c r="A29" s="39" t="s">
        <v>356</v>
      </c>
      <c r="B29" s="38" t="s">
        <v>323</v>
      </c>
      <c r="C29" s="139"/>
      <c r="D29" s="279"/>
      <c r="E29" s="260"/>
      <c r="F29" s="279">
        <v>3</v>
      </c>
      <c r="G29" s="260"/>
      <c r="H29" s="38">
        <f t="shared" si="1"/>
        <v>867</v>
      </c>
      <c r="I29" s="37"/>
      <c r="J29" s="12"/>
    </row>
    <row r="30" spans="1:10" ht="25.2" customHeight="1">
      <c r="A30" s="39" t="s">
        <v>357</v>
      </c>
      <c r="B30" s="38" t="s">
        <v>323</v>
      </c>
      <c r="C30" s="7"/>
      <c r="D30" s="259"/>
      <c r="E30" s="260"/>
      <c r="F30" s="279">
        <v>56</v>
      </c>
      <c r="G30" s="260"/>
      <c r="H30" s="38">
        <f t="shared" si="1"/>
        <v>811</v>
      </c>
      <c r="I30" s="90"/>
      <c r="J30" s="12"/>
    </row>
    <row r="31" spans="1:10" ht="25.2" customHeight="1" thickBot="1">
      <c r="A31" s="39" t="s">
        <v>358</v>
      </c>
      <c r="B31" s="38" t="s">
        <v>323</v>
      </c>
      <c r="C31" s="31"/>
      <c r="D31" s="264"/>
      <c r="E31" s="265"/>
      <c r="F31" s="279">
        <v>28</v>
      </c>
      <c r="G31" s="260"/>
      <c r="H31" s="38">
        <f t="shared" si="1"/>
        <v>783</v>
      </c>
      <c r="I31" s="90"/>
      <c r="J31" s="12"/>
    </row>
    <row r="32" spans="1:10" ht="25.2" customHeight="1">
      <c r="A32" s="39" t="s">
        <v>359</v>
      </c>
      <c r="B32" s="38" t="s">
        <v>323</v>
      </c>
      <c r="C32" s="22"/>
      <c r="D32" s="276"/>
      <c r="E32" s="277"/>
      <c r="F32" s="279">
        <v>3</v>
      </c>
      <c r="G32" s="260"/>
      <c r="H32" s="38">
        <f t="shared" si="1"/>
        <v>780</v>
      </c>
      <c r="I32" s="90"/>
      <c r="J32" s="3"/>
    </row>
    <row r="33" spans="1:9" ht="25.2" customHeight="1">
      <c r="A33" s="39" t="s">
        <v>360</v>
      </c>
      <c r="B33" s="38" t="s">
        <v>323</v>
      </c>
      <c r="C33" s="38"/>
      <c r="D33" s="279"/>
      <c r="E33" s="260"/>
      <c r="F33" s="279">
        <v>14</v>
      </c>
      <c r="G33" s="260"/>
      <c r="H33" s="38">
        <f t="shared" si="1"/>
        <v>766</v>
      </c>
      <c r="I33" s="186"/>
    </row>
    <row r="34" spans="1:9" ht="25.2" customHeight="1">
      <c r="A34" s="39" t="s">
        <v>361</v>
      </c>
      <c r="B34" s="38" t="s">
        <v>323</v>
      </c>
      <c r="C34" s="38"/>
      <c r="D34" s="279"/>
      <c r="E34" s="260"/>
      <c r="F34" s="279">
        <v>56</v>
      </c>
      <c r="G34" s="260"/>
      <c r="H34" s="38">
        <f t="shared" si="1"/>
        <v>710</v>
      </c>
      <c r="I34" s="143"/>
    </row>
    <row r="35" spans="1:9" ht="25.2" customHeight="1">
      <c r="A35" s="39" t="s">
        <v>362</v>
      </c>
      <c r="B35" s="38" t="s">
        <v>323</v>
      </c>
      <c r="C35" s="38"/>
      <c r="D35" s="279"/>
      <c r="E35" s="260"/>
      <c r="F35" s="279">
        <v>33</v>
      </c>
      <c r="G35" s="260"/>
      <c r="H35" s="38">
        <f t="shared" si="1"/>
        <v>677</v>
      </c>
      <c r="I35" s="142"/>
    </row>
    <row r="36" spans="1:9" ht="25.2" customHeight="1">
      <c r="A36" s="229" t="s">
        <v>363</v>
      </c>
      <c r="B36" s="38" t="s">
        <v>323</v>
      </c>
      <c r="C36" s="38"/>
      <c r="D36" s="279"/>
      <c r="E36" s="260"/>
      <c r="F36" s="279">
        <v>28</v>
      </c>
      <c r="G36" s="260"/>
      <c r="H36" s="38">
        <f t="shared" si="1"/>
        <v>649</v>
      </c>
      <c r="I36" s="142"/>
    </row>
    <row r="37" spans="1:9" ht="25.2" customHeight="1">
      <c r="A37" s="39" t="s">
        <v>364</v>
      </c>
      <c r="B37" s="38" t="s">
        <v>323</v>
      </c>
      <c r="C37" s="38"/>
      <c r="D37" s="279"/>
      <c r="E37" s="260"/>
      <c r="F37" s="279">
        <v>3</v>
      </c>
      <c r="G37" s="260"/>
      <c r="H37" s="38">
        <f t="shared" si="1"/>
        <v>646</v>
      </c>
      <c r="I37" s="143"/>
    </row>
    <row r="38" spans="1:9" ht="25.2" customHeight="1">
      <c r="A38" s="39" t="s">
        <v>365</v>
      </c>
      <c r="B38" s="38" t="s">
        <v>323</v>
      </c>
      <c r="C38" s="38"/>
      <c r="D38" s="279"/>
      <c r="E38" s="260"/>
      <c r="F38" s="279">
        <v>2</v>
      </c>
      <c r="G38" s="260"/>
      <c r="H38" s="38">
        <f t="shared" si="1"/>
        <v>644</v>
      </c>
      <c r="I38" s="142"/>
    </row>
    <row r="39" spans="1:9" ht="25.2" customHeight="1">
      <c r="A39" s="39" t="s">
        <v>366</v>
      </c>
      <c r="B39" s="38" t="s">
        <v>323</v>
      </c>
      <c r="C39" s="38"/>
      <c r="D39" s="279"/>
      <c r="E39" s="260"/>
      <c r="F39" s="279">
        <v>7</v>
      </c>
      <c r="G39" s="260"/>
      <c r="H39" s="38">
        <f t="shared" si="1"/>
        <v>637</v>
      </c>
      <c r="I39" s="142"/>
    </row>
    <row r="40" spans="1:9" ht="25.2" customHeight="1">
      <c r="A40" s="39" t="s">
        <v>367</v>
      </c>
      <c r="B40" s="38" t="s">
        <v>323</v>
      </c>
      <c r="C40" s="38"/>
      <c r="D40" s="279"/>
      <c r="E40" s="260"/>
      <c r="F40" s="279">
        <v>14</v>
      </c>
      <c r="G40" s="260"/>
      <c r="H40" s="38">
        <f t="shared" si="1"/>
        <v>623</v>
      </c>
      <c r="I40" s="142"/>
    </row>
    <row r="41" spans="1:9" ht="25.2" customHeight="1">
      <c r="A41" s="39" t="s">
        <v>368</v>
      </c>
      <c r="B41" s="38" t="s">
        <v>323</v>
      </c>
      <c r="C41" s="38"/>
      <c r="D41" s="279"/>
      <c r="E41" s="260"/>
      <c r="F41" s="279">
        <v>28</v>
      </c>
      <c r="G41" s="260"/>
      <c r="H41" s="38">
        <f t="shared" si="1"/>
        <v>595</v>
      </c>
      <c r="I41" s="142"/>
    </row>
    <row r="42" spans="1:9" ht="25.2" customHeight="1">
      <c r="A42" s="39" t="s">
        <v>369</v>
      </c>
      <c r="B42" s="38" t="s">
        <v>323</v>
      </c>
      <c r="C42" s="38"/>
      <c r="D42" s="279"/>
      <c r="E42" s="260"/>
      <c r="F42" s="279">
        <v>84</v>
      </c>
      <c r="G42" s="260"/>
      <c r="H42" s="38">
        <f t="shared" si="1"/>
        <v>511</v>
      </c>
      <c r="I42" s="142"/>
    </row>
    <row r="43" spans="1:9" ht="25.2" customHeight="1">
      <c r="A43" s="39" t="s">
        <v>370</v>
      </c>
      <c r="B43" s="38" t="s">
        <v>323</v>
      </c>
      <c r="C43" s="38"/>
      <c r="D43" s="279"/>
      <c r="E43" s="260"/>
      <c r="F43" s="279">
        <v>5</v>
      </c>
      <c r="G43" s="260"/>
      <c r="H43" s="38">
        <f t="shared" si="1"/>
        <v>506</v>
      </c>
      <c r="I43" s="142"/>
    </row>
    <row r="44" spans="1:9" ht="25.2" customHeight="1">
      <c r="A44" s="39"/>
      <c r="B44" s="38"/>
      <c r="C44" s="38"/>
      <c r="D44" s="279"/>
      <c r="E44" s="260"/>
      <c r="F44" s="279"/>
      <c r="G44" s="260"/>
      <c r="H44" s="38"/>
      <c r="I44" s="142"/>
    </row>
    <row r="45" spans="1:9" ht="25.2" customHeight="1">
      <c r="A45" s="39"/>
      <c r="B45" s="38"/>
      <c r="C45" s="38"/>
      <c r="D45" s="279"/>
      <c r="E45" s="260"/>
      <c r="F45" s="279"/>
      <c r="G45" s="260"/>
      <c r="H45" s="38"/>
      <c r="I45" s="142"/>
    </row>
    <row r="46" spans="1:9" ht="25.2" customHeight="1">
      <c r="A46" s="39"/>
      <c r="B46" s="38"/>
      <c r="C46" s="38"/>
      <c r="D46" s="279"/>
      <c r="E46" s="260"/>
      <c r="F46" s="279"/>
      <c r="G46" s="260"/>
      <c r="H46" s="38"/>
      <c r="I46" s="142"/>
    </row>
    <row r="47" spans="1:9" ht="25.2" customHeight="1">
      <c r="A47" s="39"/>
      <c r="B47" s="38"/>
      <c r="C47" s="38"/>
      <c r="D47" s="279"/>
      <c r="E47" s="260"/>
      <c r="F47" s="279"/>
      <c r="G47" s="260"/>
      <c r="H47" s="38"/>
      <c r="I47" s="142"/>
    </row>
    <row r="48" spans="1:9" ht="25.2" customHeight="1">
      <c r="A48" s="39"/>
      <c r="B48" s="38"/>
      <c r="C48" s="38"/>
      <c r="D48" s="279"/>
      <c r="E48" s="260"/>
      <c r="F48" s="279"/>
      <c r="G48" s="260"/>
      <c r="H48" s="38"/>
      <c r="I48" s="142"/>
    </row>
    <row r="49" spans="1:9" ht="25.2" customHeight="1">
      <c r="A49" s="39"/>
      <c r="B49" s="38"/>
      <c r="C49" s="38"/>
      <c r="D49" s="279"/>
      <c r="E49" s="260"/>
      <c r="F49" s="279"/>
      <c r="G49" s="260"/>
      <c r="H49" s="38"/>
      <c r="I49" s="144"/>
    </row>
    <row r="50" spans="1:9" ht="25.2" customHeight="1">
      <c r="A50" s="39"/>
      <c r="B50" s="38"/>
      <c r="C50" s="38"/>
      <c r="D50" s="279"/>
      <c r="E50" s="260"/>
      <c r="F50" s="279"/>
      <c r="G50" s="260"/>
      <c r="H50" s="38"/>
      <c r="I50" s="142"/>
    </row>
    <row r="51" spans="1:9" ht="25.2" customHeight="1">
      <c r="A51" s="39"/>
      <c r="B51" s="38"/>
      <c r="C51" s="38"/>
      <c r="D51" s="279"/>
      <c r="E51" s="260"/>
      <c r="F51" s="279"/>
      <c r="G51" s="260"/>
      <c r="H51" s="38"/>
      <c r="I51" s="142"/>
    </row>
    <row r="52" spans="1:9" ht="25.2" customHeight="1">
      <c r="A52" s="39"/>
      <c r="B52" s="38"/>
      <c r="C52" s="38"/>
      <c r="D52" s="279"/>
      <c r="E52" s="260"/>
      <c r="F52" s="279"/>
      <c r="G52" s="260"/>
      <c r="H52" s="38"/>
      <c r="I52" s="142"/>
    </row>
    <row r="53" spans="1:9" ht="25.2" customHeight="1">
      <c r="A53" s="39"/>
      <c r="B53" s="38"/>
      <c r="C53" s="38"/>
      <c r="D53" s="279"/>
      <c r="E53" s="260"/>
      <c r="F53" s="279"/>
      <c r="G53" s="260"/>
      <c r="H53" s="38"/>
      <c r="I53" s="142"/>
    </row>
    <row r="54" spans="1:9" ht="25.2" customHeight="1">
      <c r="A54" s="39"/>
      <c r="B54" s="38"/>
      <c r="C54" s="38"/>
      <c r="D54" s="279"/>
      <c r="E54" s="260"/>
      <c r="F54" s="279"/>
      <c r="G54" s="260"/>
      <c r="H54" s="38"/>
      <c r="I54" s="142"/>
    </row>
    <row r="55" spans="1:9" ht="25.2" customHeight="1">
      <c r="A55" s="39"/>
      <c r="B55" s="38"/>
      <c r="C55" s="38"/>
      <c r="D55" s="279"/>
      <c r="E55" s="260"/>
      <c r="F55" s="279"/>
      <c r="G55" s="260"/>
      <c r="H55" s="38"/>
      <c r="I55" s="142"/>
    </row>
    <row r="56" spans="1:9" ht="25.2" customHeight="1">
      <c r="A56" s="39"/>
      <c r="B56" s="38"/>
      <c r="C56" s="38"/>
      <c r="D56" s="279"/>
      <c r="E56" s="260"/>
      <c r="F56" s="279"/>
      <c r="G56" s="260"/>
      <c r="H56" s="38"/>
      <c r="I56" s="143"/>
    </row>
    <row r="57" spans="1:9" ht="25.2" customHeight="1">
      <c r="A57" s="39"/>
      <c r="B57" s="38"/>
      <c r="C57" s="38"/>
      <c r="D57" s="279"/>
      <c r="E57" s="260"/>
      <c r="F57" s="279"/>
      <c r="G57" s="260"/>
      <c r="H57" s="38"/>
      <c r="I57" s="142"/>
    </row>
    <row r="58" spans="1:9" ht="25.2" customHeight="1">
      <c r="A58" s="39"/>
      <c r="B58" s="38"/>
      <c r="C58" s="38"/>
      <c r="D58" s="279"/>
      <c r="E58" s="260"/>
      <c r="F58" s="279"/>
      <c r="G58" s="260"/>
      <c r="H58" s="38"/>
      <c r="I58" s="142"/>
    </row>
    <row r="59" spans="1:9" ht="28.95" customHeight="1">
      <c r="A59" s="39"/>
      <c r="B59" s="38"/>
      <c r="C59" s="38"/>
      <c r="D59" s="279"/>
      <c r="E59" s="260"/>
      <c r="F59" s="279"/>
      <c r="G59" s="260"/>
      <c r="H59" s="38"/>
      <c r="I59" s="185"/>
    </row>
    <row r="60" spans="1:9" ht="25.2" customHeight="1">
      <c r="A60" s="39"/>
      <c r="B60" s="38"/>
      <c r="C60" s="38"/>
      <c r="D60" s="279"/>
      <c r="E60" s="260"/>
      <c r="F60" s="279"/>
      <c r="G60" s="260"/>
      <c r="H60" s="38"/>
      <c r="I60" s="145"/>
    </row>
    <row r="61" spans="1:9" ht="33" customHeight="1">
      <c r="A61" s="39"/>
      <c r="B61" s="38"/>
      <c r="C61" s="38"/>
      <c r="D61" s="279"/>
      <c r="E61" s="260"/>
      <c r="F61" s="279"/>
      <c r="G61" s="260"/>
      <c r="H61" s="38"/>
      <c r="I61" s="185"/>
    </row>
    <row r="62" spans="1:9" ht="25.2" customHeight="1">
      <c r="A62" s="39"/>
      <c r="B62" s="38"/>
      <c r="C62" s="38"/>
      <c r="D62" s="279"/>
      <c r="E62" s="260"/>
      <c r="F62" s="279"/>
      <c r="G62" s="260"/>
      <c r="H62" s="38"/>
      <c r="I62" s="145"/>
    </row>
    <row r="63" spans="1:9" ht="25.2" customHeight="1">
      <c r="A63" s="39"/>
      <c r="B63" s="38"/>
      <c r="C63" s="38"/>
      <c r="D63" s="279"/>
      <c r="E63" s="260"/>
      <c r="F63" s="279"/>
      <c r="G63" s="260"/>
      <c r="H63" s="38"/>
      <c r="I63" s="145"/>
    </row>
    <row r="64" spans="1:9" ht="25.2" customHeight="1">
      <c r="A64" s="39"/>
      <c r="B64" s="38"/>
      <c r="C64" s="38"/>
      <c r="D64" s="279"/>
      <c r="E64" s="260"/>
      <c r="F64" s="279"/>
      <c r="G64" s="260"/>
      <c r="H64" s="38"/>
      <c r="I64" s="145"/>
    </row>
    <row r="65" spans="1:9" ht="25.2" customHeight="1">
      <c r="A65" s="39"/>
      <c r="B65" s="38"/>
      <c r="C65" s="38"/>
      <c r="D65" s="279"/>
      <c r="E65" s="260"/>
      <c r="F65" s="279"/>
      <c r="G65" s="260"/>
      <c r="H65" s="38"/>
      <c r="I65" s="145"/>
    </row>
    <row r="66" spans="1:9" ht="25.2" customHeight="1">
      <c r="A66" s="39"/>
      <c r="B66" s="38"/>
      <c r="C66" s="38"/>
      <c r="D66" s="279"/>
      <c r="E66" s="260"/>
      <c r="F66" s="279"/>
      <c r="G66" s="260"/>
      <c r="H66" s="38"/>
      <c r="I66" s="145"/>
    </row>
    <row r="67" spans="1:9" ht="25.2" customHeight="1">
      <c r="A67" s="39"/>
      <c r="B67" s="38"/>
      <c r="C67" s="38"/>
      <c r="D67" s="279"/>
      <c r="E67" s="260"/>
      <c r="F67" s="279"/>
      <c r="G67" s="260"/>
      <c r="H67" s="38"/>
      <c r="I67" s="145"/>
    </row>
    <row r="68" spans="1:9" ht="25.2" customHeight="1">
      <c r="A68" s="41"/>
      <c r="B68" s="38"/>
      <c r="C68" s="38"/>
      <c r="D68" s="279"/>
      <c r="E68" s="260"/>
      <c r="F68" s="279"/>
      <c r="G68" s="260"/>
      <c r="H68" s="38"/>
      <c r="I68" s="145"/>
    </row>
    <row r="69" spans="1:9" ht="25.2" customHeight="1">
      <c r="A69" s="39"/>
      <c r="B69" s="38"/>
      <c r="C69" s="38"/>
      <c r="D69" s="279"/>
      <c r="E69" s="260"/>
      <c r="F69" s="279"/>
      <c r="G69" s="260"/>
      <c r="H69" s="38"/>
      <c r="I69" s="145"/>
    </row>
    <row r="70" spans="1:9" ht="25.2" customHeight="1">
      <c r="A70" s="39"/>
      <c r="B70" s="38"/>
      <c r="C70" s="38"/>
      <c r="D70" s="279"/>
      <c r="E70" s="260"/>
      <c r="F70" s="279"/>
      <c r="G70" s="260"/>
      <c r="H70" s="38"/>
      <c r="I70" s="145"/>
    </row>
    <row r="71" spans="1:9" ht="25.2" customHeight="1">
      <c r="A71" s="39"/>
      <c r="B71" s="38"/>
      <c r="C71" s="38"/>
      <c r="D71" s="279"/>
      <c r="E71" s="260"/>
      <c r="F71" s="279"/>
      <c r="G71" s="260"/>
      <c r="H71" s="38"/>
      <c r="I71" s="145"/>
    </row>
    <row r="72" spans="1:9" ht="25.2" customHeight="1">
      <c r="A72" s="39"/>
      <c r="B72" s="38"/>
      <c r="C72" s="38"/>
      <c r="D72" s="279"/>
      <c r="E72" s="260"/>
      <c r="F72" s="279"/>
      <c r="G72" s="260"/>
      <c r="H72" s="38"/>
      <c r="I72" s="145"/>
    </row>
    <row r="73" spans="1:9" ht="25.2" customHeight="1">
      <c r="A73" s="39"/>
      <c r="B73" s="38"/>
      <c r="C73" s="38"/>
      <c r="D73" s="279"/>
      <c r="E73" s="260"/>
      <c r="F73" s="279"/>
      <c r="G73" s="260"/>
      <c r="H73" s="38"/>
      <c r="I73" s="145"/>
    </row>
    <row r="74" spans="1:9" ht="25.2" customHeight="1">
      <c r="A74" s="39"/>
      <c r="B74" s="38"/>
      <c r="C74" s="38"/>
      <c r="D74" s="279"/>
      <c r="E74" s="260"/>
      <c r="F74" s="279"/>
      <c r="G74" s="260"/>
      <c r="H74" s="38"/>
      <c r="I74" s="145"/>
    </row>
    <row r="75" spans="1:9" ht="25.2" customHeight="1">
      <c r="A75" s="39"/>
      <c r="B75" s="38"/>
      <c r="C75" s="38"/>
      <c r="D75" s="279"/>
      <c r="E75" s="260"/>
      <c r="F75" s="279"/>
      <c r="G75" s="260"/>
      <c r="H75" s="38"/>
      <c r="I75" s="145"/>
    </row>
    <row r="76" spans="1:9" ht="25.2" customHeight="1">
      <c r="A76" s="39"/>
      <c r="B76" s="38"/>
      <c r="C76" s="38"/>
      <c r="D76" s="279"/>
      <c r="E76" s="260"/>
      <c r="F76" s="279"/>
      <c r="G76" s="260"/>
      <c r="H76" s="38"/>
      <c r="I76" s="145"/>
    </row>
    <row r="77" spans="1:9" ht="26.7" customHeight="1">
      <c r="A77" s="41"/>
      <c r="B77" s="38"/>
      <c r="C77" s="38"/>
      <c r="D77" s="279"/>
      <c r="E77" s="260"/>
      <c r="F77" s="279"/>
      <c r="G77" s="260"/>
      <c r="H77" s="38"/>
      <c r="I77" s="145"/>
    </row>
    <row r="78" spans="1:9" ht="26.7" customHeight="1">
      <c r="A78" s="39"/>
      <c r="B78" s="38"/>
      <c r="C78" s="116"/>
      <c r="D78" s="259"/>
      <c r="E78" s="260"/>
      <c r="F78" s="279"/>
      <c r="G78" s="260"/>
      <c r="H78" s="38"/>
      <c r="I78" s="145"/>
    </row>
    <row r="79" spans="1:9" ht="26.7" customHeight="1">
      <c r="A79" s="39"/>
      <c r="B79" s="38"/>
      <c r="C79" s="38"/>
      <c r="D79" s="279"/>
      <c r="E79" s="260"/>
      <c r="F79" s="279"/>
      <c r="G79" s="260"/>
      <c r="H79" s="38"/>
      <c r="I79" s="145"/>
    </row>
    <row r="80" spans="1:9" ht="26.7" customHeight="1">
      <c r="A80" s="39"/>
      <c r="B80" s="38"/>
      <c r="C80" s="38"/>
      <c r="D80" s="279"/>
      <c r="E80" s="260"/>
      <c r="F80" s="279"/>
      <c r="G80" s="260"/>
      <c r="H80" s="38"/>
      <c r="I80" s="145"/>
    </row>
    <row r="81" spans="1:9" ht="26.7" customHeight="1">
      <c r="A81" s="39"/>
      <c r="B81" s="38"/>
      <c r="C81" s="38"/>
      <c r="D81" s="279"/>
      <c r="E81" s="260"/>
      <c r="F81" s="279"/>
      <c r="G81" s="260"/>
      <c r="H81" s="38"/>
      <c r="I81" s="145"/>
    </row>
    <row r="82" spans="1:9" ht="26.7" customHeight="1">
      <c r="A82" s="39"/>
      <c r="B82" s="38"/>
      <c r="C82" s="38"/>
      <c r="D82" s="279"/>
      <c r="E82" s="260"/>
      <c r="F82" s="279"/>
      <c r="G82" s="260"/>
      <c r="H82" s="38"/>
      <c r="I82" s="145"/>
    </row>
    <row r="83" spans="1:9" ht="26.7" customHeight="1">
      <c r="A83" s="39"/>
      <c r="B83" s="38"/>
      <c r="C83" s="38"/>
      <c r="D83" s="279"/>
      <c r="E83" s="260"/>
      <c r="F83" s="279"/>
      <c r="G83" s="260"/>
      <c r="H83" s="38"/>
      <c r="I83" s="145"/>
    </row>
    <row r="84" spans="1:9" ht="26.7" customHeight="1">
      <c r="A84" s="39"/>
      <c r="B84" s="38"/>
      <c r="C84" s="38"/>
      <c r="D84" s="279"/>
      <c r="E84" s="260"/>
      <c r="F84" s="279"/>
      <c r="G84" s="260"/>
      <c r="H84" s="38"/>
      <c r="I84" s="145"/>
    </row>
    <row r="85" spans="1:9" ht="26.7" customHeight="1">
      <c r="A85" s="39"/>
      <c r="B85" s="38"/>
      <c r="C85" s="38"/>
      <c r="D85" s="279"/>
      <c r="E85" s="260"/>
      <c r="F85" s="279"/>
      <c r="G85" s="260"/>
      <c r="H85" s="38"/>
      <c r="I85" s="145"/>
    </row>
    <row r="86" spans="1:9" ht="26.7" customHeight="1">
      <c r="A86" s="39"/>
      <c r="B86" s="38"/>
      <c r="C86" s="38"/>
      <c r="D86" s="279"/>
      <c r="E86" s="260"/>
      <c r="F86" s="279"/>
      <c r="G86" s="260"/>
      <c r="H86" s="38"/>
      <c r="I86" s="145"/>
    </row>
    <row r="87" spans="1:9" ht="26.7" customHeight="1">
      <c r="A87" s="39"/>
      <c r="B87" s="38"/>
      <c r="C87" s="38"/>
      <c r="D87" s="279"/>
      <c r="E87" s="260"/>
      <c r="F87" s="279"/>
      <c r="G87" s="260"/>
      <c r="H87" s="38"/>
      <c r="I87" s="145"/>
    </row>
    <row r="88" spans="1:9" ht="26.7" customHeight="1">
      <c r="A88" s="39"/>
      <c r="B88" s="38"/>
      <c r="C88" s="38"/>
      <c r="D88" s="279"/>
      <c r="E88" s="260"/>
      <c r="F88" s="279"/>
      <c r="G88" s="260"/>
      <c r="H88" s="38"/>
      <c r="I88" s="145"/>
    </row>
    <row r="89" spans="1:9" ht="26.7" customHeight="1">
      <c r="A89" s="39"/>
      <c r="B89" s="38"/>
      <c r="C89" s="38"/>
      <c r="D89" s="279"/>
      <c r="E89" s="260"/>
      <c r="F89" s="279"/>
      <c r="G89" s="260"/>
      <c r="H89" s="38"/>
      <c r="I89" s="145"/>
    </row>
    <row r="90" spans="1:9" ht="26.7" customHeight="1">
      <c r="A90" s="39"/>
      <c r="B90" s="38"/>
      <c r="C90" s="38"/>
      <c r="D90" s="279"/>
      <c r="E90" s="260"/>
      <c r="F90" s="279"/>
      <c r="G90" s="260"/>
      <c r="H90" s="38"/>
      <c r="I90" s="145"/>
    </row>
    <row r="91" spans="1:9" ht="26.7" customHeight="1">
      <c r="A91" s="39"/>
      <c r="B91" s="38"/>
      <c r="C91" s="38"/>
      <c r="D91" s="279"/>
      <c r="E91" s="260"/>
      <c r="F91" s="279"/>
      <c r="G91" s="260"/>
      <c r="H91" s="38"/>
      <c r="I91" s="145"/>
    </row>
    <row r="92" spans="1:9" ht="26.7" customHeight="1">
      <c r="A92" s="39"/>
      <c r="B92" s="38"/>
      <c r="C92" s="38"/>
      <c r="D92" s="279"/>
      <c r="E92" s="260"/>
      <c r="F92" s="279"/>
      <c r="G92" s="260"/>
      <c r="H92" s="38"/>
      <c r="I92" s="145"/>
    </row>
    <row r="93" spans="1:9" ht="26.7" customHeight="1">
      <c r="A93" s="41"/>
      <c r="B93" s="38"/>
      <c r="C93" s="38"/>
      <c r="D93" s="279"/>
      <c r="E93" s="260"/>
      <c r="F93" s="279"/>
      <c r="G93" s="260"/>
      <c r="H93" s="155"/>
      <c r="I93" s="176"/>
    </row>
    <row r="94" spans="1:9" ht="26.7" customHeight="1">
      <c r="A94" s="39"/>
      <c r="B94" s="38"/>
      <c r="C94" s="38"/>
      <c r="D94" s="279"/>
      <c r="E94" s="260"/>
      <c r="F94" s="279"/>
      <c r="G94" s="260"/>
      <c r="H94" s="38"/>
      <c r="I94" s="145"/>
    </row>
    <row r="95" spans="1:9" ht="26.7" customHeight="1">
      <c r="A95" s="39"/>
      <c r="B95" s="38"/>
      <c r="C95" s="38"/>
      <c r="D95" s="279"/>
      <c r="E95" s="260"/>
      <c r="F95" s="279"/>
      <c r="G95" s="260"/>
      <c r="H95" s="38"/>
      <c r="I95" s="145"/>
    </row>
    <row r="96" spans="1:9" ht="26.7" customHeight="1">
      <c r="A96" s="39"/>
      <c r="B96" s="38"/>
      <c r="C96" s="38"/>
      <c r="D96" s="279"/>
      <c r="E96" s="260"/>
      <c r="F96" s="279"/>
      <c r="G96" s="260"/>
      <c r="H96" s="38"/>
      <c r="I96" s="145"/>
    </row>
    <row r="97" spans="1:9" ht="26.7" customHeight="1">
      <c r="A97" s="39"/>
      <c r="B97" s="38"/>
      <c r="C97" s="38"/>
      <c r="D97" s="279"/>
      <c r="E97" s="260"/>
      <c r="F97" s="279"/>
      <c r="G97" s="260"/>
      <c r="H97" s="38"/>
      <c r="I97" s="145"/>
    </row>
    <row r="98" spans="1:9" ht="26.7" customHeight="1">
      <c r="A98" s="39"/>
      <c r="B98" s="38"/>
      <c r="C98" s="38"/>
      <c r="D98" s="279"/>
      <c r="E98" s="260"/>
      <c r="F98" s="279"/>
      <c r="G98" s="260"/>
      <c r="H98" s="38"/>
      <c r="I98" s="185"/>
    </row>
    <row r="99" spans="1:9" ht="26.7" customHeight="1">
      <c r="A99" s="39"/>
      <c r="B99" s="38"/>
      <c r="C99" s="38"/>
      <c r="D99" s="279"/>
      <c r="E99" s="260"/>
      <c r="F99" s="279"/>
      <c r="G99" s="260"/>
      <c r="H99" s="38"/>
      <c r="I99" s="145"/>
    </row>
    <row r="100" spans="1:9" ht="26.7" customHeight="1">
      <c r="A100" s="39"/>
      <c r="B100" s="38"/>
      <c r="C100" s="38"/>
      <c r="D100" s="279"/>
      <c r="E100" s="260"/>
      <c r="F100" s="279"/>
      <c r="G100" s="260"/>
      <c r="H100" s="38"/>
      <c r="I100" s="145"/>
    </row>
    <row r="101" spans="1:9" ht="26.7" customHeight="1">
      <c r="A101" s="39"/>
      <c r="B101" s="38"/>
      <c r="C101" s="38"/>
      <c r="D101" s="279"/>
      <c r="E101" s="260"/>
      <c r="F101" s="279"/>
      <c r="G101" s="260"/>
      <c r="H101" s="38"/>
      <c r="I101" s="145"/>
    </row>
    <row r="102" spans="1:9" ht="26.7" customHeight="1">
      <c r="A102" s="39"/>
      <c r="B102" s="38"/>
      <c r="C102" s="38"/>
      <c r="D102" s="279"/>
      <c r="E102" s="260"/>
      <c r="F102" s="279"/>
      <c r="G102" s="260"/>
      <c r="H102" s="38"/>
      <c r="I102" s="145"/>
    </row>
    <row r="103" spans="1:9" ht="26.7" customHeight="1">
      <c r="A103" s="39"/>
      <c r="B103" s="38"/>
      <c r="C103" s="38"/>
      <c r="D103" s="279"/>
      <c r="E103" s="260"/>
      <c r="F103" s="279"/>
      <c r="G103" s="260"/>
      <c r="H103" s="38"/>
      <c r="I103" s="145"/>
    </row>
    <row r="104" spans="1:9" ht="26.7" customHeight="1">
      <c r="A104" s="39"/>
      <c r="B104" s="38"/>
      <c r="C104" s="38"/>
      <c r="D104" s="279"/>
      <c r="E104" s="260"/>
      <c r="F104" s="279"/>
      <c r="G104" s="260"/>
      <c r="H104" s="38"/>
      <c r="I104" s="145"/>
    </row>
    <row r="105" spans="1:9" ht="26.7" customHeight="1">
      <c r="A105" s="39"/>
      <c r="B105" s="38"/>
      <c r="C105" s="38"/>
      <c r="D105" s="279"/>
      <c r="E105" s="260"/>
      <c r="F105" s="279"/>
      <c r="G105" s="260"/>
      <c r="H105" s="38"/>
      <c r="I105" s="145"/>
    </row>
    <row r="106" spans="1:9" ht="26.7" customHeight="1">
      <c r="A106" s="39"/>
      <c r="B106" s="38"/>
      <c r="C106" s="38"/>
      <c r="D106" s="279"/>
      <c r="E106" s="260"/>
      <c r="F106" s="279"/>
      <c r="G106" s="260"/>
      <c r="H106" s="38"/>
      <c r="I106" s="145"/>
    </row>
    <row r="107" spans="1:9" ht="26.7" customHeight="1">
      <c r="A107" s="39"/>
      <c r="B107" s="38"/>
      <c r="C107" s="38"/>
      <c r="D107" s="279"/>
      <c r="E107" s="260"/>
      <c r="F107" s="279"/>
      <c r="G107" s="260"/>
      <c r="H107" s="38"/>
      <c r="I107" s="145"/>
    </row>
    <row r="108" spans="1:9" ht="26.7" customHeight="1">
      <c r="A108" s="39"/>
      <c r="B108" s="38"/>
      <c r="C108" s="38"/>
      <c r="D108" s="279"/>
      <c r="E108" s="260"/>
      <c r="F108" s="279"/>
      <c r="G108" s="260"/>
      <c r="H108" s="38"/>
      <c r="I108" s="145"/>
    </row>
    <row r="109" spans="1:9" ht="26.7" customHeight="1">
      <c r="A109" s="39"/>
      <c r="B109" s="38"/>
      <c r="C109" s="38"/>
      <c r="D109" s="279"/>
      <c r="E109" s="260"/>
      <c r="F109" s="279"/>
      <c r="G109" s="260"/>
      <c r="H109" s="38"/>
      <c r="I109" s="145"/>
    </row>
    <row r="110" spans="1:9" ht="26.7" customHeight="1">
      <c r="A110" s="39"/>
      <c r="B110" s="38"/>
      <c r="C110" s="38"/>
      <c r="D110" s="279"/>
      <c r="E110" s="260"/>
      <c r="F110" s="279"/>
      <c r="G110" s="260"/>
      <c r="H110" s="38"/>
      <c r="I110" s="145"/>
    </row>
    <row r="111" spans="1:9" ht="26.7" customHeight="1">
      <c r="A111" s="39"/>
      <c r="B111" s="38"/>
      <c r="C111" s="38"/>
      <c r="D111" s="279"/>
      <c r="E111" s="260"/>
      <c r="F111" s="279"/>
      <c r="G111" s="260"/>
      <c r="H111" s="38"/>
      <c r="I111" s="145"/>
    </row>
    <row r="112" spans="1:9" ht="26.7" customHeight="1">
      <c r="A112" s="39"/>
      <c r="B112" s="38"/>
      <c r="C112" s="38"/>
      <c r="D112" s="279"/>
      <c r="E112" s="260"/>
      <c r="F112" s="279"/>
      <c r="G112" s="260"/>
      <c r="H112" s="38"/>
      <c r="I112" s="145"/>
    </row>
    <row r="113" spans="1:9" ht="26.7" customHeight="1">
      <c r="A113" s="39"/>
      <c r="B113" s="38"/>
      <c r="C113" s="38"/>
      <c r="D113" s="279"/>
      <c r="E113" s="260"/>
      <c r="F113" s="279"/>
      <c r="G113" s="260"/>
      <c r="H113" s="38"/>
      <c r="I113" s="145"/>
    </row>
    <row r="114" spans="1:9" ht="26.7" customHeight="1">
      <c r="A114" s="39"/>
      <c r="B114" s="38"/>
      <c r="C114" s="38"/>
      <c r="D114" s="279"/>
      <c r="E114" s="260"/>
      <c r="F114" s="279"/>
      <c r="G114" s="260"/>
      <c r="H114" s="38"/>
      <c r="I114" s="145"/>
    </row>
    <row r="115" spans="1:9" ht="26.7" customHeight="1">
      <c r="A115" s="39"/>
      <c r="B115" s="38"/>
      <c r="C115" s="38"/>
      <c r="D115" s="279"/>
      <c r="E115" s="260"/>
      <c r="F115" s="279"/>
      <c r="G115" s="260"/>
      <c r="H115" s="38"/>
      <c r="I115" s="145"/>
    </row>
    <row r="116" spans="1:9" ht="26.7" customHeight="1">
      <c r="A116" s="39"/>
      <c r="B116" s="38"/>
      <c r="C116" s="38"/>
      <c r="D116" s="279"/>
      <c r="E116" s="260"/>
      <c r="F116" s="279"/>
      <c r="G116" s="260"/>
      <c r="H116" s="38"/>
      <c r="I116" s="145"/>
    </row>
    <row r="117" spans="1:9" ht="26.7" customHeight="1">
      <c r="A117" s="39"/>
      <c r="B117" s="38"/>
      <c r="C117" s="38"/>
      <c r="D117" s="279"/>
      <c r="E117" s="260"/>
      <c r="F117" s="279"/>
      <c r="G117" s="260"/>
      <c r="H117" s="38"/>
      <c r="I117" s="145"/>
    </row>
    <row r="118" spans="1:9" ht="26.7" customHeight="1">
      <c r="A118" s="39"/>
      <c r="B118" s="38"/>
      <c r="C118" s="38"/>
      <c r="D118" s="279"/>
      <c r="E118" s="260"/>
      <c r="F118" s="279"/>
      <c r="G118" s="260"/>
      <c r="H118" s="38"/>
      <c r="I118" s="145"/>
    </row>
    <row r="119" spans="1:9" ht="26.7" customHeight="1">
      <c r="A119" s="39"/>
      <c r="B119" s="38"/>
      <c r="C119" s="38"/>
      <c r="D119" s="279"/>
      <c r="E119" s="260"/>
      <c r="F119" s="279"/>
      <c r="G119" s="260"/>
      <c r="H119" s="38"/>
      <c r="I119" s="145"/>
    </row>
    <row r="120" spans="1:9" ht="26.7" customHeight="1">
      <c r="A120" s="39"/>
      <c r="B120" s="38"/>
      <c r="C120" s="38"/>
      <c r="D120" s="279"/>
      <c r="E120" s="260"/>
      <c r="F120" s="279"/>
      <c r="G120" s="260"/>
      <c r="H120" s="38"/>
      <c r="I120" s="145"/>
    </row>
    <row r="121" spans="1:9" ht="26.7" customHeight="1">
      <c r="A121" s="39"/>
      <c r="B121" s="38"/>
      <c r="C121" s="38"/>
      <c r="D121" s="279"/>
      <c r="E121" s="260"/>
      <c r="F121" s="279"/>
      <c r="G121" s="260"/>
      <c r="H121" s="38"/>
      <c r="I121" s="145"/>
    </row>
    <row r="122" spans="1:9" ht="26.7" customHeight="1">
      <c r="A122" s="39"/>
      <c r="B122" s="38"/>
      <c r="C122" s="38"/>
      <c r="D122" s="279"/>
      <c r="E122" s="260"/>
      <c r="F122" s="279"/>
      <c r="G122" s="260"/>
      <c r="H122" s="38"/>
      <c r="I122" s="145"/>
    </row>
    <row r="123" spans="1:9" ht="26.7" customHeight="1">
      <c r="A123" s="39"/>
      <c r="B123" s="38"/>
      <c r="C123" s="38"/>
      <c r="D123" s="279"/>
      <c r="E123" s="260"/>
      <c r="F123" s="279"/>
      <c r="G123" s="260"/>
      <c r="H123" s="38"/>
      <c r="I123" s="145"/>
    </row>
    <row r="124" spans="1:9" ht="26.7" customHeight="1">
      <c r="A124" s="39"/>
      <c r="B124" s="38"/>
      <c r="C124" s="38"/>
      <c r="D124" s="279"/>
      <c r="E124" s="260"/>
      <c r="F124" s="279"/>
      <c r="G124" s="260"/>
      <c r="H124" s="38"/>
      <c r="I124" s="145"/>
    </row>
    <row r="125" spans="1:9" ht="26.7" customHeight="1">
      <c r="A125" s="39"/>
      <c r="B125" s="38"/>
      <c r="C125" s="38"/>
      <c r="D125" s="279"/>
      <c r="E125" s="260"/>
      <c r="F125" s="279"/>
      <c r="G125" s="260"/>
      <c r="H125" s="38"/>
      <c r="I125" s="145"/>
    </row>
    <row r="126" spans="1:9" ht="26.7" customHeight="1">
      <c r="A126" s="39"/>
      <c r="B126" s="38"/>
      <c r="C126" s="38"/>
      <c r="D126" s="279"/>
      <c r="E126" s="260"/>
      <c r="F126" s="279"/>
      <c r="G126" s="260"/>
      <c r="H126" s="38"/>
      <c r="I126" s="145"/>
    </row>
    <row r="127" spans="1:9" ht="26.7" customHeight="1">
      <c r="A127" s="39"/>
      <c r="B127" s="38"/>
      <c r="C127" s="38"/>
      <c r="D127" s="279"/>
      <c r="E127" s="260"/>
      <c r="F127" s="279"/>
      <c r="G127" s="260"/>
      <c r="H127" s="38"/>
      <c r="I127" s="145"/>
    </row>
    <row r="128" spans="1:9" ht="26.7" customHeight="1">
      <c r="A128" s="39"/>
      <c r="B128" s="38"/>
      <c r="C128" s="38"/>
      <c r="D128" s="279"/>
      <c r="E128" s="260"/>
      <c r="F128" s="279"/>
      <c r="G128" s="260"/>
      <c r="H128" s="38"/>
      <c r="I128" s="145"/>
    </row>
    <row r="129" spans="1:9" ht="26.7" customHeight="1">
      <c r="A129" s="39"/>
      <c r="B129" s="38"/>
      <c r="C129" s="38"/>
      <c r="D129" s="279"/>
      <c r="E129" s="260"/>
      <c r="F129" s="279"/>
      <c r="G129" s="260"/>
      <c r="H129" s="38"/>
      <c r="I129" s="145"/>
    </row>
    <row r="130" spans="1:9" ht="26.7" customHeight="1">
      <c r="A130" s="39"/>
      <c r="B130" s="38"/>
      <c r="C130" s="38"/>
      <c r="D130" s="279"/>
      <c r="E130" s="260"/>
      <c r="F130" s="279"/>
      <c r="G130" s="260"/>
      <c r="H130" s="38"/>
      <c r="I130" s="145"/>
    </row>
    <row r="131" spans="1:9" ht="26.7" customHeight="1">
      <c r="A131" s="39"/>
      <c r="B131" s="38"/>
      <c r="C131" s="38"/>
      <c r="D131" s="279"/>
      <c r="E131" s="260"/>
      <c r="F131" s="279"/>
      <c r="G131" s="260"/>
      <c r="H131" s="38"/>
      <c r="I131" s="145"/>
    </row>
    <row r="132" spans="1:9" ht="26.7" customHeight="1">
      <c r="A132" s="39"/>
      <c r="B132" s="38"/>
      <c r="C132" s="38"/>
      <c r="D132" s="279"/>
      <c r="E132" s="260"/>
      <c r="F132" s="279"/>
      <c r="G132" s="260"/>
      <c r="H132" s="38"/>
      <c r="I132" s="145"/>
    </row>
    <row r="133" spans="1:9" ht="26.7" customHeight="1"/>
    <row r="134" spans="1:9" ht="26.7" customHeight="1"/>
    <row r="135" spans="1:9" ht="26.7" customHeight="1"/>
    <row r="136" spans="1:9" ht="26.7" customHeight="1"/>
  </sheetData>
  <mergeCells count="264">
    <mergeCell ref="D132:E132"/>
    <mergeCell ref="D110:E110"/>
    <mergeCell ref="F132:G132"/>
    <mergeCell ref="D59:E59"/>
    <mergeCell ref="F44:G44"/>
    <mergeCell ref="F131:G131"/>
    <mergeCell ref="F27:G27"/>
    <mergeCell ref="F58:G58"/>
    <mergeCell ref="F52:G52"/>
    <mergeCell ref="F67:G67"/>
    <mergeCell ref="D8:E8"/>
    <mergeCell ref="D121:E121"/>
    <mergeCell ref="F37:G37"/>
    <mergeCell ref="B3:D3"/>
    <mergeCell ref="D130:E130"/>
    <mergeCell ref="D74:E74"/>
    <mergeCell ref="D68:E68"/>
    <mergeCell ref="F130:G130"/>
    <mergeCell ref="D42:E42"/>
    <mergeCell ref="D82:E82"/>
    <mergeCell ref="F82:G82"/>
    <mergeCell ref="F60:G60"/>
    <mergeCell ref="D123:E123"/>
    <mergeCell ref="F123:G123"/>
    <mergeCell ref="F129:G129"/>
    <mergeCell ref="D16:E16"/>
    <mergeCell ref="D87:E87"/>
    <mergeCell ref="F38:G38"/>
    <mergeCell ref="F90:G90"/>
    <mergeCell ref="D43:E43"/>
    <mergeCell ref="D122:E122"/>
    <mergeCell ref="E3:G3"/>
    <mergeCell ref="D18:E18"/>
    <mergeCell ref="D58:E58"/>
    <mergeCell ref="B2:I2"/>
    <mergeCell ref="F51:G51"/>
    <mergeCell ref="F104:G104"/>
    <mergeCell ref="F113:G113"/>
    <mergeCell ref="D32:E32"/>
    <mergeCell ref="F32:G32"/>
    <mergeCell ref="D41:E41"/>
    <mergeCell ref="D97:E97"/>
    <mergeCell ref="F26:G26"/>
    <mergeCell ref="F41:G41"/>
    <mergeCell ref="F97:G97"/>
    <mergeCell ref="F35:G35"/>
    <mergeCell ref="F106:G106"/>
    <mergeCell ref="H4:I4"/>
    <mergeCell ref="D40:E40"/>
    <mergeCell ref="D80:E80"/>
    <mergeCell ref="F40:G40"/>
    <mergeCell ref="D111:E111"/>
    <mergeCell ref="F127:G127"/>
    <mergeCell ref="D21:E21"/>
    <mergeCell ref="F59:G59"/>
    <mergeCell ref="F55:G55"/>
    <mergeCell ref="F12:G12"/>
    <mergeCell ref="F24:G24"/>
    <mergeCell ref="D95:E95"/>
    <mergeCell ref="F95:G95"/>
    <mergeCell ref="D104:E104"/>
    <mergeCell ref="D57:E57"/>
    <mergeCell ref="E4:G4"/>
    <mergeCell ref="D85:E85"/>
    <mergeCell ref="F14:G14"/>
    <mergeCell ref="D54:E54"/>
    <mergeCell ref="D94:E94"/>
    <mergeCell ref="F119:G119"/>
    <mergeCell ref="D69:E69"/>
    <mergeCell ref="F69:G69"/>
    <mergeCell ref="D109:E109"/>
    <mergeCell ref="F11:G11"/>
    <mergeCell ref="F78:G78"/>
    <mergeCell ref="F112:G112"/>
    <mergeCell ref="F65:G65"/>
    <mergeCell ref="D119:E119"/>
    <mergeCell ref="D46:E46"/>
    <mergeCell ref="D117:E117"/>
    <mergeCell ref="D92:E92"/>
    <mergeCell ref="D55:E55"/>
    <mergeCell ref="D30:E30"/>
    <mergeCell ref="F92:G92"/>
    <mergeCell ref="F117:G117"/>
    <mergeCell ref="D67:E67"/>
    <mergeCell ref="F49:G49"/>
    <mergeCell ref="D14:E14"/>
    <mergeCell ref="A5:B5"/>
    <mergeCell ref="D28:E28"/>
    <mergeCell ref="D93:E93"/>
    <mergeCell ref="F22:G22"/>
    <mergeCell ref="F115:G115"/>
    <mergeCell ref="F93:G93"/>
    <mergeCell ref="D102:E102"/>
    <mergeCell ref="F102:G102"/>
    <mergeCell ref="D12:E12"/>
    <mergeCell ref="D25:E25"/>
    <mergeCell ref="D83:E83"/>
    <mergeCell ref="F77:G77"/>
    <mergeCell ref="A1:I1"/>
    <mergeCell ref="D38:E38"/>
    <mergeCell ref="D129:E129"/>
    <mergeCell ref="D89:E89"/>
    <mergeCell ref="D79:E79"/>
    <mergeCell ref="F64:G64"/>
    <mergeCell ref="F73:G73"/>
    <mergeCell ref="F87:G87"/>
    <mergeCell ref="D63:E63"/>
    <mergeCell ref="D128:E128"/>
    <mergeCell ref="D81:E81"/>
    <mergeCell ref="F128:G128"/>
    <mergeCell ref="F89:G89"/>
    <mergeCell ref="F124:G124"/>
    <mergeCell ref="D96:E96"/>
    <mergeCell ref="D65:E65"/>
    <mergeCell ref="F7:G7"/>
    <mergeCell ref="D105:E105"/>
    <mergeCell ref="F21:G21"/>
    <mergeCell ref="D52:E52"/>
    <mergeCell ref="F53:G53"/>
    <mergeCell ref="D49:E49"/>
    <mergeCell ref="D120:E120"/>
    <mergeCell ref="D27:E27"/>
    <mergeCell ref="D9:E9"/>
    <mergeCell ref="D118:E118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F114:G114"/>
    <mergeCell ref="D107:E107"/>
    <mergeCell ref="F36:G36"/>
    <mergeCell ref="F50:G50"/>
    <mergeCell ref="D116:E116"/>
    <mergeCell ref="F101:G101"/>
    <mergeCell ref="F110:G110"/>
    <mergeCell ref="D17:E17"/>
    <mergeCell ref="F8:G8"/>
    <mergeCell ref="D91:E91"/>
    <mergeCell ref="F91:G91"/>
    <mergeCell ref="F100:G100"/>
    <mergeCell ref="D106:E106"/>
    <mergeCell ref="F6:G6"/>
    <mergeCell ref="F99:G99"/>
    <mergeCell ref="D131:E131"/>
    <mergeCell ref="F74:G74"/>
    <mergeCell ref="F83:G83"/>
    <mergeCell ref="D101:E101"/>
    <mergeCell ref="F30:G30"/>
    <mergeCell ref="D124:E124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D126:E126"/>
    <mergeCell ref="F17:G17"/>
    <mergeCell ref="D75:E75"/>
    <mergeCell ref="F126:G126"/>
    <mergeCell ref="D53:E53"/>
    <mergeCell ref="D127:E127"/>
    <mergeCell ref="F96:G96"/>
    <mergeCell ref="F56:G56"/>
    <mergeCell ref="F71:G71"/>
    <mergeCell ref="D71:E71"/>
    <mergeCell ref="F105:G105"/>
    <mergeCell ref="D114:E114"/>
    <mergeCell ref="F43:G43"/>
    <mergeCell ref="D24:E24"/>
    <mergeCell ref="D64:E64"/>
    <mergeCell ref="D33:E33"/>
    <mergeCell ref="D98:E98"/>
    <mergeCell ref="F120:G120"/>
    <mergeCell ref="D73:E73"/>
    <mergeCell ref="D51:E51"/>
    <mergeCell ref="F98:G98"/>
    <mergeCell ref="D113:E113"/>
    <mergeCell ref="F107:G107"/>
    <mergeCell ref="D88:E88"/>
    <mergeCell ref="D26:E26"/>
    <mergeCell ref="F88:G88"/>
    <mergeCell ref="F57:G57"/>
    <mergeCell ref="D35:E35"/>
    <mergeCell ref="D115:E115"/>
    <mergeCell ref="F122:G122"/>
    <mergeCell ref="D125:E125"/>
    <mergeCell ref="D7:E7"/>
    <mergeCell ref="D72:E72"/>
    <mergeCell ref="D78:E78"/>
    <mergeCell ref="F125:G125"/>
    <mergeCell ref="F72:G72"/>
    <mergeCell ref="D112:E112"/>
    <mergeCell ref="B4:D4"/>
    <mergeCell ref="F81:G81"/>
    <mergeCell ref="F23:G23"/>
    <mergeCell ref="F121:G121"/>
    <mergeCell ref="D62:E62"/>
    <mergeCell ref="F13:G13"/>
    <mergeCell ref="D56:E56"/>
    <mergeCell ref="D10:E10"/>
    <mergeCell ref="F54:G54"/>
    <mergeCell ref="D19:E19"/>
    <mergeCell ref="F10:G10"/>
    <mergeCell ref="D34:E34"/>
    <mergeCell ref="D90:E90"/>
    <mergeCell ref="F19:G19"/>
    <mergeCell ref="F63:G63"/>
    <mergeCell ref="F34:G34"/>
    <mergeCell ref="C5:G5"/>
    <mergeCell ref="D84:E84"/>
    <mergeCell ref="D22:E22"/>
    <mergeCell ref="F84:G84"/>
    <mergeCell ref="D36:E36"/>
    <mergeCell ref="D31:E31"/>
    <mergeCell ref="D50:E50"/>
    <mergeCell ref="F118:G118"/>
    <mergeCell ref="D45:E45"/>
    <mergeCell ref="D6:E6"/>
    <mergeCell ref="D77:E77"/>
    <mergeCell ref="D108:E108"/>
    <mergeCell ref="D86:E86"/>
    <mergeCell ref="F15:G15"/>
    <mergeCell ref="D44:E44"/>
    <mergeCell ref="F86:G86"/>
    <mergeCell ref="D13:E13"/>
    <mergeCell ref="F80:G80"/>
    <mergeCell ref="D61:E61"/>
    <mergeCell ref="D70:E70"/>
    <mergeCell ref="D48:E48"/>
    <mergeCell ref="F79:G79"/>
    <mergeCell ref="F70:G70"/>
    <mergeCell ref="D99:E99"/>
    <mergeCell ref="D20:E20"/>
    <mergeCell ref="D60:E60"/>
    <mergeCell ref="D100:E100"/>
    <mergeCell ref="F29:G29"/>
    <mergeCell ref="F16:G16"/>
    <mergeCell ref="F116:G116"/>
    <mergeCell ref="F68:G68"/>
    <mergeCell ref="F103:G103"/>
    <mergeCell ref="F25:G25"/>
    <mergeCell ref="F108:G108"/>
    <mergeCell ref="F75:G75"/>
    <mergeCell ref="F66:G66"/>
    <mergeCell ref="D47:E47"/>
    <mergeCell ref="F109:G109"/>
    <mergeCell ref="F47:G47"/>
    <mergeCell ref="F62:G62"/>
    <mergeCell ref="D103:E103"/>
    <mergeCell ref="D37:E37"/>
    <mergeCell ref="F31:G31"/>
    <mergeCell ref="F46:G46"/>
    <mergeCell ref="F28:G28"/>
    <mergeCell ref="F111:G111"/>
  </mergeCells>
  <phoneticPr fontId="30" type="noConversion"/>
  <dataValidations count="1">
    <dataValidation type="list" allowBlank="1" showInputMessage="1" showErrorMessage="1" sqref="I8:I12 I21:I32" xr:uid="{00000000-0002-0000-0300-000000000000}">
      <formula1>$Q$7:$Q$8</formula1>
    </dataValidation>
  </dataValidations>
  <pageMargins left="0.39370078740157483" right="0.35433070866141742" top="0.43307086614173229" bottom="0.31496062992125978" header="0.31496062992125978" footer="0.31496062992125978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O235"/>
  <sheetViews>
    <sheetView workbookViewId="0">
      <pane ySplit="6" topLeftCell="A7" activePane="bottomLeft" state="frozen"/>
      <selection activeCell="F94" sqref="F94:G94"/>
      <selection pane="bottomLeft" activeCell="F94" sqref="F94:G9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09" t="s">
        <v>371</v>
      </c>
      <c r="K1" s="38" t="s">
        <v>323</v>
      </c>
      <c r="L1" s="38" t="s">
        <v>324</v>
      </c>
      <c r="M1" s="1"/>
      <c r="N1" s="1"/>
      <c r="O1" s="1"/>
    </row>
    <row r="2" spans="1:15" ht="34.950000000000003" customHeight="1">
      <c r="A2" s="33" t="s">
        <v>372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373</v>
      </c>
      <c r="C3" s="263"/>
      <c r="D3" s="260"/>
      <c r="E3" s="266" t="s">
        <v>11</v>
      </c>
      <c r="F3" s="263"/>
      <c r="G3" s="260"/>
      <c r="H3" s="268" t="s">
        <v>374</v>
      </c>
      <c r="I3" s="269"/>
      <c r="J3" s="19"/>
      <c r="K3" s="4"/>
      <c r="L3" s="5">
        <v>8</v>
      </c>
      <c r="M3" s="3"/>
      <c r="N3" s="3">
        <f>SUM(F:F)</f>
        <v>0</v>
      </c>
      <c r="O3" s="3">
        <f>L3+M3-N3</f>
        <v>8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375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376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 ht="17.25" customHeight="1" thickBot="1">
      <c r="A6" s="69" t="s">
        <v>22</v>
      </c>
      <c r="B6" s="65" t="s">
        <v>23</v>
      </c>
      <c r="C6" s="65" t="s">
        <v>24</v>
      </c>
      <c r="D6" s="285" t="s">
        <v>25</v>
      </c>
      <c r="E6" s="286"/>
      <c r="F6" s="285" t="s">
        <v>26</v>
      </c>
      <c r="G6" s="286"/>
      <c r="H6" s="65" t="s">
        <v>27</v>
      </c>
      <c r="I6" s="70" t="s">
        <v>28</v>
      </c>
      <c r="J6" s="12"/>
      <c r="K6" s="3"/>
      <c r="L6" s="3"/>
      <c r="M6" s="3"/>
      <c r="N6" s="3"/>
      <c r="O6" s="3"/>
    </row>
    <row r="7" spans="1:15" ht="28.95" customHeight="1" thickTop="1">
      <c r="A7" s="68" t="s">
        <v>29</v>
      </c>
      <c r="B7" s="38" t="s">
        <v>5</v>
      </c>
      <c r="C7" s="55">
        <v>0</v>
      </c>
      <c r="D7" s="283"/>
      <c r="E7" s="284"/>
      <c r="F7" s="283"/>
      <c r="G7" s="284"/>
      <c r="H7" s="55">
        <v>0</v>
      </c>
      <c r="I7" s="37" t="s">
        <v>331</v>
      </c>
      <c r="J7" s="12"/>
      <c r="K7" s="3"/>
      <c r="L7" s="3"/>
      <c r="M7" s="3"/>
      <c r="N7" s="3"/>
      <c r="O7" s="3"/>
    </row>
    <row r="8" spans="1:15" ht="26.7" customHeight="1">
      <c r="A8" s="41"/>
      <c r="B8" s="38"/>
      <c r="C8" s="38"/>
      <c r="D8" s="279"/>
      <c r="E8" s="260"/>
      <c r="F8" s="279"/>
      <c r="G8" s="260"/>
      <c r="H8" s="38"/>
      <c r="I8" s="37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37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37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37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37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7"/>
      <c r="D14" s="259"/>
      <c r="E14" s="260"/>
      <c r="F14" s="279"/>
      <c r="G14" s="260"/>
      <c r="H14" s="38"/>
      <c r="I14" s="37"/>
      <c r="J14" s="12"/>
      <c r="K14" s="3"/>
      <c r="L14" s="3"/>
      <c r="M14" s="3"/>
      <c r="N14" s="3"/>
      <c r="O14" s="3"/>
    </row>
    <row r="15" spans="1:15" ht="26.7" customHeight="1">
      <c r="A15" s="39"/>
      <c r="B15" s="38"/>
      <c r="C15" s="7"/>
      <c r="D15" s="259"/>
      <c r="E15" s="260"/>
      <c r="F15" s="279"/>
      <c r="G15" s="260"/>
      <c r="H15" s="38"/>
      <c r="I15" s="37"/>
      <c r="J15" s="12"/>
      <c r="K15" s="3"/>
      <c r="L15" s="3"/>
      <c r="M15" s="3"/>
      <c r="N15" s="3"/>
      <c r="O15" s="3"/>
    </row>
    <row r="16" spans="1:15" ht="26.7" customHeight="1">
      <c r="A16" s="39"/>
      <c r="B16" s="38"/>
      <c r="C16" s="7"/>
      <c r="D16" s="259"/>
      <c r="E16" s="260"/>
      <c r="F16" s="279"/>
      <c r="G16" s="260"/>
      <c r="H16" s="38"/>
      <c r="I16" s="37"/>
      <c r="J16" s="12"/>
      <c r="K16" s="3"/>
      <c r="L16" s="3"/>
      <c r="M16" s="3"/>
      <c r="N16" s="3"/>
      <c r="O16" s="3"/>
    </row>
    <row r="17" spans="1:10" ht="26.7" customHeight="1">
      <c r="A17" s="39"/>
      <c r="B17" s="38"/>
      <c r="C17" s="7"/>
      <c r="D17" s="259"/>
      <c r="E17" s="260"/>
      <c r="F17" s="279"/>
      <c r="G17" s="260"/>
      <c r="H17" s="38"/>
      <c r="I17" s="37"/>
      <c r="J17" s="12"/>
    </row>
    <row r="18" spans="1:10" ht="26.7" customHeight="1">
      <c r="A18" s="39"/>
      <c r="B18" s="38"/>
      <c r="C18" s="7"/>
      <c r="D18" s="259"/>
      <c r="E18" s="260"/>
      <c r="F18" s="279"/>
      <c r="G18" s="260"/>
      <c r="H18" s="38"/>
      <c r="I18" s="37"/>
      <c r="J18" s="12"/>
    </row>
    <row r="19" spans="1:10" ht="26.7" customHeight="1">
      <c r="A19" s="39"/>
      <c r="B19" s="38"/>
      <c r="C19" s="7"/>
      <c r="D19" s="259"/>
      <c r="E19" s="260"/>
      <c r="F19" s="279"/>
      <c r="G19" s="260"/>
      <c r="H19" s="38"/>
      <c r="I19" s="37"/>
      <c r="J19" s="12"/>
    </row>
    <row r="20" spans="1:10" ht="26.7" customHeight="1">
      <c r="A20" s="39"/>
      <c r="B20" s="38"/>
      <c r="C20" s="7"/>
      <c r="D20" s="259"/>
      <c r="E20" s="260"/>
      <c r="F20" s="279"/>
      <c r="G20" s="260"/>
      <c r="H20" s="38"/>
      <c r="I20" s="37"/>
      <c r="J20" s="12"/>
    </row>
    <row r="21" spans="1:10" ht="26.7" customHeight="1">
      <c r="A21" s="39"/>
      <c r="B21" s="38"/>
      <c r="C21" s="7"/>
      <c r="D21" s="259"/>
      <c r="E21" s="260"/>
      <c r="F21" s="279"/>
      <c r="G21" s="260"/>
      <c r="H21" s="38"/>
      <c r="I21" s="26"/>
      <c r="J21" s="12"/>
    </row>
    <row r="22" spans="1:10" ht="26.7" customHeight="1">
      <c r="A22" s="39"/>
      <c r="B22" s="38"/>
      <c r="C22" s="7"/>
      <c r="D22" s="259"/>
      <c r="E22" s="260"/>
      <c r="F22" s="279"/>
      <c r="G22" s="260"/>
      <c r="H22" s="38"/>
      <c r="I22" s="26"/>
      <c r="J22" s="12"/>
    </row>
    <row r="23" spans="1:10" ht="26.7" customHeight="1">
      <c r="A23" s="39"/>
      <c r="B23" s="38"/>
      <c r="C23" s="7"/>
      <c r="D23" s="259"/>
      <c r="E23" s="260"/>
      <c r="F23" s="279"/>
      <c r="G23" s="260"/>
      <c r="H23" s="38"/>
      <c r="I23" s="26"/>
      <c r="J23" s="12"/>
    </row>
    <row r="24" spans="1:10" ht="26.7" customHeight="1">
      <c r="A24" s="41"/>
      <c r="B24" s="38"/>
      <c r="C24" s="7"/>
      <c r="D24" s="259"/>
      <c r="E24" s="260"/>
      <c r="F24" s="279"/>
      <c r="G24" s="260"/>
      <c r="H24" s="38"/>
      <c r="I24" s="26"/>
      <c r="J24" s="12"/>
    </row>
    <row r="25" spans="1:10" ht="26.7" customHeight="1">
      <c r="A25" s="39"/>
      <c r="B25" s="38"/>
      <c r="C25" s="7"/>
      <c r="D25" s="259"/>
      <c r="E25" s="260"/>
      <c r="F25" s="279"/>
      <c r="G25" s="260"/>
      <c r="H25" s="38"/>
      <c r="I25" s="28"/>
      <c r="J25" s="12"/>
    </row>
    <row r="26" spans="1:10" ht="26.7" customHeight="1">
      <c r="A26" s="39"/>
      <c r="B26" s="38"/>
      <c r="C26" s="7"/>
      <c r="D26" s="259"/>
      <c r="E26" s="260"/>
      <c r="F26" s="279"/>
      <c r="G26" s="260"/>
      <c r="H26" s="38"/>
      <c r="I26" s="26"/>
      <c r="J26" s="12"/>
    </row>
    <row r="27" spans="1:10" ht="26.7" customHeight="1">
      <c r="A27" s="39"/>
      <c r="B27" s="38"/>
      <c r="C27" s="38"/>
      <c r="D27" s="279"/>
      <c r="E27" s="260"/>
      <c r="F27" s="279"/>
      <c r="G27" s="260"/>
      <c r="H27" s="38"/>
      <c r="I27" s="37"/>
      <c r="J27" s="12"/>
    </row>
    <row r="28" spans="1:10" ht="26.7" customHeight="1">
      <c r="A28" s="39"/>
      <c r="B28" s="38"/>
      <c r="C28" s="7"/>
      <c r="D28" s="259"/>
      <c r="E28" s="260"/>
      <c r="F28" s="279"/>
      <c r="G28" s="260"/>
      <c r="H28" s="38"/>
      <c r="I28" s="26"/>
      <c r="J28" s="12"/>
    </row>
    <row r="29" spans="1:10" ht="26.7" customHeight="1">
      <c r="A29" s="39"/>
      <c r="B29" s="38"/>
      <c r="C29" s="7"/>
      <c r="D29" s="259"/>
      <c r="E29" s="260"/>
      <c r="F29" s="279"/>
      <c r="G29" s="260"/>
      <c r="H29" s="38"/>
      <c r="I29" s="26"/>
      <c r="J29" s="12"/>
    </row>
    <row r="30" spans="1:10" ht="26.7" customHeight="1">
      <c r="A30" s="39"/>
      <c r="B30" s="38"/>
      <c r="C30" s="7"/>
      <c r="D30" s="259"/>
      <c r="E30" s="260"/>
      <c r="F30" s="279"/>
      <c r="G30" s="260"/>
      <c r="H30" s="38"/>
      <c r="I30" s="26"/>
      <c r="J30" s="12"/>
    </row>
    <row r="31" spans="1:10" ht="26.7" customHeight="1">
      <c r="A31" s="39"/>
      <c r="B31" s="38"/>
      <c r="C31" s="7"/>
      <c r="D31" s="259"/>
      <c r="E31" s="260"/>
      <c r="F31" s="279"/>
      <c r="G31" s="260"/>
      <c r="H31" s="38"/>
      <c r="I31" s="26"/>
      <c r="J31" s="12"/>
    </row>
    <row r="32" spans="1:10" ht="21" customHeight="1">
      <c r="A32" s="41"/>
      <c r="B32" s="38"/>
      <c r="C32" s="22"/>
      <c r="D32" s="288"/>
      <c r="E32" s="284"/>
      <c r="F32" s="283"/>
      <c r="G32" s="284"/>
      <c r="H32" s="55"/>
      <c r="I32" s="22"/>
      <c r="J32" s="104"/>
    </row>
    <row r="33" spans="1:9">
      <c r="A33" s="39"/>
      <c r="B33" s="38"/>
      <c r="C33" s="139"/>
      <c r="D33" s="279"/>
      <c r="E33" s="260"/>
      <c r="F33" s="279"/>
      <c r="G33" s="260"/>
      <c r="H33" s="38"/>
    </row>
    <row r="34" spans="1:9" ht="21" customHeight="1">
      <c r="A34" s="39"/>
      <c r="B34" s="38"/>
      <c r="C34" s="139"/>
      <c r="D34" s="259"/>
      <c r="E34" s="260"/>
      <c r="F34" s="279"/>
      <c r="G34" s="260"/>
      <c r="H34" s="38"/>
      <c r="I34" s="16"/>
    </row>
    <row r="35" spans="1:9" ht="21" customHeight="1">
      <c r="A35" s="41"/>
      <c r="B35" s="38"/>
      <c r="C35" s="139"/>
      <c r="D35" s="259"/>
      <c r="E35" s="260"/>
      <c r="F35" s="279"/>
      <c r="G35" s="260"/>
      <c r="H35" s="38"/>
      <c r="I35" s="7"/>
    </row>
    <row r="36" spans="1:9" ht="21" customHeight="1">
      <c r="A36" s="39"/>
      <c r="B36" s="38"/>
      <c r="C36" s="7"/>
      <c r="D36" s="259"/>
      <c r="E36" s="260"/>
      <c r="F36" s="279"/>
      <c r="G36" s="260"/>
      <c r="H36" s="38"/>
      <c r="I36" s="109"/>
    </row>
    <row r="37" spans="1:9" ht="21" customHeight="1">
      <c r="A37" s="41"/>
      <c r="B37" s="38"/>
      <c r="C37" s="3"/>
      <c r="D37" s="259"/>
      <c r="E37" s="260"/>
      <c r="F37" s="279"/>
      <c r="G37" s="260"/>
      <c r="H37" s="38"/>
      <c r="I37" s="16"/>
    </row>
    <row r="38" spans="1:9" ht="21" customHeight="1">
      <c r="A38" s="41"/>
      <c r="B38" s="38"/>
      <c r="C38" s="3"/>
      <c r="D38" s="259"/>
      <c r="E38" s="260"/>
      <c r="F38" s="279"/>
      <c r="G38" s="260"/>
      <c r="H38" s="38"/>
      <c r="I38" s="7"/>
    </row>
    <row r="39" spans="1:9" ht="21" customHeight="1">
      <c r="A39" s="41"/>
      <c r="B39" s="38"/>
      <c r="C39" s="3"/>
      <c r="D39" s="259"/>
      <c r="E39" s="260"/>
      <c r="F39" s="279"/>
      <c r="G39" s="260"/>
      <c r="H39" s="38"/>
      <c r="I39" s="7"/>
    </row>
    <row r="40" spans="1:9" ht="21" customHeight="1">
      <c r="A40" s="39"/>
      <c r="B40" s="38"/>
      <c r="C40" s="3"/>
      <c r="D40" s="259"/>
      <c r="E40" s="260"/>
      <c r="F40" s="279"/>
      <c r="G40" s="260"/>
      <c r="H40" s="38"/>
      <c r="I40" s="7"/>
    </row>
    <row r="41" spans="1:9" ht="21" customHeight="1">
      <c r="A41" s="41"/>
      <c r="B41" s="38"/>
      <c r="C41" s="3"/>
      <c r="D41" s="259"/>
      <c r="E41" s="260"/>
      <c r="F41" s="279"/>
      <c r="G41" s="260"/>
      <c r="H41" s="38"/>
      <c r="I41" s="7"/>
    </row>
    <row r="42" spans="1:9" ht="21" customHeight="1">
      <c r="A42" s="39"/>
      <c r="B42" s="38"/>
      <c r="C42" s="3"/>
      <c r="D42" s="259"/>
      <c r="E42" s="260"/>
      <c r="F42" s="279"/>
      <c r="G42" s="260"/>
      <c r="H42" s="38"/>
      <c r="I42" s="7"/>
    </row>
    <row r="43" spans="1:9" ht="21" customHeight="1">
      <c r="A43" s="39"/>
      <c r="B43" s="38"/>
      <c r="C43" s="3"/>
      <c r="D43" s="259"/>
      <c r="E43" s="260"/>
      <c r="F43" s="279"/>
      <c r="G43" s="260"/>
      <c r="H43" s="38"/>
      <c r="I43" s="7"/>
    </row>
    <row r="44" spans="1:9" ht="21" customHeight="1">
      <c r="A44" s="39"/>
      <c r="B44" s="38"/>
      <c r="C44" s="3"/>
      <c r="D44" s="259"/>
      <c r="E44" s="260"/>
      <c r="F44" s="279"/>
      <c r="G44" s="260"/>
      <c r="H44" s="38"/>
      <c r="I44" s="7"/>
    </row>
    <row r="45" spans="1:9" ht="21" customHeight="1">
      <c r="A45" s="41"/>
      <c r="B45" s="38"/>
      <c r="C45" s="3"/>
      <c r="D45" s="259"/>
      <c r="E45" s="260"/>
      <c r="F45" s="279"/>
      <c r="G45" s="260"/>
      <c r="H45" s="38"/>
      <c r="I45" s="7"/>
    </row>
    <row r="46" spans="1:9" ht="21" customHeight="1">
      <c r="A46" s="39"/>
      <c r="B46" s="38"/>
      <c r="C46" s="3"/>
      <c r="D46" s="259"/>
      <c r="E46" s="260"/>
      <c r="F46" s="279"/>
      <c r="G46" s="260"/>
      <c r="H46" s="38"/>
      <c r="I46" s="7"/>
    </row>
    <row r="47" spans="1:9" ht="21" customHeight="1">
      <c r="A47" s="39"/>
      <c r="B47" s="38"/>
      <c r="C47" s="3"/>
      <c r="D47" s="259"/>
      <c r="E47" s="260"/>
      <c r="F47" s="279"/>
      <c r="G47" s="260"/>
      <c r="H47" s="38"/>
      <c r="I47" s="7"/>
    </row>
    <row r="48" spans="1:9" ht="21" customHeight="1">
      <c r="A48" s="39"/>
      <c r="B48" s="38"/>
      <c r="C48" s="10"/>
      <c r="D48" s="259"/>
      <c r="E48" s="260"/>
      <c r="F48" s="279"/>
      <c r="G48" s="260"/>
      <c r="H48" s="38"/>
      <c r="I48" s="7"/>
    </row>
    <row r="49" spans="1:9" ht="21" customHeight="1">
      <c r="A49" s="39"/>
      <c r="B49" s="38"/>
      <c r="C49" s="10"/>
      <c r="D49" s="259"/>
      <c r="E49" s="260"/>
      <c r="F49" s="279"/>
      <c r="G49" s="260"/>
      <c r="H49" s="38"/>
      <c r="I49" s="11"/>
    </row>
    <row r="50" spans="1:9" ht="21" customHeight="1">
      <c r="A50" s="39"/>
      <c r="B50" s="38"/>
      <c r="C50" s="9"/>
      <c r="D50" s="259"/>
      <c r="E50" s="260"/>
      <c r="F50" s="279"/>
      <c r="G50" s="260"/>
      <c r="H50" s="38"/>
      <c r="I50" s="7"/>
    </row>
    <row r="51" spans="1:9" ht="21" customHeight="1">
      <c r="A51" s="39"/>
      <c r="B51" s="38"/>
      <c r="C51" s="3"/>
      <c r="D51" s="259"/>
      <c r="E51" s="260"/>
      <c r="F51" s="279"/>
      <c r="G51" s="260"/>
      <c r="H51" s="38"/>
      <c r="I51" s="7"/>
    </row>
    <row r="52" spans="1:9" ht="21" customHeight="1">
      <c r="A52" s="39"/>
      <c r="B52" s="38"/>
      <c r="C52" s="3"/>
      <c r="D52" s="259"/>
      <c r="E52" s="260"/>
      <c r="F52" s="279"/>
      <c r="G52" s="260"/>
      <c r="H52" s="38"/>
      <c r="I52" s="7"/>
    </row>
    <row r="53" spans="1:9" ht="21" customHeight="1">
      <c r="A53" s="39"/>
      <c r="B53" s="38"/>
      <c r="C53" s="3"/>
      <c r="D53" s="259"/>
      <c r="E53" s="260"/>
      <c r="F53" s="279"/>
      <c r="G53" s="260"/>
      <c r="H53" s="38"/>
      <c r="I53" s="7"/>
    </row>
    <row r="54" spans="1:9" ht="21" customHeight="1">
      <c r="A54" s="39"/>
      <c r="B54" s="38"/>
      <c r="C54" s="3"/>
      <c r="D54" s="259"/>
      <c r="E54" s="260"/>
      <c r="F54" s="279"/>
      <c r="G54" s="260"/>
      <c r="H54" s="38"/>
      <c r="I54" s="7"/>
    </row>
    <row r="55" spans="1:9" ht="21" customHeight="1">
      <c r="A55" s="39"/>
      <c r="B55" s="38"/>
      <c r="C55" s="3"/>
      <c r="D55" s="259"/>
      <c r="E55" s="260"/>
      <c r="F55" s="279"/>
      <c r="G55" s="260"/>
      <c r="H55" s="38"/>
      <c r="I55" s="7"/>
    </row>
    <row r="56" spans="1:9" ht="21" customHeight="1">
      <c r="A56" s="39"/>
      <c r="B56" s="38"/>
      <c r="C56" s="3"/>
      <c r="D56" s="259"/>
      <c r="E56" s="260"/>
      <c r="F56" s="279"/>
      <c r="G56" s="260"/>
      <c r="H56" s="38"/>
      <c r="I56" s="16"/>
    </row>
    <row r="57" spans="1:9" ht="21" customHeight="1">
      <c r="A57" s="39"/>
      <c r="B57" s="38"/>
      <c r="C57" s="3"/>
      <c r="D57" s="259"/>
      <c r="E57" s="260"/>
      <c r="F57" s="279"/>
      <c r="G57" s="260"/>
      <c r="H57" s="38"/>
      <c r="I57" s="7"/>
    </row>
    <row r="58" spans="1:9" ht="21" customHeight="1">
      <c r="A58" s="39"/>
      <c r="B58" s="38"/>
      <c r="C58" s="3"/>
      <c r="D58" s="259"/>
      <c r="E58" s="260"/>
      <c r="F58" s="279"/>
      <c r="G58" s="260"/>
      <c r="H58" s="38"/>
      <c r="I58" s="7"/>
    </row>
    <row r="59" spans="1:9" ht="21" customHeight="1">
      <c r="A59" s="39"/>
      <c r="B59" s="38"/>
      <c r="C59" s="3"/>
      <c r="D59" s="259"/>
      <c r="E59" s="260"/>
      <c r="F59" s="279"/>
      <c r="G59" s="260"/>
      <c r="H59" s="38"/>
      <c r="I59" s="7"/>
    </row>
    <row r="60" spans="1:9" ht="21" customHeight="1">
      <c r="A60" s="39"/>
      <c r="B60" s="38"/>
      <c r="C60" s="3"/>
      <c r="D60" s="259"/>
      <c r="E60" s="260"/>
      <c r="F60" s="279"/>
      <c r="G60" s="260"/>
      <c r="H60" s="38"/>
      <c r="I60" s="7"/>
    </row>
    <row r="61" spans="1:9" ht="21" customHeight="1">
      <c r="A61" s="39"/>
      <c r="B61" s="38"/>
      <c r="C61" s="9"/>
      <c r="D61" s="259"/>
      <c r="E61" s="260"/>
      <c r="F61" s="279"/>
      <c r="G61" s="260"/>
      <c r="H61" s="38"/>
      <c r="I61" s="7"/>
    </row>
    <row r="62" spans="1:9" ht="21" customHeight="1">
      <c r="A62" s="39"/>
      <c r="B62" s="38"/>
      <c r="C62" s="139"/>
      <c r="D62" s="259"/>
      <c r="E62" s="260"/>
      <c r="F62" s="279"/>
      <c r="G62" s="260"/>
      <c r="H62" s="38"/>
      <c r="I62" s="7"/>
    </row>
    <row r="63" spans="1:9">
      <c r="A63" s="39"/>
      <c r="B63" s="38"/>
      <c r="C63" s="139"/>
      <c r="D63" s="279"/>
      <c r="E63" s="260"/>
      <c r="F63" s="287"/>
      <c r="G63" s="260"/>
      <c r="H63" s="38"/>
      <c r="I63" s="142"/>
    </row>
    <row r="64" spans="1:9" ht="21" customHeight="1">
      <c r="A64" s="39"/>
      <c r="B64" s="38"/>
      <c r="C64" s="3"/>
      <c r="D64" s="259"/>
      <c r="E64" s="260"/>
      <c r="F64" s="279"/>
      <c r="G64" s="260"/>
      <c r="H64" s="38"/>
      <c r="I64" s="7"/>
    </row>
    <row r="65" spans="1:9" ht="21" customHeight="1">
      <c r="A65" s="41"/>
      <c r="B65" s="38"/>
      <c r="C65" s="3"/>
      <c r="D65" s="259"/>
      <c r="E65" s="260"/>
      <c r="F65" s="279"/>
      <c r="G65" s="260"/>
      <c r="H65" s="38"/>
      <c r="I65" s="7"/>
    </row>
    <row r="66" spans="1:9" ht="21" customHeight="1">
      <c r="A66" s="39"/>
      <c r="B66" s="38"/>
      <c r="C66" s="3"/>
      <c r="D66" s="259"/>
      <c r="E66" s="260"/>
      <c r="F66" s="279"/>
      <c r="G66" s="260"/>
      <c r="H66" s="38"/>
      <c r="I66" s="7"/>
    </row>
    <row r="67" spans="1:9" ht="21" customHeight="1">
      <c r="A67" s="39"/>
      <c r="B67" s="38"/>
      <c r="C67" s="3"/>
      <c r="D67" s="259"/>
      <c r="E67" s="260"/>
      <c r="F67" s="279"/>
      <c r="G67" s="260"/>
      <c r="H67" s="38"/>
      <c r="I67" s="7"/>
    </row>
    <row r="68" spans="1:9" ht="21" customHeight="1">
      <c r="A68" s="41"/>
      <c r="B68" s="38"/>
      <c r="C68" s="3"/>
      <c r="D68" s="259"/>
      <c r="E68" s="260"/>
      <c r="F68" s="279"/>
      <c r="G68" s="260"/>
      <c r="H68" s="38"/>
      <c r="I68" s="7"/>
    </row>
    <row r="69" spans="1:9" ht="21" customHeight="1">
      <c r="A69" s="39"/>
      <c r="B69" s="38"/>
      <c r="C69" s="3"/>
      <c r="D69" s="259"/>
      <c r="E69" s="260"/>
      <c r="F69" s="279"/>
      <c r="G69" s="260"/>
      <c r="H69" s="38"/>
      <c r="I69" s="7"/>
    </row>
    <row r="70" spans="1:9" ht="21" customHeight="1">
      <c r="A70" s="41"/>
      <c r="B70" s="38"/>
      <c r="C70" s="3"/>
      <c r="D70" s="259"/>
      <c r="E70" s="260"/>
      <c r="F70" s="279"/>
      <c r="G70" s="260"/>
      <c r="H70" s="38"/>
      <c r="I70" s="7"/>
    </row>
    <row r="71" spans="1:9" ht="21" customHeight="1">
      <c r="A71" s="39"/>
      <c r="B71" s="38"/>
      <c r="C71" s="3"/>
      <c r="D71" s="259"/>
      <c r="E71" s="260"/>
      <c r="F71" s="279"/>
      <c r="G71" s="260"/>
      <c r="H71" s="38"/>
      <c r="I71" s="7"/>
    </row>
    <row r="72" spans="1:9" ht="21" customHeight="1">
      <c r="A72" s="41"/>
      <c r="B72" s="38"/>
      <c r="C72" s="3"/>
      <c r="D72" s="259"/>
      <c r="E72" s="260"/>
      <c r="F72" s="279"/>
      <c r="G72" s="260"/>
      <c r="H72" s="38"/>
      <c r="I72" s="7"/>
    </row>
    <row r="73" spans="1:9" ht="21" customHeight="1">
      <c r="A73" s="41"/>
      <c r="B73" s="38"/>
      <c r="C73" s="3"/>
      <c r="D73" s="259"/>
      <c r="E73" s="260"/>
      <c r="F73" s="279"/>
      <c r="G73" s="260"/>
      <c r="H73" s="38"/>
      <c r="I73" s="7"/>
    </row>
    <row r="74" spans="1:9" ht="21" customHeight="1">
      <c r="A74" s="39"/>
      <c r="B74" s="38"/>
      <c r="C74" s="3"/>
      <c r="D74" s="259"/>
      <c r="E74" s="260"/>
      <c r="F74" s="279"/>
      <c r="G74" s="260"/>
      <c r="H74" s="38"/>
      <c r="I74" s="7"/>
    </row>
    <row r="75" spans="1:9" ht="21" customHeight="1">
      <c r="A75" s="41"/>
      <c r="B75" s="38"/>
      <c r="C75" s="3"/>
      <c r="D75" s="259"/>
      <c r="E75" s="260"/>
      <c r="F75" s="279"/>
      <c r="G75" s="260"/>
      <c r="H75" s="38"/>
      <c r="I75" s="7"/>
    </row>
    <row r="76" spans="1:9" ht="21" customHeight="1">
      <c r="A76" s="41"/>
      <c r="B76" s="38"/>
      <c r="C76" s="3"/>
      <c r="D76" s="259"/>
      <c r="E76" s="260"/>
      <c r="F76" s="279"/>
      <c r="G76" s="260"/>
      <c r="H76" s="38"/>
      <c r="I76" s="7"/>
    </row>
    <row r="77" spans="1:9" ht="21" customHeight="1">
      <c r="A77" s="39"/>
      <c r="B77" s="38"/>
      <c r="C77" s="3"/>
      <c r="D77" s="259"/>
      <c r="E77" s="260"/>
      <c r="F77" s="279"/>
      <c r="G77" s="260"/>
      <c r="H77" s="38"/>
      <c r="I77" s="7"/>
    </row>
    <row r="78" spans="1:9" ht="21" customHeight="1">
      <c r="A78" s="41"/>
      <c r="B78" s="38"/>
      <c r="C78" s="3"/>
      <c r="D78" s="259"/>
      <c r="E78" s="260"/>
      <c r="F78" s="279"/>
      <c r="G78" s="260"/>
      <c r="H78" s="38"/>
      <c r="I78" s="7"/>
    </row>
    <row r="79" spans="1:9" ht="21" customHeight="1">
      <c r="A79" s="41"/>
      <c r="B79" s="38"/>
      <c r="C79" s="3"/>
      <c r="D79" s="259"/>
      <c r="E79" s="260"/>
      <c r="F79" s="279"/>
      <c r="G79" s="260"/>
      <c r="H79" s="38"/>
      <c r="I79" s="7"/>
    </row>
    <row r="80" spans="1:9" ht="21" customHeight="1">
      <c r="A80" s="41"/>
      <c r="B80" s="38"/>
      <c r="C80" s="3"/>
      <c r="D80" s="259"/>
      <c r="E80" s="260"/>
      <c r="F80" s="279"/>
      <c r="G80" s="260"/>
      <c r="H80" s="38"/>
      <c r="I80" s="7"/>
    </row>
    <row r="81" spans="1:9" ht="21" customHeight="1">
      <c r="A81" s="39"/>
      <c r="B81" s="38"/>
      <c r="C81" s="3"/>
      <c r="D81" s="259"/>
      <c r="E81" s="260"/>
      <c r="F81" s="279"/>
      <c r="G81" s="260"/>
      <c r="H81" s="38"/>
      <c r="I81" s="7"/>
    </row>
    <row r="82" spans="1:9" ht="21" customHeight="1">
      <c r="A82" s="41"/>
      <c r="B82" s="38"/>
      <c r="C82" s="9"/>
      <c r="D82" s="259"/>
      <c r="E82" s="260"/>
      <c r="F82" s="279"/>
      <c r="G82" s="260"/>
      <c r="H82" s="38"/>
      <c r="I82" s="7"/>
    </row>
    <row r="83" spans="1:9" ht="21" customHeight="1">
      <c r="A83" s="39"/>
      <c r="B83" s="38"/>
      <c r="C83" s="3"/>
      <c r="D83" s="259"/>
      <c r="E83" s="260"/>
      <c r="F83" s="279"/>
      <c r="G83" s="260"/>
      <c r="H83" s="38"/>
      <c r="I83" s="7"/>
    </row>
    <row r="84" spans="1:9" ht="21" customHeight="1">
      <c r="A84" s="39"/>
      <c r="B84" s="38"/>
      <c r="C84" s="9"/>
      <c r="D84" s="259"/>
      <c r="E84" s="260"/>
      <c r="F84" s="279"/>
      <c r="G84" s="260"/>
      <c r="H84" s="38"/>
      <c r="I84" s="11"/>
    </row>
    <row r="85" spans="1:9" ht="21" customHeight="1">
      <c r="A85" s="41"/>
      <c r="B85" s="38"/>
      <c r="C85" s="3"/>
      <c r="D85" s="259"/>
      <c r="E85" s="260"/>
      <c r="F85" s="279"/>
      <c r="G85" s="260"/>
      <c r="H85" s="38"/>
      <c r="I85" s="7"/>
    </row>
    <row r="86" spans="1:9" ht="21" customHeight="1">
      <c r="A86" s="39"/>
      <c r="B86" s="38"/>
      <c r="C86" s="9"/>
      <c r="D86" s="259"/>
      <c r="E86" s="260"/>
      <c r="F86" s="279"/>
      <c r="G86" s="260"/>
      <c r="H86" s="38"/>
      <c r="I86" s="7"/>
    </row>
    <row r="87" spans="1:9" ht="21" customHeight="1">
      <c r="A87" s="41"/>
      <c r="B87" s="38"/>
      <c r="C87" s="3"/>
      <c r="D87" s="259"/>
      <c r="E87" s="260"/>
      <c r="F87" s="279"/>
      <c r="G87" s="260"/>
      <c r="H87" s="38"/>
      <c r="I87" s="7"/>
    </row>
    <row r="88" spans="1:9" ht="21" customHeight="1">
      <c r="A88" s="41"/>
      <c r="B88" s="38"/>
      <c r="C88" s="3"/>
      <c r="D88" s="259"/>
      <c r="E88" s="260"/>
      <c r="F88" s="279"/>
      <c r="G88" s="260"/>
      <c r="H88" s="38"/>
      <c r="I88" s="7"/>
    </row>
    <row r="89" spans="1:9" ht="21" customHeight="1">
      <c r="A89" s="41"/>
      <c r="B89" s="38"/>
      <c r="C89" s="3"/>
      <c r="D89" s="259"/>
      <c r="E89" s="260"/>
      <c r="F89" s="279"/>
      <c r="G89" s="260"/>
      <c r="H89" s="38"/>
      <c r="I89" s="7"/>
    </row>
    <row r="90" spans="1:9" ht="21" customHeight="1">
      <c r="A90" s="39"/>
      <c r="B90" s="38"/>
      <c r="C90" s="3"/>
      <c r="D90" s="259"/>
      <c r="E90" s="260"/>
      <c r="F90" s="279"/>
      <c r="G90" s="260"/>
      <c r="H90" s="38"/>
      <c r="I90" s="7"/>
    </row>
    <row r="91" spans="1:9" ht="21" customHeight="1">
      <c r="A91" s="41"/>
      <c r="B91" s="38"/>
      <c r="C91" s="3"/>
      <c r="D91" s="259"/>
      <c r="E91" s="260"/>
      <c r="F91" s="279"/>
      <c r="G91" s="260"/>
      <c r="H91" s="38"/>
      <c r="I91" s="7"/>
    </row>
    <row r="92" spans="1:9" ht="21" customHeight="1">
      <c r="A92" s="39"/>
      <c r="B92" s="38"/>
      <c r="C92" s="3"/>
      <c r="D92" s="259"/>
      <c r="E92" s="260"/>
      <c r="F92" s="279"/>
      <c r="G92" s="260"/>
      <c r="H92" s="38"/>
      <c r="I92" s="7"/>
    </row>
    <row r="93" spans="1:9" ht="21" customHeight="1">
      <c r="A93" s="39"/>
      <c r="B93" s="38"/>
      <c r="C93" s="3"/>
      <c r="D93" s="259"/>
      <c r="E93" s="260"/>
      <c r="F93" s="279"/>
      <c r="G93" s="260"/>
      <c r="H93" s="38"/>
      <c r="I93" s="7"/>
    </row>
    <row r="94" spans="1:9" ht="21" customHeight="1">
      <c r="A94" s="41"/>
      <c r="B94" s="38"/>
      <c r="C94" s="3"/>
      <c r="D94" s="259"/>
      <c r="E94" s="260"/>
      <c r="F94" s="279"/>
      <c r="G94" s="260"/>
      <c r="H94" s="38"/>
      <c r="I94" s="7"/>
    </row>
    <row r="95" spans="1:9" ht="21" customHeight="1">
      <c r="A95" s="39"/>
      <c r="B95" s="38"/>
      <c r="C95" s="3"/>
      <c r="D95" s="259"/>
      <c r="E95" s="260"/>
      <c r="F95" s="279"/>
      <c r="G95" s="260"/>
      <c r="H95" s="38"/>
      <c r="I95" s="7"/>
    </row>
    <row r="96" spans="1:9" ht="21" customHeight="1">
      <c r="A96" s="39"/>
      <c r="B96" s="38"/>
      <c r="C96" s="3"/>
      <c r="D96" s="259"/>
      <c r="E96" s="260"/>
      <c r="F96" s="279"/>
      <c r="G96" s="260"/>
      <c r="H96" s="38"/>
      <c r="I96" s="7"/>
    </row>
    <row r="97" spans="1:9" ht="21" customHeight="1">
      <c r="A97" s="39"/>
      <c r="B97" s="38"/>
      <c r="C97" s="3"/>
      <c r="D97" s="259"/>
      <c r="E97" s="260"/>
      <c r="F97" s="279"/>
      <c r="G97" s="260"/>
      <c r="H97" s="38"/>
      <c r="I97" s="7"/>
    </row>
    <row r="98" spans="1:9" ht="21" customHeight="1">
      <c r="A98" s="39"/>
      <c r="B98" s="38"/>
      <c r="C98" s="3"/>
      <c r="D98" s="259"/>
      <c r="E98" s="260"/>
      <c r="F98" s="279"/>
      <c r="G98" s="260"/>
      <c r="H98" s="38"/>
      <c r="I98" s="7"/>
    </row>
    <row r="99" spans="1:9" ht="21" customHeight="1">
      <c r="A99" s="39"/>
      <c r="B99" s="38"/>
      <c r="C99" s="3"/>
      <c r="D99" s="259"/>
      <c r="E99" s="260"/>
      <c r="F99" s="279"/>
      <c r="G99" s="260"/>
      <c r="H99" s="38"/>
      <c r="I99" s="7"/>
    </row>
    <row r="100" spans="1:9" ht="21" customHeight="1">
      <c r="A100" s="39"/>
      <c r="B100" s="38"/>
      <c r="C100" s="3"/>
      <c r="D100" s="259"/>
      <c r="E100" s="260"/>
      <c r="F100" s="279"/>
      <c r="G100" s="260"/>
      <c r="H100" s="38"/>
      <c r="I100" s="7"/>
    </row>
    <row r="101" spans="1:9" ht="21" customHeight="1">
      <c r="A101" s="39"/>
      <c r="B101" s="38"/>
      <c r="C101" s="3"/>
      <c r="D101" s="259"/>
      <c r="E101" s="260"/>
      <c r="F101" s="279"/>
      <c r="G101" s="260"/>
      <c r="H101" s="38"/>
      <c r="I101" s="7"/>
    </row>
    <row r="102" spans="1:9" ht="21" customHeight="1">
      <c r="A102" s="39"/>
      <c r="B102" s="38"/>
      <c r="C102" s="3"/>
      <c r="D102" s="259"/>
      <c r="E102" s="260"/>
      <c r="F102" s="279"/>
      <c r="G102" s="260"/>
      <c r="H102" s="38"/>
      <c r="I102" s="7"/>
    </row>
    <row r="103" spans="1:9" ht="21" customHeight="1">
      <c r="A103" s="39"/>
      <c r="B103" s="38"/>
      <c r="C103" s="3"/>
      <c r="D103" s="259"/>
      <c r="E103" s="260"/>
      <c r="F103" s="279"/>
      <c r="G103" s="260"/>
      <c r="H103" s="38"/>
      <c r="I103" s="7"/>
    </row>
    <row r="104" spans="1:9" ht="21" customHeight="1">
      <c r="A104" s="39"/>
      <c r="B104" s="38"/>
      <c r="C104" s="3"/>
      <c r="D104" s="259"/>
      <c r="E104" s="260"/>
      <c r="F104" s="279"/>
      <c r="G104" s="260"/>
      <c r="H104" s="38"/>
      <c r="I104" s="7"/>
    </row>
    <row r="105" spans="1:9" ht="21" customHeight="1">
      <c r="A105" s="103"/>
      <c r="B105" s="38"/>
      <c r="C105" s="116"/>
      <c r="D105" s="259"/>
      <c r="E105" s="260"/>
      <c r="F105" s="279"/>
      <c r="G105" s="260"/>
      <c r="H105" s="38"/>
      <c r="I105" s="116"/>
    </row>
    <row r="106" spans="1:9" ht="21" customHeight="1">
      <c r="A106" s="103"/>
      <c r="B106" s="38"/>
      <c r="C106" s="116"/>
      <c r="D106" s="259"/>
      <c r="E106" s="260"/>
      <c r="F106" s="279"/>
      <c r="G106" s="260"/>
      <c r="H106" s="38"/>
      <c r="I106" s="116"/>
    </row>
    <row r="107" spans="1:9" ht="21" customHeight="1">
      <c r="A107" s="103"/>
      <c r="B107" s="38"/>
      <c r="C107" s="116"/>
      <c r="D107" s="259"/>
      <c r="E107" s="260"/>
      <c r="F107" s="279"/>
      <c r="G107" s="260"/>
      <c r="H107" s="38"/>
      <c r="I107" s="116"/>
    </row>
    <row r="108" spans="1:9" ht="21" customHeight="1">
      <c r="A108" s="103"/>
      <c r="B108" s="38"/>
      <c r="C108" s="116"/>
      <c r="D108" s="259"/>
      <c r="E108" s="260"/>
      <c r="F108" s="279"/>
      <c r="G108" s="260"/>
      <c r="H108" s="38"/>
      <c r="I108" s="116"/>
    </row>
    <row r="109" spans="1:9" ht="21" customHeight="1">
      <c r="A109" s="39"/>
      <c r="B109" s="38"/>
      <c r="C109" s="116"/>
      <c r="D109" s="259"/>
      <c r="E109" s="260"/>
      <c r="F109" s="279"/>
      <c r="G109" s="260"/>
      <c r="H109" s="38"/>
      <c r="I109" s="116"/>
    </row>
    <row r="110" spans="1:9" ht="21" customHeight="1">
      <c r="A110" s="103"/>
      <c r="B110" s="38"/>
      <c r="C110" s="116"/>
      <c r="D110" s="259"/>
      <c r="E110" s="260"/>
      <c r="F110" s="279"/>
      <c r="G110" s="260"/>
      <c r="H110" s="38"/>
      <c r="I110" s="116"/>
    </row>
    <row r="111" spans="1:9" ht="21" customHeight="1">
      <c r="A111" s="41"/>
      <c r="B111" s="38"/>
      <c r="C111" s="116"/>
      <c r="D111" s="259"/>
      <c r="E111" s="260"/>
      <c r="F111" s="279"/>
      <c r="G111" s="260"/>
      <c r="H111" s="38"/>
      <c r="I111" s="116"/>
    </row>
    <row r="112" spans="1:9" ht="21" customHeight="1">
      <c r="A112" s="103"/>
      <c r="B112" s="38"/>
      <c r="C112" s="116"/>
      <c r="D112" s="259"/>
      <c r="E112" s="260"/>
      <c r="F112" s="279"/>
      <c r="G112" s="260"/>
      <c r="H112" s="38"/>
      <c r="I112" s="116"/>
    </row>
    <row r="113" spans="1:9" ht="21" customHeight="1">
      <c r="A113" s="103"/>
      <c r="B113" s="38"/>
      <c r="C113" s="116"/>
      <c r="D113" s="259"/>
      <c r="E113" s="260"/>
      <c r="F113" s="279"/>
      <c r="G113" s="260"/>
      <c r="H113" s="38"/>
      <c r="I113" s="116"/>
    </row>
    <row r="114" spans="1:9" ht="21" customHeight="1">
      <c r="A114" s="39"/>
      <c r="B114" s="38"/>
      <c r="C114" s="116"/>
      <c r="D114" s="259"/>
      <c r="E114" s="260"/>
      <c r="F114" s="279"/>
      <c r="G114" s="260"/>
      <c r="H114" s="38"/>
      <c r="I114" s="116"/>
    </row>
    <row r="115" spans="1:9" ht="21" customHeight="1">
      <c r="A115" s="103"/>
      <c r="B115" s="38"/>
      <c r="C115" s="116"/>
      <c r="D115" s="259"/>
      <c r="E115" s="260"/>
      <c r="F115" s="279"/>
      <c r="G115" s="260"/>
      <c r="H115" s="38"/>
      <c r="I115" s="116"/>
    </row>
    <row r="116" spans="1:9" ht="21" customHeight="1">
      <c r="A116" s="39"/>
      <c r="B116" s="38"/>
      <c r="C116" s="116"/>
      <c r="D116" s="259"/>
      <c r="E116" s="260"/>
      <c r="F116" s="279"/>
      <c r="G116" s="260"/>
      <c r="H116" s="38"/>
      <c r="I116" s="116"/>
    </row>
    <row r="117" spans="1:9" ht="21" customHeight="1">
      <c r="A117" s="103"/>
      <c r="B117" s="38"/>
      <c r="C117" s="116"/>
      <c r="D117" s="259"/>
      <c r="E117" s="260"/>
      <c r="F117" s="279"/>
      <c r="G117" s="260"/>
      <c r="H117" s="38"/>
      <c r="I117" s="116"/>
    </row>
    <row r="118" spans="1:9" ht="21" customHeight="1">
      <c r="A118" s="103"/>
      <c r="B118" s="38"/>
      <c r="C118" s="116"/>
      <c r="D118" s="259"/>
      <c r="E118" s="260"/>
      <c r="F118" s="279"/>
      <c r="G118" s="260"/>
      <c r="H118" s="38"/>
      <c r="I118" s="116"/>
    </row>
    <row r="119" spans="1:9" ht="21" customHeight="1">
      <c r="A119" s="39"/>
      <c r="B119" s="38"/>
      <c r="C119" s="116"/>
      <c r="D119" s="259"/>
      <c r="E119" s="260"/>
      <c r="F119" s="279"/>
      <c r="G119" s="260"/>
      <c r="H119" s="38"/>
      <c r="I119" s="116"/>
    </row>
    <row r="120" spans="1:9" ht="21" customHeight="1">
      <c r="A120" s="103"/>
      <c r="B120" s="38"/>
      <c r="C120" s="116"/>
      <c r="D120" s="259"/>
      <c r="E120" s="260"/>
      <c r="F120" s="279"/>
      <c r="G120" s="260"/>
      <c r="H120" s="38"/>
      <c r="I120" s="116"/>
    </row>
    <row r="121" spans="1:9" ht="21" customHeight="1">
      <c r="A121" s="39"/>
      <c r="B121" s="38"/>
      <c r="C121" s="116"/>
      <c r="D121" s="259"/>
      <c r="E121" s="260"/>
      <c r="F121" s="279"/>
      <c r="G121" s="260"/>
      <c r="H121" s="38"/>
      <c r="I121" s="116"/>
    </row>
    <row r="122" spans="1:9" ht="21" customHeight="1">
      <c r="A122" s="39"/>
      <c r="B122" s="38"/>
      <c r="C122" s="116"/>
      <c r="D122" s="259"/>
      <c r="E122" s="260"/>
      <c r="F122" s="279"/>
      <c r="G122" s="260"/>
      <c r="H122" s="38"/>
      <c r="I122" s="116"/>
    </row>
    <row r="123" spans="1:9" ht="21" customHeight="1">
      <c r="A123" s="39"/>
      <c r="B123" s="38"/>
      <c r="C123" s="116"/>
      <c r="D123" s="259"/>
      <c r="E123" s="260"/>
      <c r="F123" s="279"/>
      <c r="G123" s="260"/>
      <c r="H123" s="38"/>
      <c r="I123" s="116"/>
    </row>
    <row r="124" spans="1:9" ht="21" customHeight="1">
      <c r="A124" s="39"/>
      <c r="B124" s="38"/>
      <c r="C124" s="116"/>
      <c r="D124" s="259"/>
      <c r="E124" s="260"/>
      <c r="F124" s="279"/>
      <c r="G124" s="260"/>
      <c r="H124" s="38"/>
      <c r="I124" s="116"/>
    </row>
    <row r="125" spans="1:9" ht="21" customHeight="1">
      <c r="A125" s="39"/>
      <c r="B125" s="38"/>
      <c r="C125" s="116"/>
      <c r="D125" s="259"/>
      <c r="E125" s="260"/>
      <c r="F125" s="279"/>
      <c r="G125" s="260"/>
      <c r="H125" s="38"/>
      <c r="I125" s="116"/>
    </row>
    <row r="126" spans="1:9" ht="21" customHeight="1">
      <c r="A126" s="103"/>
      <c r="B126" s="38"/>
      <c r="C126" s="116"/>
      <c r="D126" s="259"/>
      <c r="E126" s="260"/>
      <c r="F126" s="279"/>
      <c r="G126" s="260"/>
      <c r="H126" s="38"/>
      <c r="I126" s="116"/>
    </row>
    <row r="127" spans="1:9" ht="21" customHeight="1">
      <c r="A127" s="39"/>
      <c r="B127" s="38"/>
      <c r="C127" s="116"/>
      <c r="D127" s="259"/>
      <c r="E127" s="260"/>
      <c r="F127" s="279"/>
      <c r="G127" s="260"/>
      <c r="H127" s="38"/>
      <c r="I127" s="116"/>
    </row>
    <row r="128" spans="1:9" ht="21" customHeight="1">
      <c r="A128" s="103"/>
      <c r="B128" s="38"/>
      <c r="C128" s="116"/>
      <c r="D128" s="259"/>
      <c r="E128" s="260"/>
      <c r="F128" s="279"/>
      <c r="G128" s="260"/>
      <c r="H128" s="38"/>
      <c r="I128" s="116"/>
    </row>
    <row r="129" spans="1:9" ht="21" customHeight="1">
      <c r="A129" s="39"/>
      <c r="B129" s="38"/>
      <c r="C129" s="116"/>
      <c r="D129" s="259"/>
      <c r="E129" s="260"/>
      <c r="F129" s="279"/>
      <c r="G129" s="260"/>
      <c r="H129" s="38"/>
      <c r="I129" s="116"/>
    </row>
    <row r="130" spans="1:9" ht="21" customHeight="1">
      <c r="A130" s="41"/>
      <c r="B130" s="38"/>
      <c r="C130" s="116"/>
      <c r="D130" s="259"/>
      <c r="E130" s="260"/>
      <c r="F130" s="279"/>
      <c r="G130" s="260"/>
      <c r="H130" s="38"/>
      <c r="I130" s="116"/>
    </row>
    <row r="131" spans="1:9" ht="21" customHeight="1">
      <c r="A131" s="41"/>
      <c r="B131" s="38"/>
      <c r="C131" s="116"/>
      <c r="D131" s="259"/>
      <c r="E131" s="260"/>
      <c r="F131" s="279"/>
      <c r="G131" s="260"/>
      <c r="H131" s="38"/>
      <c r="I131" s="116"/>
    </row>
    <row r="132" spans="1:9" ht="21" customHeight="1">
      <c r="A132" s="103"/>
      <c r="B132" s="38"/>
      <c r="C132" s="116"/>
      <c r="D132" s="259"/>
      <c r="E132" s="260"/>
      <c r="F132" s="279"/>
      <c r="G132" s="260"/>
      <c r="H132" s="38"/>
      <c r="I132" s="116"/>
    </row>
    <row r="133" spans="1:9" ht="21" customHeight="1">
      <c r="A133" s="39"/>
      <c r="B133" s="38"/>
      <c r="C133" s="116"/>
      <c r="D133" s="259"/>
      <c r="E133" s="260"/>
      <c r="F133" s="279"/>
      <c r="G133" s="260"/>
      <c r="H133" s="38"/>
      <c r="I133" s="116"/>
    </row>
    <row r="134" spans="1:9" ht="21" customHeight="1">
      <c r="A134" s="103"/>
      <c r="B134" s="38"/>
      <c r="C134" s="116"/>
      <c r="D134" s="259"/>
      <c r="E134" s="260"/>
      <c r="F134" s="279"/>
      <c r="G134" s="260"/>
      <c r="H134" s="38"/>
      <c r="I134" s="116"/>
    </row>
    <row r="135" spans="1:9" ht="21" customHeight="1">
      <c r="A135" s="103"/>
      <c r="B135" s="38"/>
      <c r="C135" s="116"/>
      <c r="D135" s="259"/>
      <c r="E135" s="260"/>
      <c r="F135" s="279"/>
      <c r="G135" s="260"/>
      <c r="H135" s="38"/>
      <c r="I135" s="116"/>
    </row>
    <row r="136" spans="1:9" ht="21" customHeight="1">
      <c r="A136" s="39"/>
      <c r="B136" s="38"/>
      <c r="C136" s="116"/>
      <c r="D136" s="259"/>
      <c r="E136" s="260"/>
      <c r="F136" s="279"/>
      <c r="G136" s="260"/>
      <c r="H136" s="38"/>
      <c r="I136" s="116"/>
    </row>
    <row r="137" spans="1:9" ht="21" customHeight="1">
      <c r="A137" s="103"/>
      <c r="B137" s="38"/>
      <c r="C137" s="116"/>
      <c r="D137" s="259"/>
      <c r="E137" s="260"/>
      <c r="F137" s="279"/>
      <c r="G137" s="260"/>
      <c r="H137" s="38"/>
      <c r="I137" s="116"/>
    </row>
    <row r="138" spans="1:9" ht="21" customHeight="1">
      <c r="A138" s="103"/>
      <c r="B138" s="38"/>
      <c r="C138" s="116"/>
      <c r="D138" s="259"/>
      <c r="E138" s="260"/>
      <c r="F138" s="279"/>
      <c r="G138" s="260"/>
      <c r="H138" s="38"/>
      <c r="I138" s="116"/>
    </row>
    <row r="139" spans="1:9" ht="21" customHeight="1">
      <c r="A139" s="39"/>
      <c r="B139" s="38"/>
      <c r="C139" s="116"/>
      <c r="D139" s="259"/>
      <c r="E139" s="260"/>
      <c r="F139" s="279"/>
      <c r="G139" s="260"/>
      <c r="H139" s="38"/>
      <c r="I139" s="116"/>
    </row>
    <row r="140" spans="1:9" ht="21" customHeight="1">
      <c r="A140" s="39"/>
      <c r="B140" s="38"/>
      <c r="C140" s="116"/>
      <c r="D140" s="259"/>
      <c r="E140" s="260"/>
      <c r="F140" s="279"/>
      <c r="G140" s="260"/>
      <c r="H140" s="38"/>
      <c r="I140" s="116"/>
    </row>
    <row r="141" spans="1:9" ht="21" customHeight="1">
      <c r="A141" s="103"/>
      <c r="B141" s="38"/>
      <c r="C141" s="116"/>
      <c r="D141" s="259"/>
      <c r="E141" s="260"/>
      <c r="F141" s="279"/>
      <c r="G141" s="260"/>
      <c r="H141" s="38"/>
      <c r="I141" s="116"/>
    </row>
    <row r="142" spans="1:9" ht="21" customHeight="1">
      <c r="A142" s="39"/>
      <c r="B142" s="38"/>
      <c r="C142" s="116"/>
      <c r="D142" s="259"/>
      <c r="E142" s="260"/>
      <c r="F142" s="279"/>
      <c r="G142" s="260"/>
      <c r="H142" s="38"/>
      <c r="I142" s="116"/>
    </row>
    <row r="143" spans="1:9" ht="21" customHeight="1">
      <c r="A143" s="103"/>
      <c r="B143" s="38"/>
      <c r="C143" s="116"/>
      <c r="D143" s="259"/>
      <c r="E143" s="260"/>
      <c r="F143" s="279"/>
      <c r="G143" s="260"/>
      <c r="H143" s="38"/>
      <c r="I143" s="116"/>
    </row>
    <row r="144" spans="1:9" ht="21" customHeight="1">
      <c r="A144" s="103"/>
      <c r="B144" s="38"/>
      <c r="C144" s="116"/>
      <c r="D144" s="259"/>
      <c r="E144" s="260"/>
      <c r="F144" s="279"/>
      <c r="G144" s="260"/>
      <c r="H144" s="38"/>
      <c r="I144" s="116"/>
    </row>
    <row r="145" spans="1:9" ht="21" customHeight="1">
      <c r="A145" s="103"/>
      <c r="B145" s="38"/>
      <c r="C145" s="116"/>
      <c r="D145" s="259"/>
      <c r="E145" s="260"/>
      <c r="F145" s="279"/>
      <c r="G145" s="260"/>
      <c r="H145" s="38"/>
      <c r="I145" s="116"/>
    </row>
    <row r="146" spans="1:9" ht="21" customHeight="1">
      <c r="A146" s="39"/>
      <c r="B146" s="38"/>
      <c r="C146" s="116"/>
      <c r="D146" s="259"/>
      <c r="E146" s="260"/>
      <c r="F146" s="279"/>
      <c r="G146" s="260"/>
      <c r="H146" s="38"/>
      <c r="I146" s="116"/>
    </row>
    <row r="147" spans="1:9" ht="21" customHeight="1">
      <c r="A147" s="103"/>
      <c r="B147" s="38"/>
      <c r="C147" s="116"/>
      <c r="D147" s="259"/>
      <c r="E147" s="260"/>
      <c r="F147" s="279"/>
      <c r="G147" s="260"/>
      <c r="H147" s="38"/>
      <c r="I147" s="116"/>
    </row>
    <row r="148" spans="1:9" ht="21" customHeight="1">
      <c r="A148" s="39"/>
      <c r="B148" s="38"/>
      <c r="C148" s="116"/>
      <c r="D148" s="259"/>
      <c r="E148" s="260"/>
      <c r="F148" s="279"/>
      <c r="G148" s="260"/>
      <c r="H148" s="38"/>
      <c r="I148" s="116"/>
    </row>
    <row r="149" spans="1:9" ht="21" customHeight="1">
      <c r="A149" s="39"/>
      <c r="B149" s="38"/>
      <c r="C149" s="116"/>
      <c r="D149" s="259"/>
      <c r="E149" s="260"/>
      <c r="F149" s="279"/>
      <c r="G149" s="260"/>
      <c r="H149" s="38"/>
      <c r="I149" s="116"/>
    </row>
    <row r="150" spans="1:9" ht="21" customHeight="1">
      <c r="A150" s="39"/>
      <c r="B150" s="38"/>
      <c r="C150" s="116"/>
      <c r="D150" s="259"/>
      <c r="E150" s="260"/>
      <c r="F150" s="279"/>
      <c r="G150" s="260"/>
      <c r="H150" s="38"/>
      <c r="I150" s="116"/>
    </row>
    <row r="151" spans="1:9" ht="21" customHeight="1">
      <c r="A151" s="103"/>
      <c r="B151" s="38"/>
      <c r="C151" s="116"/>
      <c r="D151" s="259"/>
      <c r="E151" s="260"/>
      <c r="F151" s="279"/>
      <c r="G151" s="260"/>
      <c r="H151" s="38"/>
      <c r="I151" s="116"/>
    </row>
    <row r="152" spans="1:9" ht="21" customHeight="1">
      <c r="A152" s="103"/>
      <c r="B152" s="38"/>
      <c r="C152" s="116"/>
      <c r="D152" s="259"/>
      <c r="E152" s="260"/>
      <c r="F152" s="279"/>
      <c r="G152" s="260"/>
      <c r="H152" s="38"/>
      <c r="I152" s="116"/>
    </row>
    <row r="153" spans="1:9" ht="21" customHeight="1">
      <c r="A153" s="39"/>
      <c r="B153" s="38"/>
      <c r="C153" s="116"/>
      <c r="D153" s="259"/>
      <c r="E153" s="260"/>
      <c r="F153" s="279"/>
      <c r="G153" s="260"/>
      <c r="H153" s="38"/>
      <c r="I153" s="116"/>
    </row>
    <row r="154" spans="1:9" ht="21" customHeight="1">
      <c r="A154" s="103"/>
      <c r="B154" s="38"/>
      <c r="C154" s="116"/>
      <c r="D154" s="259"/>
      <c r="E154" s="260"/>
      <c r="F154" s="279"/>
      <c r="G154" s="260"/>
      <c r="H154" s="38"/>
      <c r="I154" s="116"/>
    </row>
    <row r="155" spans="1:9" ht="21" customHeight="1">
      <c r="A155" s="103"/>
      <c r="B155" s="38"/>
      <c r="C155" s="116"/>
      <c r="D155" s="259"/>
      <c r="E155" s="260"/>
      <c r="F155" s="279"/>
      <c r="G155" s="260"/>
      <c r="H155" s="38"/>
      <c r="I155" s="116"/>
    </row>
    <row r="156" spans="1:9" ht="21" customHeight="1">
      <c r="A156" s="103"/>
      <c r="B156" s="38"/>
      <c r="C156" s="116"/>
      <c r="D156" s="259"/>
      <c r="E156" s="260"/>
      <c r="F156" s="279"/>
      <c r="G156" s="260"/>
      <c r="H156" s="38"/>
      <c r="I156" s="116"/>
    </row>
    <row r="157" spans="1:9">
      <c r="A157" s="103"/>
      <c r="B157" s="38"/>
      <c r="C157" s="42"/>
      <c r="D157" s="279"/>
      <c r="E157" s="260"/>
      <c r="F157" s="279"/>
      <c r="G157" s="260"/>
      <c r="H157" s="38"/>
      <c r="I157" s="116"/>
    </row>
    <row r="158" spans="1:9" ht="21" customHeight="1">
      <c r="A158" s="103"/>
      <c r="B158" s="38"/>
      <c r="C158" s="116"/>
      <c r="D158" s="259"/>
      <c r="E158" s="260"/>
      <c r="F158" s="279"/>
      <c r="G158" s="260"/>
      <c r="H158" s="38"/>
      <c r="I158" s="116"/>
    </row>
    <row r="159" spans="1:9" ht="21" customHeight="1">
      <c r="A159" s="41"/>
      <c r="B159" s="38"/>
      <c r="C159" s="116"/>
      <c r="D159" s="259"/>
      <c r="E159" s="260"/>
      <c r="F159" s="279"/>
      <c r="G159" s="260"/>
      <c r="H159" s="38"/>
      <c r="I159" s="116"/>
    </row>
    <row r="160" spans="1:9" ht="21" customHeight="1">
      <c r="A160" s="39"/>
      <c r="B160" s="38"/>
      <c r="C160" s="116"/>
      <c r="D160" s="259"/>
      <c r="E160" s="260"/>
      <c r="F160" s="279"/>
      <c r="G160" s="260"/>
      <c r="H160" s="38"/>
      <c r="I160" s="116"/>
    </row>
    <row r="161" spans="1:9" ht="21" customHeight="1">
      <c r="A161" s="103"/>
      <c r="B161" s="38"/>
      <c r="C161" s="116"/>
      <c r="D161" s="259"/>
      <c r="E161" s="260"/>
      <c r="F161" s="279"/>
      <c r="G161" s="260"/>
      <c r="H161" s="38"/>
      <c r="I161" s="116"/>
    </row>
    <row r="162" spans="1:9" ht="21" customHeight="1">
      <c r="A162" s="103"/>
      <c r="B162" s="38"/>
      <c r="C162" s="116"/>
      <c r="D162" s="259"/>
      <c r="E162" s="260"/>
      <c r="F162" s="279"/>
      <c r="G162" s="260"/>
      <c r="H162" s="38"/>
      <c r="I162" s="116"/>
    </row>
    <row r="163" spans="1:9" ht="21" customHeight="1">
      <c r="A163" s="103"/>
      <c r="B163" s="38"/>
      <c r="C163" s="116"/>
      <c r="D163" s="259"/>
      <c r="E163" s="260"/>
      <c r="F163" s="279"/>
      <c r="G163" s="260"/>
      <c r="H163" s="38"/>
      <c r="I163" s="116"/>
    </row>
    <row r="164" spans="1:9" ht="21" customHeight="1">
      <c r="A164" s="103"/>
      <c r="B164" s="38"/>
      <c r="C164" s="116"/>
      <c r="D164" s="259"/>
      <c r="E164" s="260"/>
      <c r="F164" s="279"/>
      <c r="G164" s="260"/>
      <c r="H164" s="38"/>
      <c r="I164" s="116"/>
    </row>
    <row r="165" spans="1:9" ht="21" customHeight="1">
      <c r="A165" s="39"/>
      <c r="B165" s="38"/>
      <c r="C165" s="116"/>
      <c r="D165" s="259"/>
      <c r="E165" s="260"/>
      <c r="F165" s="279"/>
      <c r="G165" s="260"/>
      <c r="H165" s="38"/>
      <c r="I165" s="116"/>
    </row>
    <row r="166" spans="1:9" ht="21" customHeight="1">
      <c r="A166" s="103"/>
      <c r="B166" s="38"/>
      <c r="C166" s="116"/>
      <c r="D166" s="259"/>
      <c r="E166" s="260"/>
      <c r="F166" s="279"/>
      <c r="G166" s="260"/>
      <c r="H166" s="38"/>
      <c r="I166" s="116"/>
    </row>
    <row r="167" spans="1:9" ht="21" customHeight="1">
      <c r="A167" s="39"/>
      <c r="B167" s="38"/>
      <c r="C167" s="116"/>
      <c r="D167" s="259"/>
      <c r="E167" s="260"/>
      <c r="F167" s="279"/>
      <c r="G167" s="260"/>
      <c r="H167" s="38"/>
      <c r="I167" s="116"/>
    </row>
    <row r="168" spans="1:9" ht="21" customHeight="1">
      <c r="A168" s="103"/>
      <c r="B168" s="38"/>
      <c r="C168" s="116"/>
      <c r="D168" s="259"/>
      <c r="E168" s="260"/>
      <c r="F168" s="279"/>
      <c r="G168" s="260"/>
      <c r="H168" s="38"/>
      <c r="I168" s="116"/>
    </row>
    <row r="169" spans="1:9" ht="21" customHeight="1">
      <c r="A169" s="39"/>
      <c r="B169" s="38"/>
      <c r="C169" s="116"/>
      <c r="D169" s="259"/>
      <c r="E169" s="260"/>
      <c r="F169" s="279"/>
      <c r="G169" s="260"/>
      <c r="H169" s="38"/>
      <c r="I169" s="116"/>
    </row>
    <row r="170" spans="1:9" ht="21" customHeight="1">
      <c r="A170" s="103"/>
      <c r="B170" s="38"/>
      <c r="C170" s="116"/>
      <c r="D170" s="259"/>
      <c r="E170" s="260"/>
      <c r="F170" s="279"/>
      <c r="G170" s="260"/>
      <c r="H170" s="38"/>
      <c r="I170" s="116"/>
    </row>
    <row r="171" spans="1:9" ht="21" customHeight="1">
      <c r="A171" s="103"/>
      <c r="B171" s="38"/>
      <c r="C171" s="116"/>
      <c r="D171" s="259"/>
      <c r="E171" s="260"/>
      <c r="F171" s="279"/>
      <c r="G171" s="260"/>
      <c r="H171" s="38"/>
      <c r="I171" s="116"/>
    </row>
    <row r="172" spans="1:9" ht="21" customHeight="1">
      <c r="A172" s="103"/>
      <c r="B172" s="38"/>
      <c r="C172" s="116"/>
      <c r="D172" s="259"/>
      <c r="E172" s="260"/>
      <c r="F172" s="279"/>
      <c r="G172" s="260"/>
      <c r="H172" s="38"/>
      <c r="I172" s="116"/>
    </row>
    <row r="173" spans="1:9" ht="21" customHeight="1">
      <c r="A173" s="103"/>
      <c r="B173" s="38"/>
      <c r="C173" s="116"/>
      <c r="D173" s="259"/>
      <c r="E173" s="260"/>
      <c r="F173" s="279"/>
      <c r="G173" s="260"/>
      <c r="H173" s="38"/>
      <c r="I173" s="116"/>
    </row>
    <row r="174" spans="1:9" ht="21" customHeight="1">
      <c r="A174" s="103"/>
      <c r="B174" s="38"/>
      <c r="C174" s="116"/>
      <c r="D174" s="259"/>
      <c r="E174" s="260"/>
      <c r="F174" s="279"/>
      <c r="G174" s="260"/>
      <c r="H174" s="38"/>
      <c r="I174" s="116"/>
    </row>
    <row r="175" spans="1:9" ht="21" customHeight="1">
      <c r="A175" s="103"/>
      <c r="B175" s="38"/>
      <c r="C175" s="116"/>
      <c r="D175" s="259"/>
      <c r="E175" s="260"/>
      <c r="F175" s="279"/>
      <c r="G175" s="260"/>
      <c r="H175" s="38"/>
      <c r="I175" s="116"/>
    </row>
    <row r="176" spans="1:9" ht="21" customHeight="1">
      <c r="A176" s="103"/>
      <c r="B176" s="38"/>
      <c r="C176" s="116"/>
      <c r="D176" s="259"/>
      <c r="E176" s="260"/>
      <c r="F176" s="279"/>
      <c r="G176" s="260"/>
      <c r="H176" s="38"/>
      <c r="I176" s="116"/>
    </row>
    <row r="177" spans="1:9" ht="21" customHeight="1">
      <c r="A177" s="39"/>
      <c r="B177" s="38"/>
      <c r="C177" s="116"/>
      <c r="D177" s="259"/>
      <c r="E177" s="260"/>
      <c r="F177" s="279"/>
      <c r="G177" s="260"/>
      <c r="H177" s="38"/>
      <c r="I177" s="116"/>
    </row>
    <row r="178" spans="1:9" ht="21" customHeight="1">
      <c r="A178" s="103"/>
      <c r="B178" s="38"/>
      <c r="C178" s="116"/>
      <c r="D178" s="259"/>
      <c r="E178" s="260"/>
      <c r="F178" s="279"/>
      <c r="G178" s="260"/>
      <c r="H178" s="38"/>
      <c r="I178" s="116"/>
    </row>
    <row r="179" spans="1:9" ht="21" customHeight="1">
      <c r="A179" s="39"/>
      <c r="B179" s="38"/>
      <c r="C179" s="116"/>
      <c r="D179" s="259"/>
      <c r="E179" s="260"/>
      <c r="F179" s="279"/>
      <c r="G179" s="260"/>
      <c r="H179" s="38"/>
      <c r="I179" s="116"/>
    </row>
    <row r="180" spans="1:9" ht="21" customHeight="1">
      <c r="A180" s="39"/>
      <c r="B180" s="38"/>
      <c r="C180" s="116"/>
      <c r="D180" s="259"/>
      <c r="E180" s="260"/>
      <c r="F180" s="279"/>
      <c r="G180" s="260"/>
      <c r="H180" s="38"/>
      <c r="I180" s="116"/>
    </row>
    <row r="181" spans="1:9" ht="21" customHeight="1">
      <c r="A181" s="103"/>
      <c r="B181" s="38"/>
      <c r="C181" s="116"/>
      <c r="D181" s="259"/>
      <c r="E181" s="260"/>
      <c r="F181" s="279"/>
      <c r="G181" s="260"/>
      <c r="H181" s="38"/>
      <c r="I181" s="116"/>
    </row>
    <row r="182" spans="1:9" ht="21" customHeight="1">
      <c r="A182" s="39"/>
      <c r="B182" s="38"/>
      <c r="C182" s="116"/>
      <c r="D182" s="259"/>
      <c r="E182" s="260"/>
      <c r="F182" s="279"/>
      <c r="G182" s="260"/>
      <c r="H182" s="38"/>
      <c r="I182" s="116"/>
    </row>
    <row r="183" spans="1:9" ht="21" customHeight="1">
      <c r="A183" s="103"/>
      <c r="B183" s="38"/>
      <c r="C183" s="116"/>
      <c r="D183" s="259"/>
      <c r="E183" s="260"/>
      <c r="F183" s="279"/>
      <c r="G183" s="260"/>
      <c r="H183" s="38"/>
      <c r="I183" s="116"/>
    </row>
    <row r="184" spans="1:9" ht="21" customHeight="1">
      <c r="A184" s="103"/>
      <c r="B184" s="38"/>
      <c r="C184" s="116"/>
      <c r="D184" s="259"/>
      <c r="E184" s="260"/>
      <c r="F184" s="279"/>
      <c r="G184" s="260"/>
      <c r="H184" s="38"/>
      <c r="I184" s="116"/>
    </row>
    <row r="185" spans="1:9" ht="21" customHeight="1">
      <c r="A185" s="103"/>
      <c r="B185" s="38"/>
      <c r="C185" s="116"/>
      <c r="D185" s="259"/>
      <c r="E185" s="260"/>
      <c r="F185" s="279"/>
      <c r="G185" s="260"/>
      <c r="H185" s="38"/>
      <c r="I185" s="116"/>
    </row>
    <row r="186" spans="1:9" ht="21" customHeight="1">
      <c r="A186" s="39"/>
      <c r="B186" s="38"/>
      <c r="C186" s="116"/>
      <c r="D186" s="259"/>
      <c r="E186" s="260"/>
      <c r="F186" s="279"/>
      <c r="G186" s="260"/>
      <c r="H186" s="38"/>
      <c r="I186" s="116"/>
    </row>
    <row r="187" spans="1:9" ht="21" customHeight="1">
      <c r="A187" s="39"/>
      <c r="B187" s="38"/>
      <c r="C187" s="116"/>
      <c r="D187" s="259"/>
      <c r="E187" s="260"/>
      <c r="F187" s="279"/>
      <c r="G187" s="260"/>
      <c r="H187" s="38"/>
      <c r="I187" s="116"/>
    </row>
    <row r="188" spans="1:9" ht="21" customHeight="1">
      <c r="A188" s="39"/>
      <c r="B188" s="38"/>
      <c r="C188" s="116"/>
      <c r="D188" s="259"/>
      <c r="E188" s="260"/>
      <c r="F188" s="279"/>
      <c r="G188" s="260"/>
      <c r="H188" s="38"/>
      <c r="I188" s="116"/>
    </row>
    <row r="189" spans="1:9" ht="21" customHeight="1">
      <c r="A189" s="103"/>
      <c r="B189" s="38"/>
      <c r="C189" s="116"/>
      <c r="D189" s="259"/>
      <c r="E189" s="260"/>
      <c r="F189" s="279"/>
      <c r="G189" s="260"/>
      <c r="H189" s="38"/>
      <c r="I189" s="116"/>
    </row>
    <row r="190" spans="1:9" ht="21" customHeight="1">
      <c r="A190" s="39"/>
      <c r="B190" s="38"/>
      <c r="C190" s="116"/>
      <c r="D190" s="259"/>
      <c r="E190" s="260"/>
      <c r="F190" s="279"/>
      <c r="G190" s="260"/>
      <c r="H190" s="38"/>
      <c r="I190" s="116"/>
    </row>
    <row r="191" spans="1:9" ht="21" customHeight="1">
      <c r="A191" s="103"/>
      <c r="B191" s="38"/>
      <c r="C191" s="116"/>
      <c r="D191" s="259"/>
      <c r="E191" s="260"/>
      <c r="F191" s="279"/>
      <c r="G191" s="260"/>
      <c r="H191" s="38"/>
      <c r="I191" s="116"/>
    </row>
    <row r="192" spans="1:9" ht="21" customHeight="1">
      <c r="A192" s="103"/>
      <c r="B192" s="38"/>
      <c r="C192" s="116"/>
      <c r="D192" s="259"/>
      <c r="E192" s="260"/>
      <c r="F192" s="279"/>
      <c r="G192" s="260"/>
      <c r="H192" s="38"/>
      <c r="I192" s="116"/>
    </row>
    <row r="193" spans="1:9" ht="21" customHeight="1">
      <c r="A193" s="103"/>
      <c r="B193" s="38"/>
      <c r="C193" s="116"/>
      <c r="D193" s="259"/>
      <c r="E193" s="260"/>
      <c r="F193" s="279"/>
      <c r="G193" s="260"/>
      <c r="H193" s="38"/>
      <c r="I193" s="116"/>
    </row>
    <row r="194" spans="1:9" ht="21" customHeight="1">
      <c r="A194" s="103"/>
      <c r="B194" s="38"/>
      <c r="C194" s="116"/>
      <c r="D194" s="259"/>
      <c r="E194" s="260"/>
      <c r="F194" s="279"/>
      <c r="G194" s="260"/>
      <c r="H194" s="38"/>
      <c r="I194" s="116"/>
    </row>
    <row r="195" spans="1:9" ht="21" customHeight="1">
      <c r="A195" s="39"/>
      <c r="B195" s="38"/>
      <c r="C195" s="116"/>
      <c r="D195" s="259"/>
      <c r="E195" s="260"/>
      <c r="F195" s="279"/>
      <c r="G195" s="260"/>
      <c r="H195" s="38"/>
      <c r="I195" s="116"/>
    </row>
    <row r="196" spans="1:9" ht="21" customHeight="1">
      <c r="A196" s="103"/>
      <c r="B196" s="38"/>
      <c r="C196" s="116"/>
      <c r="D196" s="259"/>
      <c r="E196" s="260"/>
      <c r="F196" s="279"/>
      <c r="G196" s="260"/>
      <c r="H196" s="38"/>
      <c r="I196" s="116"/>
    </row>
    <row r="197" spans="1:9" ht="21" customHeight="1">
      <c r="A197" s="39"/>
      <c r="B197" s="38"/>
      <c r="C197" s="116"/>
      <c r="D197" s="259"/>
      <c r="E197" s="260"/>
      <c r="F197" s="279"/>
      <c r="G197" s="260"/>
      <c r="H197" s="38"/>
      <c r="I197" s="116"/>
    </row>
    <row r="198" spans="1:9" ht="21" customHeight="1">
      <c r="A198" s="39"/>
      <c r="B198" s="38"/>
      <c r="C198" s="116"/>
      <c r="D198" s="259"/>
      <c r="E198" s="260"/>
      <c r="F198" s="279"/>
      <c r="G198" s="260"/>
      <c r="H198" s="38"/>
      <c r="I198" s="116"/>
    </row>
    <row r="199" spans="1:9" ht="21" customHeight="1">
      <c r="A199" s="103"/>
      <c r="B199" s="38"/>
      <c r="C199" s="116"/>
      <c r="D199" s="259"/>
      <c r="E199" s="260"/>
      <c r="F199" s="279"/>
      <c r="G199" s="260"/>
      <c r="H199" s="38"/>
      <c r="I199" s="116"/>
    </row>
    <row r="200" spans="1:9" ht="21" customHeight="1">
      <c r="A200" s="103"/>
      <c r="B200" s="38"/>
      <c r="C200" s="116"/>
      <c r="D200" s="259"/>
      <c r="E200" s="260"/>
      <c r="F200" s="279"/>
      <c r="G200" s="260"/>
      <c r="H200" s="38"/>
      <c r="I200" s="116"/>
    </row>
    <row r="201" spans="1:9" ht="21" customHeight="1">
      <c r="A201" s="39"/>
      <c r="B201" s="38"/>
      <c r="C201" s="116"/>
      <c r="D201" s="259"/>
      <c r="E201" s="260"/>
      <c r="F201" s="279"/>
      <c r="G201" s="260"/>
      <c r="H201" s="38"/>
      <c r="I201" s="116"/>
    </row>
    <row r="202" spans="1:9" ht="21" customHeight="1">
      <c r="A202" s="39"/>
      <c r="B202" s="38"/>
      <c r="C202" s="116"/>
      <c r="D202" s="259"/>
      <c r="E202" s="260"/>
      <c r="F202" s="279"/>
      <c r="G202" s="260"/>
      <c r="H202" s="38"/>
      <c r="I202" s="116"/>
    </row>
    <row r="203" spans="1:9" ht="21" customHeight="1">
      <c r="A203" s="38"/>
      <c r="B203" s="38"/>
      <c r="C203" s="116"/>
      <c r="D203" s="259"/>
      <c r="E203" s="260"/>
      <c r="F203" s="279"/>
      <c r="G203" s="260"/>
      <c r="H203" s="38"/>
      <c r="I203" s="116"/>
    </row>
    <row r="204" spans="1:9" ht="21" customHeight="1">
      <c r="A204" s="39"/>
      <c r="B204" s="38"/>
      <c r="C204" s="116"/>
      <c r="D204" s="259"/>
      <c r="E204" s="260"/>
      <c r="F204" s="279"/>
      <c r="G204" s="260"/>
      <c r="H204" s="38"/>
      <c r="I204" s="116"/>
    </row>
    <row r="205" spans="1:9" ht="21" customHeight="1">
      <c r="A205" s="39"/>
      <c r="B205" s="38"/>
      <c r="C205" s="116"/>
      <c r="D205" s="259"/>
      <c r="E205" s="260"/>
      <c r="F205" s="279"/>
      <c r="G205" s="260"/>
      <c r="H205" s="38"/>
      <c r="I205" s="116"/>
    </row>
    <row r="206" spans="1:9" ht="21" customHeight="1">
      <c r="A206" s="39"/>
      <c r="B206" s="38"/>
      <c r="C206" s="116"/>
      <c r="D206" s="259"/>
      <c r="E206" s="260"/>
      <c r="F206" s="279"/>
      <c r="G206" s="260"/>
      <c r="H206" s="38"/>
      <c r="I206" s="116"/>
    </row>
    <row r="207" spans="1:9" ht="21" customHeight="1">
      <c r="A207" s="39"/>
      <c r="B207" s="38"/>
      <c r="C207" s="116"/>
      <c r="D207" s="259"/>
      <c r="E207" s="260"/>
      <c r="F207" s="279"/>
      <c r="G207" s="260"/>
      <c r="H207" s="38"/>
      <c r="I207" s="116"/>
    </row>
    <row r="208" spans="1:9" ht="21" customHeight="1">
      <c r="A208" s="39"/>
      <c r="B208" s="38"/>
      <c r="C208" s="116"/>
      <c r="D208" s="259"/>
      <c r="E208" s="260"/>
      <c r="F208" s="279"/>
      <c r="G208" s="260"/>
      <c r="H208" s="38"/>
      <c r="I208" s="116"/>
    </row>
    <row r="209" spans="1:9" ht="21" customHeight="1">
      <c r="A209" s="39"/>
      <c r="B209" s="38"/>
      <c r="C209" s="116"/>
      <c r="D209" s="259"/>
      <c r="E209" s="260"/>
      <c r="F209" s="279"/>
      <c r="G209" s="260"/>
      <c r="H209" s="38"/>
      <c r="I209" s="116"/>
    </row>
    <row r="210" spans="1:9" ht="21" customHeight="1">
      <c r="A210" s="39"/>
      <c r="B210" s="38"/>
      <c r="C210" s="116"/>
      <c r="D210" s="259"/>
      <c r="E210" s="260"/>
      <c r="F210" s="279"/>
      <c r="G210" s="260"/>
      <c r="H210" s="38"/>
      <c r="I210" s="116"/>
    </row>
    <row r="211" spans="1:9" ht="21" customHeight="1">
      <c r="A211" s="39"/>
      <c r="B211" s="38"/>
      <c r="C211" s="116"/>
      <c r="D211" s="259"/>
      <c r="E211" s="260"/>
      <c r="F211" s="279"/>
      <c r="G211" s="260"/>
      <c r="H211" s="38"/>
      <c r="I211" s="116"/>
    </row>
    <row r="212" spans="1:9" ht="21" customHeight="1">
      <c r="A212" s="39"/>
      <c r="B212" s="38"/>
      <c r="C212" s="116"/>
      <c r="D212" s="259"/>
      <c r="E212" s="260"/>
      <c r="F212" s="279"/>
      <c r="G212" s="260"/>
      <c r="H212" s="38"/>
      <c r="I212" s="116"/>
    </row>
    <row r="213" spans="1:9" ht="21" customHeight="1">
      <c r="A213" s="39"/>
      <c r="B213" s="38"/>
      <c r="C213" s="116"/>
      <c r="D213" s="259"/>
      <c r="E213" s="260"/>
      <c r="F213" s="279"/>
      <c r="G213" s="260"/>
      <c r="H213" s="38"/>
      <c r="I213" s="116"/>
    </row>
    <row r="214" spans="1:9" ht="21" customHeight="1">
      <c r="A214" s="39"/>
      <c r="B214" s="38"/>
      <c r="C214" s="116"/>
      <c r="D214" s="259"/>
      <c r="E214" s="260"/>
      <c r="F214" s="279"/>
      <c r="G214" s="260"/>
      <c r="H214" s="38"/>
      <c r="I214" s="116"/>
    </row>
    <row r="215" spans="1:9" ht="21" customHeight="1">
      <c r="A215" s="39"/>
      <c r="B215" s="38"/>
      <c r="C215" s="116"/>
      <c r="D215" s="259"/>
      <c r="E215" s="260"/>
      <c r="F215" s="279"/>
      <c r="G215" s="260"/>
      <c r="H215" s="38"/>
      <c r="I215" s="116"/>
    </row>
    <row r="216" spans="1:9" ht="21" customHeight="1">
      <c r="A216" s="39"/>
      <c r="B216" s="38"/>
      <c r="C216" s="116"/>
      <c r="D216" s="259"/>
      <c r="E216" s="260"/>
      <c r="F216" s="279"/>
      <c r="G216" s="260"/>
      <c r="H216" s="38"/>
      <c r="I216" s="116"/>
    </row>
    <row r="217" spans="1:9" ht="21" customHeight="1">
      <c r="A217" s="39"/>
      <c r="B217" s="38"/>
      <c r="C217" s="116"/>
      <c r="D217" s="259"/>
      <c r="E217" s="260"/>
      <c r="F217" s="279"/>
      <c r="G217" s="260"/>
      <c r="H217" s="38"/>
      <c r="I217" s="116"/>
    </row>
    <row r="218" spans="1:9" ht="21" customHeight="1">
      <c r="A218" s="41"/>
      <c r="B218" s="38"/>
      <c r="C218" s="116"/>
      <c r="D218" s="259"/>
      <c r="E218" s="260"/>
      <c r="F218" s="279"/>
      <c r="G218" s="260"/>
      <c r="H218" s="38"/>
      <c r="I218" s="116"/>
    </row>
    <row r="219" spans="1:9" ht="21" customHeight="1">
      <c r="A219" s="39"/>
      <c r="B219" s="38"/>
      <c r="C219" s="116"/>
      <c r="D219" s="259"/>
      <c r="E219" s="260"/>
      <c r="F219" s="279"/>
      <c r="G219" s="260"/>
      <c r="H219" s="38"/>
      <c r="I219" s="116"/>
    </row>
    <row r="220" spans="1:9" ht="21" customHeight="1">
      <c r="A220" s="39"/>
      <c r="B220" s="38"/>
      <c r="C220" s="116"/>
      <c r="D220" s="259"/>
      <c r="E220" s="260"/>
      <c r="F220" s="279"/>
      <c r="G220" s="260"/>
      <c r="H220" s="38"/>
      <c r="I220" s="116"/>
    </row>
    <row r="221" spans="1:9" ht="21" customHeight="1">
      <c r="A221" s="39"/>
      <c r="B221" s="38"/>
      <c r="C221" s="116"/>
      <c r="D221" s="259"/>
      <c r="E221" s="260"/>
      <c r="F221" s="279"/>
      <c r="G221" s="260"/>
      <c r="H221" s="38"/>
      <c r="I221" s="116"/>
    </row>
    <row r="222" spans="1:9" ht="21" customHeight="1">
      <c r="A222" s="39"/>
      <c r="B222" s="38"/>
      <c r="C222" s="116"/>
      <c r="D222" s="259"/>
      <c r="E222" s="260"/>
      <c r="F222" s="279"/>
      <c r="G222" s="260"/>
      <c r="H222" s="38"/>
      <c r="I222" s="116"/>
    </row>
    <row r="223" spans="1:9" ht="21" customHeight="1">
      <c r="A223" s="39"/>
      <c r="B223" s="38"/>
      <c r="C223" s="116"/>
      <c r="D223" s="259"/>
      <c r="E223" s="260"/>
      <c r="F223" s="279"/>
      <c r="G223" s="260"/>
      <c r="H223" s="38"/>
      <c r="I223" s="116"/>
    </row>
    <row r="224" spans="1:9" ht="21" customHeight="1">
      <c r="A224" s="39"/>
      <c r="B224" s="38"/>
      <c r="C224" s="116"/>
      <c r="D224" s="259"/>
      <c r="E224" s="260"/>
      <c r="F224" s="279"/>
      <c r="G224" s="260"/>
      <c r="H224" s="38"/>
      <c r="I224" s="116"/>
    </row>
    <row r="225" spans="1:9" ht="21" customHeight="1">
      <c r="A225" s="39"/>
      <c r="B225" s="38"/>
      <c r="C225" s="116"/>
      <c r="D225" s="259"/>
      <c r="E225" s="260"/>
      <c r="F225" s="279"/>
      <c r="G225" s="260"/>
      <c r="H225" s="38"/>
      <c r="I225" s="116"/>
    </row>
    <row r="226" spans="1:9" ht="21" customHeight="1">
      <c r="A226" s="39"/>
      <c r="B226" s="38"/>
      <c r="C226" s="116"/>
      <c r="D226" s="259"/>
      <c r="E226" s="260"/>
      <c r="F226" s="279"/>
      <c r="G226" s="260"/>
      <c r="H226" s="38"/>
      <c r="I226" s="116"/>
    </row>
    <row r="227" spans="1:9" ht="21" customHeight="1">
      <c r="A227" s="39"/>
      <c r="B227" s="38"/>
      <c r="C227" s="116"/>
      <c r="D227" s="259"/>
      <c r="E227" s="260"/>
      <c r="F227" s="279"/>
      <c r="G227" s="260"/>
      <c r="H227" s="38"/>
      <c r="I227" s="116"/>
    </row>
    <row r="228" spans="1:9" ht="21" customHeight="1">
      <c r="A228" s="39"/>
      <c r="B228" s="38"/>
      <c r="C228" s="116"/>
      <c r="D228" s="259"/>
      <c r="E228" s="260"/>
      <c r="F228" s="279"/>
      <c r="G228" s="260"/>
      <c r="H228" s="38"/>
      <c r="I228" s="116"/>
    </row>
    <row r="229" spans="1:9" ht="21" customHeight="1">
      <c r="A229" s="39"/>
      <c r="B229" s="38"/>
      <c r="C229" s="116"/>
      <c r="D229" s="259"/>
      <c r="E229" s="260"/>
      <c r="F229" s="279"/>
      <c r="G229" s="260"/>
      <c r="H229" s="38"/>
      <c r="I229" s="116"/>
    </row>
    <row r="230" spans="1:9" ht="21" customHeight="1">
      <c r="A230" s="39"/>
      <c r="B230" s="38"/>
      <c r="C230" s="116"/>
      <c r="D230" s="259"/>
      <c r="E230" s="260"/>
      <c r="F230" s="279"/>
      <c r="G230" s="260"/>
      <c r="H230" s="38"/>
      <c r="I230" s="116"/>
    </row>
    <row r="231" spans="1:9" ht="21" customHeight="1">
      <c r="A231" s="39"/>
      <c r="B231" s="38"/>
      <c r="C231" s="116"/>
      <c r="D231" s="259"/>
      <c r="E231" s="260"/>
      <c r="F231" s="279"/>
      <c r="G231" s="260"/>
      <c r="H231" s="38"/>
      <c r="I231" s="116"/>
    </row>
    <row r="232" spans="1:9" ht="21" customHeight="1">
      <c r="A232" s="39"/>
      <c r="B232" s="38"/>
      <c r="C232" s="116"/>
      <c r="D232" s="259"/>
      <c r="E232" s="260"/>
      <c r="F232" s="279"/>
      <c r="G232" s="260"/>
      <c r="H232" s="38"/>
      <c r="I232" s="116"/>
    </row>
    <row r="233" spans="1:9" ht="21" customHeight="1">
      <c r="A233" s="39"/>
      <c r="B233" s="38"/>
      <c r="C233" s="116"/>
      <c r="D233" s="259"/>
      <c r="E233" s="260"/>
      <c r="F233" s="279"/>
      <c r="G233" s="260"/>
      <c r="H233" s="38"/>
      <c r="I233" s="116"/>
    </row>
    <row r="234" spans="1:9" ht="21" customHeight="1">
      <c r="A234" s="39"/>
      <c r="B234" s="38"/>
      <c r="C234" s="116"/>
      <c r="D234" s="259"/>
      <c r="E234" s="260"/>
      <c r="F234" s="279"/>
      <c r="G234" s="260"/>
      <c r="H234" s="38"/>
      <c r="I234" s="116"/>
    </row>
    <row r="235" spans="1:9" ht="21" customHeight="1">
      <c r="A235" s="39"/>
      <c r="B235" s="38"/>
      <c r="C235" s="116"/>
      <c r="D235" s="259"/>
      <c r="E235" s="260"/>
      <c r="F235" s="279"/>
      <c r="G235" s="260"/>
      <c r="H235" s="38"/>
      <c r="I235" s="116"/>
    </row>
  </sheetData>
  <mergeCells count="470">
    <mergeCell ref="B2:I2"/>
    <mergeCell ref="F113:G113"/>
    <mergeCell ref="D32:E32"/>
    <mergeCell ref="F232:G232"/>
    <mergeCell ref="F32:G32"/>
    <mergeCell ref="D97:E97"/>
    <mergeCell ref="F26:G26"/>
    <mergeCell ref="F159:G159"/>
    <mergeCell ref="F97:G97"/>
    <mergeCell ref="F219:G219"/>
    <mergeCell ref="F90:G90"/>
    <mergeCell ref="D184:E184"/>
    <mergeCell ref="F184:G184"/>
    <mergeCell ref="E3:G3"/>
    <mergeCell ref="F27:G27"/>
    <mergeCell ref="D121:E121"/>
    <mergeCell ref="D192:E192"/>
    <mergeCell ref="D42:E42"/>
    <mergeCell ref="D173:E173"/>
    <mergeCell ref="D123:E123"/>
    <mergeCell ref="F123:G123"/>
    <mergeCell ref="F179:G179"/>
    <mergeCell ref="D110:E110"/>
    <mergeCell ref="D44:E44"/>
    <mergeCell ref="D234:E234"/>
    <mergeCell ref="F163:G163"/>
    <mergeCell ref="F101:G101"/>
    <mergeCell ref="F8:G8"/>
    <mergeCell ref="D171:E171"/>
    <mergeCell ref="F100:G100"/>
    <mergeCell ref="F165:G165"/>
    <mergeCell ref="F115:G115"/>
    <mergeCell ref="D102:E102"/>
    <mergeCell ref="F102:G102"/>
    <mergeCell ref="F229:G229"/>
    <mergeCell ref="D25:E25"/>
    <mergeCell ref="D196:E196"/>
    <mergeCell ref="F77:G77"/>
    <mergeCell ref="F166:G166"/>
    <mergeCell ref="D133:E133"/>
    <mergeCell ref="D54:E54"/>
    <mergeCell ref="D191:E191"/>
    <mergeCell ref="F191:G191"/>
    <mergeCell ref="F59:G59"/>
    <mergeCell ref="D95:E95"/>
    <mergeCell ref="F24:G24"/>
    <mergeCell ref="F95:G95"/>
    <mergeCell ref="D57:E57"/>
    <mergeCell ref="F218:G218"/>
    <mergeCell ref="F89:G89"/>
    <mergeCell ref="F7:G7"/>
    <mergeCell ref="D105:E105"/>
    <mergeCell ref="D170:E170"/>
    <mergeCell ref="D49:E49"/>
    <mergeCell ref="D120:E120"/>
    <mergeCell ref="D107:E107"/>
    <mergeCell ref="F36:G36"/>
    <mergeCell ref="D163:E163"/>
    <mergeCell ref="F44:G44"/>
    <mergeCell ref="D228:E228"/>
    <mergeCell ref="D10:E10"/>
    <mergeCell ref="F10:G10"/>
    <mergeCell ref="D34:E34"/>
    <mergeCell ref="F63:G63"/>
    <mergeCell ref="F34:G34"/>
    <mergeCell ref="D99:E99"/>
    <mergeCell ref="F99:G99"/>
    <mergeCell ref="F74:G74"/>
    <mergeCell ref="D101:E101"/>
    <mergeCell ref="F30:G30"/>
    <mergeCell ref="D76:E76"/>
    <mergeCell ref="F138:G138"/>
    <mergeCell ref="F76:G76"/>
    <mergeCell ref="F94:G94"/>
    <mergeCell ref="D175:E175"/>
    <mergeCell ref="D221:E221"/>
    <mergeCell ref="F150:G150"/>
    <mergeCell ref="D165:E165"/>
    <mergeCell ref="D152:E152"/>
    <mergeCell ref="D223:E223"/>
    <mergeCell ref="F152:G152"/>
    <mergeCell ref="D29:E29"/>
    <mergeCell ref="D23:E23"/>
    <mergeCell ref="D8:E8"/>
    <mergeCell ref="F37:G37"/>
    <mergeCell ref="F195:G195"/>
    <mergeCell ref="D231:E231"/>
    <mergeCell ref="F60:G60"/>
    <mergeCell ref="F197:G197"/>
    <mergeCell ref="F53:G53"/>
    <mergeCell ref="D20:E20"/>
    <mergeCell ref="F68:G68"/>
    <mergeCell ref="D84:E84"/>
    <mergeCell ref="D22:E22"/>
    <mergeCell ref="D155:E155"/>
    <mergeCell ref="F84:G84"/>
    <mergeCell ref="D149:E149"/>
    <mergeCell ref="D86:E86"/>
    <mergeCell ref="F15:G15"/>
    <mergeCell ref="F86:G86"/>
    <mergeCell ref="F142:G142"/>
    <mergeCell ref="D151:E151"/>
    <mergeCell ref="F80:G80"/>
    <mergeCell ref="D213:E213"/>
    <mergeCell ref="F213:G213"/>
    <mergeCell ref="D13:E13"/>
    <mergeCell ref="D150:E150"/>
    <mergeCell ref="D225:E225"/>
    <mergeCell ref="D200:E200"/>
    <mergeCell ref="F129:G129"/>
    <mergeCell ref="F200:G200"/>
    <mergeCell ref="D227:E227"/>
    <mergeCell ref="D202:E202"/>
    <mergeCell ref="F131:G131"/>
    <mergeCell ref="D58:E58"/>
    <mergeCell ref="F58:G58"/>
    <mergeCell ref="F79:G79"/>
    <mergeCell ref="D215:E215"/>
    <mergeCell ref="F144:G144"/>
    <mergeCell ref="F215:G215"/>
    <mergeCell ref="F81:G81"/>
    <mergeCell ref="F210:G210"/>
    <mergeCell ref="D177:E177"/>
    <mergeCell ref="D226:E226"/>
    <mergeCell ref="D164:E164"/>
    <mergeCell ref="F226:G226"/>
    <mergeCell ref="D216:E216"/>
    <mergeCell ref="F216:G216"/>
    <mergeCell ref="F87:G87"/>
    <mergeCell ref="D218:E218"/>
    <mergeCell ref="F147:G147"/>
    <mergeCell ref="H3:I3"/>
    <mergeCell ref="D39:E39"/>
    <mergeCell ref="F39:G39"/>
    <mergeCell ref="A1:I1"/>
    <mergeCell ref="D89:E89"/>
    <mergeCell ref="F64:G64"/>
    <mergeCell ref="D153:E153"/>
    <mergeCell ref="F178:G178"/>
    <mergeCell ref="D128:E128"/>
    <mergeCell ref="F128:G128"/>
    <mergeCell ref="D65:E65"/>
    <mergeCell ref="F21:G21"/>
    <mergeCell ref="F50:G50"/>
    <mergeCell ref="F110:G110"/>
    <mergeCell ref="D17:E17"/>
    <mergeCell ref="F141:G141"/>
    <mergeCell ref="D146:E146"/>
    <mergeCell ref="D12:E12"/>
    <mergeCell ref="D83:E83"/>
    <mergeCell ref="D143:E143"/>
    <mergeCell ref="F49:G49"/>
    <mergeCell ref="D14:E14"/>
    <mergeCell ref="D85:E85"/>
    <mergeCell ref="F14:G14"/>
    <mergeCell ref="B3:D3"/>
    <mergeCell ref="D130:E130"/>
    <mergeCell ref="D201:E201"/>
    <mergeCell ref="D68:E68"/>
    <mergeCell ref="F130:G130"/>
    <mergeCell ref="D188:E188"/>
    <mergeCell ref="D132:E132"/>
    <mergeCell ref="F157:G157"/>
    <mergeCell ref="F132:G132"/>
    <mergeCell ref="D59:E59"/>
    <mergeCell ref="D178:E178"/>
    <mergeCell ref="D172:E172"/>
    <mergeCell ref="F172:G172"/>
    <mergeCell ref="F196:G196"/>
    <mergeCell ref="F25:G25"/>
    <mergeCell ref="C5:G5"/>
    <mergeCell ref="D36:E36"/>
    <mergeCell ref="F173:G173"/>
    <mergeCell ref="D61:E61"/>
    <mergeCell ref="D48:E48"/>
    <mergeCell ref="D125:E125"/>
    <mergeCell ref="F125:G125"/>
    <mergeCell ref="F185:G185"/>
    <mergeCell ref="D112:E112"/>
    <mergeCell ref="F235:G235"/>
    <mergeCell ref="D185:E185"/>
    <mergeCell ref="D41:E41"/>
    <mergeCell ref="F41:G41"/>
    <mergeCell ref="F35:G35"/>
    <mergeCell ref="F106:G106"/>
    <mergeCell ref="D43:E43"/>
    <mergeCell ref="D137:E137"/>
    <mergeCell ref="D74:E74"/>
    <mergeCell ref="F234:G234"/>
    <mergeCell ref="F221:G221"/>
    <mergeCell ref="F223:G223"/>
    <mergeCell ref="D62:E62"/>
    <mergeCell ref="D56:E56"/>
    <mergeCell ref="D193:E193"/>
    <mergeCell ref="D127:E127"/>
    <mergeCell ref="F56:G56"/>
    <mergeCell ref="D176:E176"/>
    <mergeCell ref="F105:G105"/>
    <mergeCell ref="D114:E114"/>
    <mergeCell ref="F43:G43"/>
    <mergeCell ref="F176:G176"/>
    <mergeCell ref="F170:G170"/>
    <mergeCell ref="D64:E64"/>
    <mergeCell ref="D233:E233"/>
    <mergeCell ref="D111:E111"/>
    <mergeCell ref="F40:G40"/>
    <mergeCell ref="F233:G233"/>
    <mergeCell ref="D183:E183"/>
    <mergeCell ref="F12:G12"/>
    <mergeCell ref="F177:G177"/>
    <mergeCell ref="D104:E104"/>
    <mergeCell ref="D219:E219"/>
    <mergeCell ref="F104:G104"/>
    <mergeCell ref="F13:G13"/>
    <mergeCell ref="F120:G120"/>
    <mergeCell ref="D51:E51"/>
    <mergeCell ref="F107:G107"/>
    <mergeCell ref="F57:G57"/>
    <mergeCell ref="F171:G171"/>
    <mergeCell ref="D138:E138"/>
    <mergeCell ref="D203:E203"/>
    <mergeCell ref="D140:E140"/>
    <mergeCell ref="D204:E204"/>
    <mergeCell ref="D198:E198"/>
    <mergeCell ref="F33:G33"/>
    <mergeCell ref="F204:G204"/>
    <mergeCell ref="F198:G198"/>
    <mergeCell ref="E4:G4"/>
    <mergeCell ref="D182:E182"/>
    <mergeCell ref="F11:G11"/>
    <mergeCell ref="D109:E109"/>
    <mergeCell ref="F182:G182"/>
    <mergeCell ref="D119:E119"/>
    <mergeCell ref="D190:E190"/>
    <mergeCell ref="D46:E46"/>
    <mergeCell ref="H4:I4"/>
    <mergeCell ref="D40:E40"/>
    <mergeCell ref="B4:D4"/>
    <mergeCell ref="D11:E11"/>
    <mergeCell ref="D75:E75"/>
    <mergeCell ref="F75:G75"/>
    <mergeCell ref="F62:G62"/>
    <mergeCell ref="D181:E181"/>
    <mergeCell ref="F31:G31"/>
    <mergeCell ref="F28:G28"/>
    <mergeCell ref="D186:E186"/>
    <mergeCell ref="F181:G181"/>
    <mergeCell ref="F78:G78"/>
    <mergeCell ref="F65:G65"/>
    <mergeCell ref="D159:E159"/>
    <mergeCell ref="D80:E80"/>
    <mergeCell ref="A5:B5"/>
    <mergeCell ref="D93:E93"/>
    <mergeCell ref="F22:G22"/>
    <mergeCell ref="F155:G155"/>
    <mergeCell ref="F93:G93"/>
    <mergeCell ref="F149:G149"/>
    <mergeCell ref="D220:E220"/>
    <mergeCell ref="F220:G220"/>
    <mergeCell ref="D157:E157"/>
    <mergeCell ref="F151:G151"/>
    <mergeCell ref="D206:E206"/>
    <mergeCell ref="D199:E199"/>
    <mergeCell ref="D217:E217"/>
    <mergeCell ref="F217:G217"/>
    <mergeCell ref="F192:G192"/>
    <mergeCell ref="D194:E194"/>
    <mergeCell ref="F194:G194"/>
    <mergeCell ref="D212:E212"/>
    <mergeCell ref="D207:E207"/>
    <mergeCell ref="F205:G205"/>
    <mergeCell ref="F55:G55"/>
    <mergeCell ref="F169:G169"/>
    <mergeCell ref="D136:E136"/>
    <mergeCell ref="D154:E154"/>
    <mergeCell ref="D232:E232"/>
    <mergeCell ref="F161:G161"/>
    <mergeCell ref="F136:G136"/>
    <mergeCell ref="D38:E38"/>
    <mergeCell ref="F207:G207"/>
    <mergeCell ref="D169:E169"/>
    <mergeCell ref="F225:G225"/>
    <mergeCell ref="D63:E63"/>
    <mergeCell ref="F227:G227"/>
    <mergeCell ref="F202:G202"/>
    <mergeCell ref="D96:E96"/>
    <mergeCell ref="D52:E52"/>
    <mergeCell ref="F154:G154"/>
    <mergeCell ref="D116:E116"/>
    <mergeCell ref="D91:E91"/>
    <mergeCell ref="D162:E162"/>
    <mergeCell ref="F91:G91"/>
    <mergeCell ref="D156:E156"/>
    <mergeCell ref="F156:G156"/>
    <mergeCell ref="F180:G180"/>
    <mergeCell ref="D106:E106"/>
    <mergeCell ref="F222:G222"/>
    <mergeCell ref="F231:G231"/>
    <mergeCell ref="D222:E222"/>
    <mergeCell ref="D235:E235"/>
    <mergeCell ref="D24:E24"/>
    <mergeCell ref="D113:E113"/>
    <mergeCell ref="D88:E88"/>
    <mergeCell ref="D26:E26"/>
    <mergeCell ref="F88:G88"/>
    <mergeCell ref="D148:E148"/>
    <mergeCell ref="F148:G148"/>
    <mergeCell ref="D115:E115"/>
    <mergeCell ref="F54:G54"/>
    <mergeCell ref="D90:E90"/>
    <mergeCell ref="F212:G212"/>
    <mergeCell ref="F146:G146"/>
    <mergeCell ref="F83:G83"/>
    <mergeCell ref="F214:G214"/>
    <mergeCell ref="F85:G85"/>
    <mergeCell ref="D179:E179"/>
    <mergeCell ref="D166:E166"/>
    <mergeCell ref="D103:E103"/>
    <mergeCell ref="D37:E37"/>
    <mergeCell ref="D230:E230"/>
    <mergeCell ref="D168:E168"/>
    <mergeCell ref="F230:G230"/>
    <mergeCell ref="D180:E180"/>
    <mergeCell ref="D229:E229"/>
    <mergeCell ref="F158:G158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F224:G224"/>
    <mergeCell ref="D72:E72"/>
    <mergeCell ref="F72:G72"/>
    <mergeCell ref="F199:G199"/>
    <mergeCell ref="D19:E19"/>
    <mergeCell ref="F19:G19"/>
    <mergeCell ref="F6:G6"/>
    <mergeCell ref="F20:G20"/>
    <mergeCell ref="D9:E9"/>
    <mergeCell ref="D118:E118"/>
    <mergeCell ref="F9:G9"/>
    <mergeCell ref="D209:E209"/>
    <mergeCell ref="D147:E147"/>
    <mergeCell ref="F38:G38"/>
    <mergeCell ref="F209:G209"/>
    <mergeCell ref="D122:E122"/>
    <mergeCell ref="D224:E224"/>
    <mergeCell ref="D18:E18"/>
    <mergeCell ref="D211:E211"/>
    <mergeCell ref="F140:G140"/>
    <mergeCell ref="F211:G211"/>
    <mergeCell ref="F67:G67"/>
    <mergeCell ref="F186:G186"/>
    <mergeCell ref="D82:E82"/>
    <mergeCell ref="F82:G82"/>
    <mergeCell ref="F206:G206"/>
    <mergeCell ref="D100:E100"/>
    <mergeCell ref="F29:G29"/>
    <mergeCell ref="D50:E50"/>
    <mergeCell ref="D31:E31"/>
    <mergeCell ref="D158:E158"/>
    <mergeCell ref="D167:E167"/>
    <mergeCell ref="D161:E161"/>
    <mergeCell ref="F167:G167"/>
    <mergeCell ref="D27:E27"/>
    <mergeCell ref="F228:G228"/>
    <mergeCell ref="F203:G203"/>
    <mergeCell ref="D214:E214"/>
    <mergeCell ref="D28:E28"/>
    <mergeCell ref="D117:E117"/>
    <mergeCell ref="D92:E92"/>
    <mergeCell ref="D55:E55"/>
    <mergeCell ref="D30:E30"/>
    <mergeCell ref="F92:G92"/>
    <mergeCell ref="F117:G117"/>
    <mergeCell ref="D67:E67"/>
    <mergeCell ref="D94:E94"/>
    <mergeCell ref="F119:G119"/>
    <mergeCell ref="D69:E69"/>
    <mergeCell ref="F69:G69"/>
    <mergeCell ref="F112:G112"/>
    <mergeCell ref="F183:G183"/>
    <mergeCell ref="F193:G193"/>
    <mergeCell ref="F127:G127"/>
    <mergeCell ref="F51:G51"/>
    <mergeCell ref="D145:E145"/>
    <mergeCell ref="F145:G145"/>
    <mergeCell ref="D210:E210"/>
    <mergeCell ref="D87:E87"/>
    <mergeCell ref="D15:E15"/>
    <mergeCell ref="D142:E142"/>
    <mergeCell ref="D129:E129"/>
    <mergeCell ref="D79:E79"/>
    <mergeCell ref="D144:E144"/>
    <mergeCell ref="F73:G73"/>
    <mergeCell ref="D81:E81"/>
    <mergeCell ref="D208:E208"/>
    <mergeCell ref="F137:G137"/>
    <mergeCell ref="F208:G208"/>
    <mergeCell ref="F124:G124"/>
    <mergeCell ref="D139:E139"/>
    <mergeCell ref="F201:G201"/>
    <mergeCell ref="F164:G164"/>
    <mergeCell ref="F139:G139"/>
    <mergeCell ref="F114:G114"/>
    <mergeCell ref="D21:E21"/>
    <mergeCell ref="D16:E16"/>
    <mergeCell ref="F52:G52"/>
    <mergeCell ref="D33:E33"/>
    <mergeCell ref="D35:E35"/>
    <mergeCell ref="F188:G188"/>
    <mergeCell ref="D197:E197"/>
    <mergeCell ref="F126:G126"/>
    <mergeCell ref="D53:E53"/>
    <mergeCell ref="D47:E47"/>
    <mergeCell ref="F109:G109"/>
    <mergeCell ref="F47:G47"/>
    <mergeCell ref="F190:G190"/>
    <mergeCell ref="F46:G46"/>
    <mergeCell ref="F111:G111"/>
    <mergeCell ref="F61:G61"/>
    <mergeCell ref="F48:G48"/>
    <mergeCell ref="D7:E7"/>
    <mergeCell ref="D78:E78"/>
    <mergeCell ref="D134:E134"/>
    <mergeCell ref="D205:E205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F175:G175"/>
    <mergeCell ref="F162:G162"/>
    <mergeCell ref="D131:E131"/>
    <mergeCell ref="D124:E124"/>
    <mergeCell ref="D195:E195"/>
    <mergeCell ref="D189:E189"/>
    <mergeCell ref="F18:G18"/>
    <mergeCell ref="F189:G189"/>
    <mergeCell ref="F45:G45"/>
    <mergeCell ref="F42:G42"/>
    <mergeCell ref="D66:E66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  <mergeCell ref="F70:G70"/>
    <mergeCell ref="D126:E126"/>
    <mergeCell ref="F17:G17"/>
    <mergeCell ref="F66:G66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O62"/>
  <sheetViews>
    <sheetView workbookViewId="0">
      <pane ySplit="6" topLeftCell="A19" activePane="bottomLeft" state="frozen"/>
      <selection activeCell="A21" sqref="A21"/>
      <selection pane="bottomLeft"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5.44140625" style="246" customWidth="1"/>
    <col min="7" max="7" width="4.6640625" style="246" customWidth="1"/>
    <col min="8" max="8" width="11.109375" style="246" customWidth="1"/>
    <col min="9" max="9" width="23.3320312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377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378</v>
      </c>
      <c r="C3" s="263"/>
      <c r="D3" s="260"/>
      <c r="E3" s="266" t="s">
        <v>11</v>
      </c>
      <c r="F3" s="263"/>
      <c r="G3" s="260"/>
      <c r="H3" s="268" t="s">
        <v>379</v>
      </c>
      <c r="I3" s="269"/>
      <c r="J3" s="19" t="str">
        <f>B3</f>
        <v>ELAM 2mg</v>
      </c>
      <c r="K3" s="4">
        <v>43860</v>
      </c>
      <c r="L3" s="5">
        <f>H7</f>
        <v>1038.5</v>
      </c>
      <c r="M3" s="3">
        <f>SUM(C$8:C$1048576)</f>
        <v>0</v>
      </c>
      <c r="N3" s="3">
        <f>SUM(F:F)</f>
        <v>600</v>
      </c>
      <c r="O3" s="3">
        <f>L3+M3-N3</f>
        <v>438.5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380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381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7.45" customHeight="1">
      <c r="A7" s="196" t="s">
        <v>29</v>
      </c>
      <c r="B7" s="155" t="s">
        <v>5</v>
      </c>
      <c r="C7" s="155">
        <v>1038.5</v>
      </c>
      <c r="D7" s="280"/>
      <c r="E7" s="260"/>
      <c r="F7" s="280"/>
      <c r="G7" s="260"/>
      <c r="H7" s="155">
        <v>1038.5</v>
      </c>
      <c r="I7" s="210" t="s">
        <v>331</v>
      </c>
      <c r="J7" s="12"/>
      <c r="K7" s="3"/>
      <c r="L7" s="3"/>
      <c r="M7" s="3"/>
      <c r="N7" s="3"/>
      <c r="O7" s="3"/>
    </row>
    <row r="8" spans="1:15" s="187" customFormat="1" ht="26.7" customHeight="1">
      <c r="A8" s="39" t="s">
        <v>334</v>
      </c>
      <c r="B8" s="38" t="s">
        <v>323</v>
      </c>
      <c r="C8" s="57"/>
      <c r="D8" s="279"/>
      <c r="E8" s="260"/>
      <c r="F8" s="279">
        <v>30</v>
      </c>
      <c r="G8" s="260"/>
      <c r="H8" s="38">
        <f t="shared" ref="H8:H29" si="0">H7-F8</f>
        <v>1008.5</v>
      </c>
      <c r="I8" s="38"/>
    </row>
    <row r="9" spans="1:15" s="187" customFormat="1" ht="26.7" customHeight="1">
      <c r="A9" s="39" t="s">
        <v>334</v>
      </c>
      <c r="B9" s="38" t="s">
        <v>323</v>
      </c>
      <c r="C9" s="57"/>
      <c r="D9" s="279"/>
      <c r="E9" s="260"/>
      <c r="F9" s="279">
        <v>30</v>
      </c>
      <c r="G9" s="260"/>
      <c r="H9" s="38">
        <f t="shared" si="0"/>
        <v>978.5</v>
      </c>
      <c r="I9" s="38"/>
    </row>
    <row r="10" spans="1:15" s="187" customFormat="1" ht="26.7" customHeight="1">
      <c r="A10" s="39" t="s">
        <v>382</v>
      </c>
      <c r="B10" s="38" t="s">
        <v>323</v>
      </c>
      <c r="C10" s="57"/>
      <c r="D10" s="279"/>
      <c r="E10" s="260"/>
      <c r="F10" s="279">
        <v>30</v>
      </c>
      <c r="G10" s="260"/>
      <c r="H10" s="38">
        <f t="shared" si="0"/>
        <v>948.5</v>
      </c>
      <c r="I10" s="38"/>
    </row>
    <row r="11" spans="1:15" s="187" customFormat="1" ht="26.7" customHeight="1">
      <c r="A11" s="39" t="s">
        <v>383</v>
      </c>
      <c r="B11" s="38" t="s">
        <v>323</v>
      </c>
      <c r="C11" s="57"/>
      <c r="D11" s="279"/>
      <c r="E11" s="260"/>
      <c r="F11" s="279">
        <v>30</v>
      </c>
      <c r="G11" s="260"/>
      <c r="H11" s="38">
        <f t="shared" si="0"/>
        <v>918.5</v>
      </c>
      <c r="I11" s="38"/>
    </row>
    <row r="12" spans="1:15" s="187" customFormat="1" ht="26.7" customHeight="1">
      <c r="A12" s="39" t="s">
        <v>384</v>
      </c>
      <c r="B12" s="38" t="s">
        <v>323</v>
      </c>
      <c r="C12" s="57"/>
      <c r="D12" s="279"/>
      <c r="E12" s="260"/>
      <c r="F12" s="279">
        <v>14</v>
      </c>
      <c r="G12" s="260"/>
      <c r="H12" s="38">
        <f t="shared" si="0"/>
        <v>904.5</v>
      </c>
      <c r="I12" s="38"/>
    </row>
    <row r="13" spans="1:15" s="187" customFormat="1" ht="26.7" customHeight="1">
      <c r="A13" s="58" t="s">
        <v>385</v>
      </c>
      <c r="B13" s="38" t="s">
        <v>323</v>
      </c>
      <c r="C13" s="57"/>
      <c r="D13" s="279"/>
      <c r="E13" s="260"/>
      <c r="F13" s="279">
        <v>7</v>
      </c>
      <c r="G13" s="260"/>
      <c r="H13" s="38">
        <f t="shared" si="0"/>
        <v>897.5</v>
      </c>
      <c r="I13" s="38"/>
    </row>
    <row r="14" spans="1:15" s="187" customFormat="1" ht="26.7" customHeight="1">
      <c r="A14" s="41" t="s">
        <v>386</v>
      </c>
      <c r="B14" s="38" t="s">
        <v>323</v>
      </c>
      <c r="C14" s="57"/>
      <c r="D14" s="279"/>
      <c r="E14" s="260"/>
      <c r="F14" s="279">
        <v>3</v>
      </c>
      <c r="G14" s="260"/>
      <c r="H14" s="38">
        <f t="shared" si="0"/>
        <v>894.5</v>
      </c>
      <c r="I14" s="38"/>
    </row>
    <row r="15" spans="1:15" s="187" customFormat="1" ht="26.7" customHeight="1">
      <c r="A15" s="39" t="s">
        <v>342</v>
      </c>
      <c r="B15" s="38" t="s">
        <v>323</v>
      </c>
      <c r="C15" s="57"/>
      <c r="D15" s="279"/>
      <c r="E15" s="260"/>
      <c r="F15" s="279">
        <v>30</v>
      </c>
      <c r="G15" s="260"/>
      <c r="H15" s="38">
        <f t="shared" si="0"/>
        <v>864.5</v>
      </c>
      <c r="I15" s="38"/>
    </row>
    <row r="16" spans="1:15" s="187" customFormat="1" ht="26.7" customHeight="1">
      <c r="A16" s="39" t="s">
        <v>387</v>
      </c>
      <c r="B16" s="38" t="s">
        <v>323</v>
      </c>
      <c r="C16" s="57"/>
      <c r="D16" s="279"/>
      <c r="E16" s="260"/>
      <c r="F16" s="279">
        <v>60</v>
      </c>
      <c r="G16" s="260"/>
      <c r="H16" s="38">
        <f t="shared" si="0"/>
        <v>804.5</v>
      </c>
      <c r="I16" s="38"/>
    </row>
    <row r="17" spans="1:9" ht="21" customHeight="1">
      <c r="A17" s="39" t="s">
        <v>388</v>
      </c>
      <c r="B17" s="38" t="s">
        <v>323</v>
      </c>
      <c r="C17" s="3"/>
      <c r="D17" s="259"/>
      <c r="E17" s="260"/>
      <c r="F17" s="279">
        <v>14</v>
      </c>
      <c r="G17" s="260"/>
      <c r="H17" s="38">
        <f t="shared" si="0"/>
        <v>790.5</v>
      </c>
      <c r="I17" s="7"/>
    </row>
    <row r="18" spans="1:9" ht="21" customHeight="1">
      <c r="A18" s="39" t="s">
        <v>389</v>
      </c>
      <c r="B18" s="38" t="s">
        <v>323</v>
      </c>
      <c r="C18" s="3"/>
      <c r="D18" s="259"/>
      <c r="E18" s="260"/>
      <c r="F18" s="279">
        <v>30</v>
      </c>
      <c r="G18" s="260"/>
      <c r="H18" s="38">
        <f t="shared" si="0"/>
        <v>760.5</v>
      </c>
      <c r="I18" s="7"/>
    </row>
    <row r="19" spans="1:9" ht="21" customHeight="1">
      <c r="A19" s="39" t="s">
        <v>390</v>
      </c>
      <c r="B19" s="38" t="s">
        <v>323</v>
      </c>
      <c r="C19" s="3"/>
      <c r="D19" s="259"/>
      <c r="E19" s="260"/>
      <c r="F19" s="279">
        <v>30</v>
      </c>
      <c r="G19" s="260"/>
      <c r="H19" s="38">
        <f t="shared" si="0"/>
        <v>730.5</v>
      </c>
      <c r="I19" s="7"/>
    </row>
    <row r="20" spans="1:9" ht="21" customHeight="1">
      <c r="A20" s="198" t="s">
        <v>391</v>
      </c>
      <c r="B20" s="38" t="s">
        <v>323</v>
      </c>
      <c r="C20" s="3"/>
      <c r="D20" s="259"/>
      <c r="E20" s="260"/>
      <c r="F20" s="279">
        <v>14</v>
      </c>
      <c r="G20" s="260"/>
      <c r="H20" s="38">
        <f t="shared" si="0"/>
        <v>716.5</v>
      </c>
      <c r="I20" s="7"/>
    </row>
    <row r="21" spans="1:9" ht="21" customHeight="1">
      <c r="A21" s="39" t="s">
        <v>392</v>
      </c>
      <c r="B21" s="38" t="s">
        <v>323</v>
      </c>
      <c r="C21" s="3"/>
      <c r="D21" s="259"/>
      <c r="E21" s="260"/>
      <c r="F21" s="287">
        <v>30</v>
      </c>
      <c r="G21" s="260"/>
      <c r="H21" s="38">
        <f t="shared" si="0"/>
        <v>686.5</v>
      </c>
      <c r="I21" s="7"/>
    </row>
    <row r="22" spans="1:9" ht="21" customHeight="1">
      <c r="A22" s="39" t="s">
        <v>393</v>
      </c>
      <c r="B22" s="38" t="s">
        <v>323</v>
      </c>
      <c r="C22" s="3"/>
      <c r="D22" s="259"/>
      <c r="E22" s="260"/>
      <c r="F22" s="287">
        <v>30</v>
      </c>
      <c r="G22" s="260"/>
      <c r="H22" s="38">
        <f t="shared" si="0"/>
        <v>656.5</v>
      </c>
      <c r="I22" s="7"/>
    </row>
    <row r="23" spans="1:9" ht="21" customHeight="1">
      <c r="A23" s="39" t="s">
        <v>394</v>
      </c>
      <c r="B23" s="38" t="s">
        <v>323</v>
      </c>
      <c r="C23" s="3"/>
      <c r="D23" s="259"/>
      <c r="E23" s="260"/>
      <c r="F23" s="287">
        <v>30</v>
      </c>
      <c r="G23" s="260"/>
      <c r="H23" s="38">
        <f t="shared" si="0"/>
        <v>626.5</v>
      </c>
      <c r="I23" s="7"/>
    </row>
    <row r="24" spans="1:9" ht="21" customHeight="1">
      <c r="A24" s="39" t="s">
        <v>395</v>
      </c>
      <c r="B24" s="38" t="s">
        <v>323</v>
      </c>
      <c r="C24" s="3"/>
      <c r="D24" s="259"/>
      <c r="E24" s="260"/>
      <c r="F24" s="287">
        <v>33</v>
      </c>
      <c r="G24" s="260"/>
      <c r="H24" s="38">
        <f t="shared" si="0"/>
        <v>593.5</v>
      </c>
      <c r="I24" s="7"/>
    </row>
    <row r="25" spans="1:9" ht="21" customHeight="1">
      <c r="A25" s="39" t="s">
        <v>396</v>
      </c>
      <c r="B25" s="38" t="s">
        <v>323</v>
      </c>
      <c r="C25" s="3"/>
      <c r="D25" s="259"/>
      <c r="E25" s="260"/>
      <c r="F25" s="287">
        <v>30</v>
      </c>
      <c r="G25" s="260"/>
      <c r="H25" s="38">
        <f t="shared" si="0"/>
        <v>563.5</v>
      </c>
      <c r="I25" s="7"/>
    </row>
    <row r="26" spans="1:9" ht="21" customHeight="1">
      <c r="A26" s="39" t="s">
        <v>397</v>
      </c>
      <c r="B26" s="38" t="s">
        <v>323</v>
      </c>
      <c r="C26" s="3"/>
      <c r="D26" s="259"/>
      <c r="E26" s="260"/>
      <c r="F26" s="287">
        <v>30</v>
      </c>
      <c r="G26" s="260"/>
      <c r="H26" s="38">
        <f t="shared" si="0"/>
        <v>533.5</v>
      </c>
      <c r="I26" s="7"/>
    </row>
    <row r="27" spans="1:9" ht="21" customHeight="1">
      <c r="A27" s="39" t="s">
        <v>398</v>
      </c>
      <c r="B27" s="38" t="s">
        <v>323</v>
      </c>
      <c r="C27" s="3"/>
      <c r="D27" s="259"/>
      <c r="E27" s="260"/>
      <c r="F27" s="287">
        <v>14</v>
      </c>
      <c r="G27" s="260"/>
      <c r="H27" s="38">
        <f t="shared" si="0"/>
        <v>519.5</v>
      </c>
      <c r="I27" s="7"/>
    </row>
    <row r="28" spans="1:9" ht="21" customHeight="1">
      <c r="A28" s="39" t="s">
        <v>399</v>
      </c>
      <c r="B28" s="38" t="s">
        <v>323</v>
      </c>
      <c r="C28" s="3"/>
      <c r="D28" s="259"/>
      <c r="E28" s="260"/>
      <c r="F28" s="287">
        <v>74</v>
      </c>
      <c r="G28" s="260"/>
      <c r="H28" s="38">
        <f t="shared" si="0"/>
        <v>445.5</v>
      </c>
      <c r="I28" s="7"/>
    </row>
    <row r="29" spans="1:9" ht="21" customHeight="1">
      <c r="A29" s="39" t="s">
        <v>400</v>
      </c>
      <c r="B29" s="38" t="s">
        <v>323</v>
      </c>
      <c r="C29" s="3"/>
      <c r="D29" s="259"/>
      <c r="E29" s="260"/>
      <c r="F29" s="287">
        <v>7</v>
      </c>
      <c r="G29" s="260"/>
      <c r="H29" s="38">
        <f t="shared" si="0"/>
        <v>438.5</v>
      </c>
      <c r="I29" s="7"/>
    </row>
    <row r="30" spans="1:9" ht="21" customHeight="1">
      <c r="A30" s="39"/>
      <c r="B30" s="38"/>
      <c r="C30" s="3"/>
      <c r="D30" s="259"/>
      <c r="E30" s="260"/>
      <c r="F30" s="287"/>
      <c r="G30" s="260"/>
      <c r="H30" s="38"/>
      <c r="I30" s="7"/>
    </row>
    <row r="31" spans="1:9" ht="21" customHeight="1">
      <c r="A31" s="39"/>
      <c r="B31" s="38"/>
      <c r="C31" s="3"/>
      <c r="D31" s="259"/>
      <c r="E31" s="260"/>
      <c r="F31" s="287"/>
      <c r="G31" s="260"/>
      <c r="H31" s="38"/>
      <c r="I31" s="7"/>
    </row>
    <row r="32" spans="1:9" ht="21" customHeight="1">
      <c r="A32" s="39"/>
      <c r="B32" s="38"/>
      <c r="C32" s="3"/>
      <c r="D32" s="259"/>
      <c r="E32" s="260"/>
      <c r="F32" s="287"/>
      <c r="G32" s="260"/>
      <c r="H32" s="38"/>
      <c r="I32" s="7"/>
    </row>
    <row r="33" spans="1:9" ht="21" customHeight="1">
      <c r="A33" s="39"/>
      <c r="B33" s="38"/>
      <c r="C33" s="3"/>
      <c r="D33" s="259"/>
      <c r="E33" s="260"/>
      <c r="F33" s="287"/>
      <c r="G33" s="260"/>
      <c r="H33" s="38"/>
      <c r="I33" s="7"/>
    </row>
    <row r="34" spans="1:9" ht="21" customHeight="1">
      <c r="A34" s="39"/>
      <c r="B34" s="38"/>
      <c r="C34" s="3"/>
      <c r="D34" s="259"/>
      <c r="E34" s="260"/>
      <c r="F34" s="287"/>
      <c r="G34" s="260"/>
      <c r="H34" s="38"/>
      <c r="I34" s="7"/>
    </row>
    <row r="35" spans="1:9" ht="21" customHeight="1">
      <c r="A35" s="39"/>
      <c r="B35" s="38"/>
      <c r="C35" s="3"/>
      <c r="D35" s="259"/>
      <c r="E35" s="260"/>
      <c r="F35" s="287"/>
      <c r="G35" s="260"/>
      <c r="H35" s="38"/>
      <c r="I35" s="7"/>
    </row>
    <row r="36" spans="1:9" ht="21" customHeight="1">
      <c r="A36" s="39"/>
      <c r="B36" s="38"/>
      <c r="C36" s="3"/>
      <c r="D36" s="259"/>
      <c r="E36" s="260"/>
      <c r="F36" s="287"/>
      <c r="G36" s="260"/>
      <c r="H36" s="38"/>
      <c r="I36" s="7"/>
    </row>
    <row r="37" spans="1:9" ht="21" customHeight="1">
      <c r="A37" s="39"/>
      <c r="B37" s="38"/>
      <c r="C37" s="3"/>
      <c r="D37" s="259"/>
      <c r="E37" s="260"/>
      <c r="F37" s="287"/>
      <c r="G37" s="260"/>
      <c r="H37" s="38"/>
      <c r="I37" s="7"/>
    </row>
    <row r="38" spans="1:9" ht="21" customHeight="1">
      <c r="A38" s="39"/>
      <c r="B38" s="38"/>
      <c r="C38" s="3"/>
      <c r="D38" s="259"/>
      <c r="E38" s="260"/>
      <c r="F38" s="287"/>
      <c r="G38" s="260"/>
      <c r="H38" s="38"/>
      <c r="I38" s="7"/>
    </row>
    <row r="39" spans="1:9" ht="21" customHeight="1">
      <c r="A39" s="39"/>
      <c r="B39" s="38"/>
      <c r="C39" s="3"/>
      <c r="D39" s="259"/>
      <c r="E39" s="260"/>
      <c r="F39" s="287"/>
      <c r="G39" s="260"/>
      <c r="H39" s="38"/>
      <c r="I39" s="7"/>
    </row>
    <row r="40" spans="1:9" ht="21" customHeight="1">
      <c r="A40" s="39"/>
      <c r="B40" s="38"/>
      <c r="C40" s="3"/>
      <c r="D40" s="259"/>
      <c r="E40" s="260"/>
      <c r="F40" s="287"/>
      <c r="G40" s="260"/>
      <c r="H40" s="38"/>
      <c r="I40" s="7"/>
    </row>
    <row r="41" spans="1:9" ht="21" customHeight="1">
      <c r="A41" s="39"/>
      <c r="B41" s="38"/>
      <c r="C41" s="3"/>
      <c r="D41" s="259"/>
      <c r="E41" s="260"/>
      <c r="F41" s="287"/>
      <c r="G41" s="260"/>
      <c r="H41" s="38"/>
      <c r="I41" s="7"/>
    </row>
    <row r="42" spans="1:9" ht="21" customHeight="1">
      <c r="A42" s="39"/>
      <c r="B42" s="38"/>
      <c r="C42" s="3"/>
      <c r="D42" s="259"/>
      <c r="E42" s="260"/>
      <c r="F42" s="287"/>
      <c r="G42" s="260"/>
      <c r="H42" s="38"/>
      <c r="I42" s="7"/>
    </row>
    <row r="43" spans="1:9" ht="21" customHeight="1">
      <c r="A43" s="39"/>
      <c r="B43" s="38"/>
      <c r="C43" s="3"/>
      <c r="D43" s="259"/>
      <c r="E43" s="260"/>
      <c r="F43" s="287"/>
      <c r="G43" s="260"/>
      <c r="H43" s="38"/>
      <c r="I43" s="7"/>
    </row>
    <row r="44" spans="1:9" ht="21" customHeight="1">
      <c r="A44" s="39"/>
      <c r="B44" s="38"/>
      <c r="C44" s="3"/>
      <c r="D44" s="259"/>
      <c r="E44" s="260"/>
      <c r="F44" s="287"/>
      <c r="G44" s="260"/>
      <c r="H44" s="38"/>
      <c r="I44" s="7"/>
    </row>
    <row r="45" spans="1:9" ht="21" customHeight="1">
      <c r="A45" s="39"/>
      <c r="B45" s="38"/>
      <c r="C45" s="3"/>
      <c r="D45" s="259"/>
      <c r="E45" s="260"/>
      <c r="F45" s="287"/>
      <c r="G45" s="260"/>
      <c r="H45" s="38"/>
      <c r="I45" s="7"/>
    </row>
    <row r="46" spans="1:9" ht="21" customHeight="1">
      <c r="A46" s="39"/>
      <c r="B46" s="38"/>
      <c r="C46" s="3"/>
      <c r="D46" s="259"/>
      <c r="E46" s="260"/>
      <c r="F46" s="287"/>
      <c r="G46" s="260"/>
      <c r="H46" s="38"/>
      <c r="I46" s="7"/>
    </row>
    <row r="47" spans="1:9" ht="21" customHeight="1">
      <c r="A47" s="39"/>
      <c r="B47" s="38"/>
      <c r="C47" s="3"/>
      <c r="D47" s="259"/>
      <c r="E47" s="260"/>
      <c r="F47" s="287"/>
      <c r="G47" s="260"/>
      <c r="H47" s="38"/>
      <c r="I47" s="7"/>
    </row>
    <row r="48" spans="1:9" ht="21" customHeight="1">
      <c r="A48" s="39"/>
      <c r="B48" s="38"/>
      <c r="C48" s="3"/>
      <c r="D48" s="259"/>
      <c r="E48" s="260"/>
      <c r="F48" s="287"/>
      <c r="G48" s="260"/>
      <c r="H48" s="38"/>
      <c r="I48" s="7"/>
    </row>
    <row r="49" spans="1:9" ht="21" customHeight="1">
      <c r="A49" s="39"/>
      <c r="B49" s="38"/>
      <c r="C49" s="3"/>
      <c r="D49" s="259"/>
      <c r="E49" s="260"/>
      <c r="F49" s="287"/>
      <c r="G49" s="260"/>
      <c r="H49" s="38"/>
      <c r="I49" s="7"/>
    </row>
    <row r="50" spans="1:9" ht="21" customHeight="1">
      <c r="A50" s="39"/>
      <c r="B50" s="38"/>
      <c r="C50" s="3"/>
      <c r="D50" s="259"/>
      <c r="E50" s="260"/>
      <c r="F50" s="287"/>
      <c r="G50" s="260"/>
      <c r="H50" s="38"/>
      <c r="I50" s="7"/>
    </row>
    <row r="51" spans="1:9" ht="21" customHeight="1">
      <c r="A51" s="39"/>
      <c r="B51" s="38"/>
      <c r="C51" s="3"/>
      <c r="D51" s="259"/>
      <c r="E51" s="260"/>
      <c r="F51" s="287"/>
      <c r="G51" s="260"/>
      <c r="H51" s="38"/>
      <c r="I51" s="7"/>
    </row>
    <row r="52" spans="1:9" ht="21" customHeight="1">
      <c r="A52" s="39"/>
      <c r="B52" s="38"/>
      <c r="C52" s="3"/>
      <c r="D52" s="259"/>
      <c r="E52" s="260"/>
      <c r="F52" s="287"/>
      <c r="G52" s="260"/>
      <c r="H52" s="38"/>
      <c r="I52" s="7"/>
    </row>
    <row r="53" spans="1:9" ht="21" customHeight="1">
      <c r="A53" s="39"/>
      <c r="B53" s="38"/>
      <c r="C53" s="3"/>
      <c r="D53" s="259"/>
      <c r="E53" s="260"/>
      <c r="F53" s="287"/>
      <c r="G53" s="260"/>
      <c r="H53" s="38"/>
      <c r="I53" s="7"/>
    </row>
    <row r="54" spans="1:9" ht="21" customHeight="1">
      <c r="A54" s="39"/>
      <c r="B54" s="38"/>
      <c r="C54" s="3"/>
      <c r="D54" s="259"/>
      <c r="E54" s="260"/>
      <c r="F54" s="287"/>
      <c r="G54" s="260"/>
      <c r="H54" s="38"/>
      <c r="I54" s="7"/>
    </row>
    <row r="55" spans="1:9" ht="21" customHeight="1">
      <c r="A55" s="39"/>
      <c r="B55" s="38"/>
      <c r="C55" s="3"/>
      <c r="D55" s="259"/>
      <c r="E55" s="260"/>
      <c r="F55" s="287"/>
      <c r="G55" s="260"/>
      <c r="H55" s="38"/>
      <c r="I55" s="7"/>
    </row>
    <row r="56" spans="1:9" ht="21" customHeight="1">
      <c r="A56" s="39"/>
      <c r="B56" s="38"/>
      <c r="C56" s="3"/>
      <c r="D56" s="259"/>
      <c r="E56" s="260"/>
      <c r="F56" s="287"/>
      <c r="G56" s="260"/>
      <c r="H56" s="38"/>
      <c r="I56" s="7"/>
    </row>
    <row r="57" spans="1:9" ht="21" customHeight="1">
      <c r="A57" s="39"/>
      <c r="B57" s="38"/>
      <c r="C57" s="3"/>
      <c r="D57" s="259"/>
      <c r="E57" s="260"/>
      <c r="F57" s="287"/>
      <c r="G57" s="260"/>
      <c r="H57" s="38"/>
      <c r="I57" s="7"/>
    </row>
    <row r="58" spans="1:9" ht="21" customHeight="1">
      <c r="A58" s="39"/>
      <c r="B58" s="38"/>
      <c r="C58" s="3"/>
      <c r="D58" s="259"/>
      <c r="E58" s="260"/>
      <c r="F58" s="287"/>
      <c r="G58" s="260"/>
      <c r="H58" s="38"/>
      <c r="I58" s="7"/>
    </row>
    <row r="59" spans="1:9" ht="21" customHeight="1">
      <c r="A59" s="39"/>
      <c r="B59" s="38"/>
      <c r="C59" s="3"/>
      <c r="D59" s="259"/>
      <c r="E59" s="260"/>
      <c r="F59" s="287"/>
      <c r="G59" s="260"/>
      <c r="H59" s="38"/>
      <c r="I59" s="7"/>
    </row>
    <row r="60" spans="1:9" ht="21" customHeight="1">
      <c r="A60" s="39"/>
      <c r="B60" s="38"/>
      <c r="C60" s="3"/>
      <c r="D60" s="259"/>
      <c r="E60" s="260"/>
      <c r="F60" s="287"/>
      <c r="G60" s="260"/>
      <c r="H60" s="38"/>
      <c r="I60" s="7"/>
    </row>
    <row r="61" spans="1:9" ht="21" customHeight="1">
      <c r="A61" s="39"/>
      <c r="B61" s="38"/>
      <c r="C61" s="3"/>
      <c r="D61" s="259"/>
      <c r="E61" s="260"/>
      <c r="F61" s="287"/>
      <c r="G61" s="260"/>
      <c r="H61" s="38"/>
      <c r="I61" s="7"/>
    </row>
    <row r="62" spans="1:9" ht="21" customHeight="1">
      <c r="A62" s="39"/>
      <c r="B62" s="38"/>
      <c r="C62" s="3"/>
      <c r="D62" s="259"/>
      <c r="E62" s="260"/>
      <c r="F62" s="287"/>
      <c r="G62" s="260"/>
      <c r="H62" s="38"/>
      <c r="I62" s="7"/>
    </row>
  </sheetData>
  <mergeCells count="124">
    <mergeCell ref="F60:G60"/>
    <mergeCell ref="D50:E50"/>
    <mergeCell ref="D44:E44"/>
    <mergeCell ref="D59:E59"/>
    <mergeCell ref="F53:G53"/>
    <mergeCell ref="D58:E58"/>
    <mergeCell ref="D18:E18"/>
    <mergeCell ref="F27:G27"/>
    <mergeCell ref="F58:G58"/>
    <mergeCell ref="F52:G52"/>
    <mergeCell ref="D8:E8"/>
    <mergeCell ref="F37:G37"/>
    <mergeCell ref="B3:D3"/>
    <mergeCell ref="D42:E42"/>
    <mergeCell ref="F24:G24"/>
    <mergeCell ref="D57:E57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A1:I1"/>
    <mergeCell ref="D38:E38"/>
    <mergeCell ref="F44:G44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2:E12"/>
    <mergeCell ref="D25:E25"/>
    <mergeCell ref="D30:E30"/>
    <mergeCell ref="F49:G49"/>
    <mergeCell ref="D14:E14"/>
    <mergeCell ref="E4:G4"/>
    <mergeCell ref="F14:G14"/>
    <mergeCell ref="F11:G11"/>
    <mergeCell ref="D46:E46"/>
    <mergeCell ref="F62:G62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55:E55"/>
    <mergeCell ref="D54:E54"/>
    <mergeCell ref="H4:I4"/>
    <mergeCell ref="D40:E40"/>
    <mergeCell ref="F40:G40"/>
    <mergeCell ref="D21:E21"/>
    <mergeCell ref="F59:G59"/>
    <mergeCell ref="F55:G55"/>
    <mergeCell ref="F12:G12"/>
    <mergeCell ref="D61:E61"/>
    <mergeCell ref="D48:E48"/>
    <mergeCell ref="D7:E7"/>
    <mergeCell ref="B4:D4"/>
    <mergeCell ref="F23:G23"/>
    <mergeCell ref="D62:E62"/>
    <mergeCell ref="D56:E56"/>
    <mergeCell ref="F13:G13"/>
    <mergeCell ref="F56:G56"/>
    <mergeCell ref="F43:G43"/>
    <mergeCell ref="D24:E24"/>
    <mergeCell ref="D33:E33"/>
    <mergeCell ref="D51:E51"/>
    <mergeCell ref="D26:E26"/>
    <mergeCell ref="F57:G57"/>
    <mergeCell ref="D35:E35"/>
    <mergeCell ref="D10:E10"/>
    <mergeCell ref="F54:G54"/>
    <mergeCell ref="D19:E19"/>
    <mergeCell ref="D34:E34"/>
    <mergeCell ref="F10:G10"/>
    <mergeCell ref="F19:G19"/>
    <mergeCell ref="F34:G34"/>
    <mergeCell ref="F6:G6"/>
    <mergeCell ref="D20:E20"/>
    <mergeCell ref="D60:E60"/>
    <mergeCell ref="F29:G29"/>
    <mergeCell ref="F16:G16"/>
    <mergeCell ref="F25:G25"/>
    <mergeCell ref="C5:G5"/>
    <mergeCell ref="D22:E22"/>
    <mergeCell ref="D36:E36"/>
    <mergeCell ref="D31:E31"/>
    <mergeCell ref="D45:E45"/>
    <mergeCell ref="D6:E6"/>
    <mergeCell ref="F15:G15"/>
    <mergeCell ref="D13:E13"/>
    <mergeCell ref="F30:G30"/>
    <mergeCell ref="D11:E11"/>
    <mergeCell ref="F20:G20"/>
    <mergeCell ref="F18:G18"/>
    <mergeCell ref="F33:G33"/>
    <mergeCell ref="F45:G45"/>
    <mergeCell ref="F42:G42"/>
    <mergeCell ref="F17:G17"/>
    <mergeCell ref="D53:E53"/>
    <mergeCell ref="D47:E47"/>
    <mergeCell ref="F47:G4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theme="2" tint="-0.499984740745262"/>
  </sheetPr>
  <dimension ref="A1:O86"/>
  <sheetViews>
    <sheetView topLeftCell="A7" workbookViewId="0">
      <selection activeCell="H17" sqref="H17"/>
    </sheetView>
  </sheetViews>
  <sheetFormatPr defaultColWidth="8.77734375" defaultRowHeight="16.2"/>
  <cols>
    <col min="1" max="1" width="12.77734375" style="246" bestFit="1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402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403</v>
      </c>
      <c r="C3" s="263"/>
      <c r="D3" s="260"/>
      <c r="E3" s="266" t="s">
        <v>11</v>
      </c>
      <c r="F3" s="263"/>
      <c r="G3" s="260"/>
      <c r="H3" s="268" t="s">
        <v>404</v>
      </c>
      <c r="I3" s="269"/>
      <c r="J3" s="19" t="str">
        <f>B3</f>
        <v>Halcion 0.25mg</v>
      </c>
      <c r="K3" s="4">
        <v>21726</v>
      </c>
      <c r="L3" s="5">
        <f>H7</f>
        <v>136.5</v>
      </c>
      <c r="M3" s="3">
        <f>SUM(C$8:C$1048576)</f>
        <v>300</v>
      </c>
      <c r="N3" s="3">
        <f>SUM(F:F)</f>
        <v>312</v>
      </c>
      <c r="O3" s="3">
        <f>L3+M3-N3</f>
        <v>124.5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406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407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136.5</v>
      </c>
      <c r="D7" s="280"/>
      <c r="E7" s="260"/>
      <c r="F7" s="280"/>
      <c r="G7" s="260"/>
      <c r="H7" s="155">
        <v>136.5</v>
      </c>
      <c r="I7" s="210" t="s">
        <v>331</v>
      </c>
      <c r="J7" s="12"/>
      <c r="K7" s="3"/>
      <c r="L7" s="3"/>
      <c r="M7" s="3"/>
      <c r="N7" s="3"/>
      <c r="O7" s="3"/>
    </row>
    <row r="8" spans="1:15" ht="26.7" customHeight="1">
      <c r="A8" s="39" t="s">
        <v>333</v>
      </c>
      <c r="B8" s="38" t="s">
        <v>323</v>
      </c>
      <c r="C8" s="38"/>
      <c r="D8" s="279"/>
      <c r="E8" s="260"/>
      <c r="F8" s="279">
        <v>30</v>
      </c>
      <c r="G8" s="260"/>
      <c r="H8" s="38">
        <f>H7-F8</f>
        <v>106.5</v>
      </c>
      <c r="I8" s="90" t="s">
        <v>408</v>
      </c>
      <c r="J8" s="12"/>
    </row>
    <row r="9" spans="1:15" ht="26.7" customHeight="1">
      <c r="A9" s="39" t="s">
        <v>409</v>
      </c>
      <c r="B9" s="38" t="s">
        <v>323</v>
      </c>
      <c r="C9" s="38"/>
      <c r="D9" s="279"/>
      <c r="E9" s="260"/>
      <c r="F9" s="279">
        <v>42</v>
      </c>
      <c r="G9" s="260"/>
      <c r="H9" s="38">
        <f>H8-F9</f>
        <v>64.5</v>
      </c>
      <c r="I9" s="199" t="s">
        <v>410</v>
      </c>
      <c r="J9" s="12"/>
    </row>
    <row r="10" spans="1:15" ht="26.7" customHeight="1">
      <c r="A10" s="39" t="s">
        <v>411</v>
      </c>
      <c r="B10" s="38" t="s">
        <v>323</v>
      </c>
      <c r="C10" s="38"/>
      <c r="D10" s="279"/>
      <c r="E10" s="260"/>
      <c r="F10" s="279">
        <v>42</v>
      </c>
      <c r="G10" s="260"/>
      <c r="H10" s="38">
        <f>H9-F10</f>
        <v>22.5</v>
      </c>
      <c r="I10" s="199" t="s">
        <v>410</v>
      </c>
      <c r="J10" s="12"/>
    </row>
    <row r="11" spans="1:15" ht="26.7" customHeight="1">
      <c r="A11" s="39" t="s">
        <v>412</v>
      </c>
      <c r="B11" s="148" t="s">
        <v>324</v>
      </c>
      <c r="C11" s="38">
        <v>100</v>
      </c>
      <c r="D11" s="279" t="s">
        <v>413</v>
      </c>
      <c r="E11" s="260"/>
      <c r="F11" s="279"/>
      <c r="G11" s="260"/>
      <c r="H11" s="38">
        <v>122.5</v>
      </c>
      <c r="I11" s="108" t="s">
        <v>414</v>
      </c>
      <c r="J11" s="12"/>
    </row>
    <row r="12" spans="1:15" ht="26.7" customHeight="1">
      <c r="A12" s="39" t="s">
        <v>415</v>
      </c>
      <c r="B12" s="38" t="s">
        <v>323</v>
      </c>
      <c r="C12" s="38"/>
      <c r="D12" s="279"/>
      <c r="E12" s="260"/>
      <c r="F12" s="279">
        <v>42</v>
      </c>
      <c r="G12" s="260"/>
      <c r="H12" s="38">
        <f>H11-F12</f>
        <v>80.5</v>
      </c>
      <c r="I12" s="199" t="s">
        <v>410</v>
      </c>
      <c r="J12" s="12"/>
    </row>
    <row r="13" spans="1:15" ht="26.7" customHeight="1">
      <c r="A13" s="39" t="s">
        <v>416</v>
      </c>
      <c r="B13" s="38" t="s">
        <v>323</v>
      </c>
      <c r="C13" s="38"/>
      <c r="D13" s="279"/>
      <c r="E13" s="260"/>
      <c r="F13" s="279">
        <v>42</v>
      </c>
      <c r="G13" s="260"/>
      <c r="H13" s="38">
        <f>H12-F13</f>
        <v>38.5</v>
      </c>
      <c r="I13" s="108" t="s">
        <v>417</v>
      </c>
      <c r="J13" s="12"/>
    </row>
    <row r="14" spans="1:15" ht="20.25" customHeight="1">
      <c r="A14" s="39" t="s">
        <v>418</v>
      </c>
      <c r="B14" s="38" t="s">
        <v>324</v>
      </c>
      <c r="C14" s="38">
        <v>100</v>
      </c>
      <c r="D14" s="279" t="s">
        <v>419</v>
      </c>
      <c r="E14" s="260"/>
      <c r="F14" s="279"/>
      <c r="G14" s="260"/>
      <c r="H14" s="38">
        <v>138.5</v>
      </c>
      <c r="I14" s="199" t="s">
        <v>410</v>
      </c>
      <c r="J14" s="3"/>
    </row>
    <row r="15" spans="1:15" ht="23.25" customHeight="1">
      <c r="A15" s="39" t="s">
        <v>420</v>
      </c>
      <c r="B15" s="38" t="s">
        <v>323</v>
      </c>
      <c r="C15" s="38"/>
      <c r="D15" s="279"/>
      <c r="E15" s="260"/>
      <c r="F15" s="279">
        <v>72</v>
      </c>
      <c r="G15" s="260"/>
      <c r="H15" s="38">
        <f>H14-F15</f>
        <v>66.5</v>
      </c>
      <c r="I15" s="90" t="s">
        <v>408</v>
      </c>
    </row>
    <row r="16" spans="1:15" ht="21" customHeight="1">
      <c r="A16" s="39" t="s">
        <v>421</v>
      </c>
      <c r="B16" s="38" t="s">
        <v>323</v>
      </c>
      <c r="C16" s="38"/>
      <c r="D16" s="279"/>
      <c r="E16" s="260"/>
      <c r="F16" s="279">
        <v>42</v>
      </c>
      <c r="G16" s="260"/>
      <c r="H16" s="38">
        <f>H15-F16</f>
        <v>24.5</v>
      </c>
      <c r="I16" s="199" t="s">
        <v>410</v>
      </c>
    </row>
    <row r="17" spans="1:9" ht="18.75" customHeight="1">
      <c r="A17" s="39" t="s">
        <v>370</v>
      </c>
      <c r="B17" s="38" t="s">
        <v>324</v>
      </c>
      <c r="C17" s="38">
        <v>100</v>
      </c>
      <c r="D17" s="279" t="s">
        <v>422</v>
      </c>
      <c r="E17" s="260"/>
      <c r="F17" s="279"/>
      <c r="G17" s="260"/>
      <c r="H17" s="38">
        <v>124.5</v>
      </c>
      <c r="I17" s="90" t="s">
        <v>414</v>
      </c>
    </row>
    <row r="18" spans="1:9" ht="20.25" customHeight="1">
      <c r="A18" s="39"/>
      <c r="B18" s="38"/>
      <c r="C18" s="38"/>
      <c r="D18" s="279"/>
      <c r="E18" s="260"/>
      <c r="F18" s="279"/>
      <c r="G18" s="260"/>
      <c r="H18" s="38"/>
    </row>
    <row r="19" spans="1:9" ht="21" customHeight="1">
      <c r="A19" s="39"/>
      <c r="B19" s="38"/>
      <c r="C19" s="38"/>
      <c r="D19" s="279"/>
      <c r="E19" s="260"/>
      <c r="F19" s="279"/>
      <c r="G19" s="260"/>
      <c r="H19" s="38"/>
      <c r="I19" s="199" t="s">
        <v>410</v>
      </c>
    </row>
    <row r="20" spans="1:9">
      <c r="A20" s="39"/>
      <c r="B20" s="38"/>
      <c r="C20" s="38"/>
      <c r="D20" s="279"/>
      <c r="E20" s="260"/>
      <c r="F20" s="279"/>
      <c r="G20" s="260"/>
      <c r="H20" s="38"/>
      <c r="I20" s="90" t="s">
        <v>414</v>
      </c>
    </row>
    <row r="21" spans="1:9">
      <c r="A21" s="39"/>
      <c r="B21" s="38"/>
      <c r="C21" s="38"/>
      <c r="D21" s="279"/>
      <c r="E21" s="260"/>
      <c r="F21" s="279"/>
      <c r="G21" s="260"/>
      <c r="H21" s="38"/>
      <c r="I21" s="90"/>
    </row>
    <row r="22" spans="1:9">
      <c r="A22" s="39"/>
      <c r="B22" s="38"/>
      <c r="C22" s="38"/>
      <c r="D22" s="279"/>
      <c r="E22" s="260"/>
      <c r="F22" s="279"/>
      <c r="G22" s="260"/>
      <c r="H22" s="38"/>
      <c r="I22" s="90"/>
    </row>
    <row r="23" spans="1:9">
      <c r="A23" s="39"/>
      <c r="B23" s="38"/>
      <c r="C23" s="38"/>
      <c r="D23" s="279"/>
      <c r="E23" s="260"/>
      <c r="F23" s="279"/>
      <c r="G23" s="260"/>
      <c r="H23" s="38"/>
      <c r="I23" s="90"/>
    </row>
    <row r="24" spans="1:9">
      <c r="A24" s="39"/>
      <c r="B24" s="38"/>
      <c r="C24" s="38"/>
      <c r="D24" s="279"/>
      <c r="E24" s="260"/>
      <c r="F24" s="279"/>
      <c r="G24" s="260"/>
      <c r="H24" s="38"/>
      <c r="I24" s="90"/>
    </row>
    <row r="25" spans="1:9">
      <c r="A25" s="39"/>
      <c r="B25" s="38"/>
      <c r="C25" s="38"/>
      <c r="D25" s="279"/>
      <c r="E25" s="260"/>
      <c r="F25" s="279"/>
      <c r="G25" s="260"/>
      <c r="H25" s="38"/>
      <c r="I25" s="90"/>
    </row>
    <row r="26" spans="1:9">
      <c r="A26" s="39"/>
      <c r="B26" s="38"/>
      <c r="C26" s="38"/>
      <c r="D26" s="279"/>
      <c r="E26" s="260"/>
      <c r="F26" s="279"/>
      <c r="G26" s="260"/>
      <c r="H26" s="38"/>
      <c r="I26" s="90"/>
    </row>
    <row r="27" spans="1:9">
      <c r="A27" s="39"/>
      <c r="B27" s="38"/>
      <c r="C27" s="38"/>
      <c r="D27" s="279"/>
      <c r="E27" s="260"/>
      <c r="F27" s="279"/>
      <c r="G27" s="260"/>
      <c r="H27" s="38"/>
      <c r="I27" s="90"/>
    </row>
    <row r="28" spans="1:9">
      <c r="A28" s="39"/>
      <c r="B28" s="38"/>
      <c r="C28" s="38"/>
      <c r="D28" s="279"/>
      <c r="E28" s="260"/>
      <c r="F28" s="279"/>
      <c r="G28" s="260"/>
      <c r="H28" s="38"/>
      <c r="I28" s="90"/>
    </row>
    <row r="29" spans="1:9">
      <c r="A29" s="39"/>
      <c r="B29" s="38"/>
      <c r="C29" s="38"/>
      <c r="D29" s="279"/>
      <c r="E29" s="260"/>
      <c r="F29" s="279"/>
      <c r="G29" s="260"/>
      <c r="H29" s="38"/>
      <c r="I29" s="90"/>
    </row>
    <row r="30" spans="1:9">
      <c r="A30" s="39"/>
      <c r="B30" s="38"/>
      <c r="C30" s="38"/>
      <c r="D30" s="279"/>
      <c r="E30" s="260"/>
      <c r="F30" s="279"/>
      <c r="G30" s="260"/>
      <c r="H30" s="38"/>
      <c r="I30" s="90"/>
    </row>
    <row r="31" spans="1:9">
      <c r="A31" s="39"/>
      <c r="B31" s="38"/>
      <c r="C31" s="38"/>
      <c r="D31" s="279"/>
      <c r="E31" s="260"/>
      <c r="F31" s="279"/>
      <c r="G31" s="260"/>
      <c r="H31" s="38"/>
      <c r="I31" s="90"/>
    </row>
    <row r="32" spans="1:9">
      <c r="A32" s="39"/>
      <c r="B32" s="38"/>
      <c r="C32" s="38"/>
      <c r="D32" s="279"/>
      <c r="E32" s="260"/>
      <c r="F32" s="279"/>
      <c r="G32" s="260"/>
      <c r="H32" s="38"/>
      <c r="I32" s="90"/>
    </row>
    <row r="33" spans="1:9">
      <c r="A33" s="39"/>
      <c r="B33" s="38"/>
      <c r="C33" s="38"/>
      <c r="D33" s="279"/>
      <c r="E33" s="260"/>
      <c r="F33" s="279"/>
      <c r="G33" s="260"/>
      <c r="H33" s="38"/>
      <c r="I33" s="90"/>
    </row>
    <row r="34" spans="1:9">
      <c r="A34" s="39"/>
      <c r="B34" s="38"/>
      <c r="C34" s="38"/>
      <c r="D34" s="279"/>
      <c r="E34" s="260"/>
      <c r="F34" s="279"/>
      <c r="G34" s="260"/>
      <c r="H34" s="38"/>
      <c r="I34" s="90"/>
    </row>
    <row r="35" spans="1:9">
      <c r="A35" s="39"/>
      <c r="B35" s="38"/>
      <c r="C35" s="38"/>
      <c r="D35" s="279"/>
      <c r="E35" s="260"/>
      <c r="F35" s="279"/>
      <c r="G35" s="260"/>
      <c r="H35" s="38"/>
      <c r="I35" s="90"/>
    </row>
    <row r="36" spans="1:9">
      <c r="A36" s="39"/>
      <c r="B36" s="38"/>
      <c r="C36" s="38"/>
      <c r="D36" s="279"/>
      <c r="E36" s="260"/>
      <c r="F36" s="279"/>
      <c r="G36" s="260"/>
      <c r="H36" s="38"/>
      <c r="I36" s="90"/>
    </row>
    <row r="37" spans="1:9">
      <c r="A37" s="39"/>
      <c r="B37" s="38"/>
      <c r="C37" s="38"/>
      <c r="D37" s="279"/>
      <c r="E37" s="260"/>
      <c r="F37" s="279"/>
      <c r="G37" s="260"/>
      <c r="H37" s="38"/>
      <c r="I37" s="90"/>
    </row>
    <row r="38" spans="1:9">
      <c r="A38" s="39"/>
      <c r="B38" s="38"/>
      <c r="C38" s="38"/>
      <c r="D38" s="279"/>
      <c r="E38" s="260"/>
      <c r="F38" s="279"/>
      <c r="G38" s="260"/>
      <c r="H38" s="38"/>
      <c r="I38" s="90"/>
    </row>
    <row r="39" spans="1:9">
      <c r="A39" s="39"/>
      <c r="B39" s="38"/>
      <c r="C39" s="38"/>
      <c r="D39" s="279"/>
      <c r="E39" s="260"/>
      <c r="F39" s="279"/>
      <c r="G39" s="260"/>
      <c r="H39" s="38"/>
      <c r="I39" s="90"/>
    </row>
    <row r="40" spans="1:9">
      <c r="A40" s="39"/>
      <c r="B40" s="38"/>
      <c r="C40" s="38"/>
      <c r="D40" s="279"/>
      <c r="E40" s="260"/>
      <c r="F40" s="279"/>
      <c r="G40" s="260"/>
      <c r="H40" s="38"/>
      <c r="I40" s="90"/>
    </row>
    <row r="41" spans="1:9">
      <c r="A41" s="39"/>
      <c r="B41" s="38"/>
      <c r="C41" s="38"/>
      <c r="D41" s="279"/>
      <c r="E41" s="260"/>
      <c r="F41" s="279"/>
      <c r="G41" s="260"/>
      <c r="H41" s="38"/>
      <c r="I41" s="90"/>
    </row>
    <row r="42" spans="1:9">
      <c r="A42" s="39"/>
      <c r="B42" s="38"/>
      <c r="C42" s="38"/>
      <c r="D42" s="279"/>
      <c r="E42" s="260"/>
      <c r="F42" s="279"/>
      <c r="G42" s="260"/>
      <c r="H42" s="38"/>
      <c r="I42" s="90"/>
    </row>
    <row r="43" spans="1:9">
      <c r="A43" s="39"/>
      <c r="B43" s="38"/>
      <c r="C43" s="38"/>
      <c r="D43" s="279"/>
      <c r="E43" s="260"/>
      <c r="F43" s="279"/>
      <c r="G43" s="260"/>
      <c r="H43" s="38"/>
      <c r="I43" s="90"/>
    </row>
    <row r="44" spans="1:9">
      <c r="A44" s="39"/>
      <c r="B44" s="38"/>
      <c r="C44" s="38"/>
      <c r="D44" s="279"/>
      <c r="E44" s="260"/>
      <c r="F44" s="279"/>
      <c r="G44" s="260"/>
      <c r="H44" s="38"/>
      <c r="I44" s="90"/>
    </row>
    <row r="45" spans="1:9">
      <c r="A45" s="39"/>
      <c r="B45" s="38"/>
      <c r="C45" s="38"/>
      <c r="D45" s="279"/>
      <c r="E45" s="260"/>
      <c r="F45" s="279"/>
      <c r="G45" s="260"/>
      <c r="H45" s="38"/>
      <c r="I45" s="90"/>
    </row>
    <row r="46" spans="1:9">
      <c r="A46" s="39"/>
      <c r="B46" s="38"/>
      <c r="C46" s="38"/>
      <c r="D46" s="279"/>
      <c r="E46" s="260"/>
      <c r="F46" s="279"/>
      <c r="G46" s="260"/>
      <c r="H46" s="38"/>
      <c r="I46" s="90"/>
    </row>
    <row r="47" spans="1:9">
      <c r="A47" s="39"/>
      <c r="B47" s="38"/>
      <c r="C47" s="38"/>
      <c r="D47" s="279"/>
      <c r="E47" s="260"/>
      <c r="F47" s="279"/>
      <c r="G47" s="260"/>
      <c r="H47" s="38"/>
      <c r="I47" s="90"/>
    </row>
    <row r="48" spans="1:9">
      <c r="A48" s="39"/>
      <c r="B48" s="38"/>
      <c r="C48" s="38"/>
      <c r="D48" s="279"/>
      <c r="E48" s="260"/>
      <c r="F48" s="279"/>
      <c r="G48" s="260"/>
      <c r="H48" s="38"/>
      <c r="I48" s="90"/>
    </row>
    <row r="49" spans="1:9">
      <c r="A49" s="39"/>
      <c r="B49" s="38"/>
      <c r="C49" s="38"/>
      <c r="D49" s="279"/>
      <c r="E49" s="260"/>
      <c r="F49" s="279"/>
      <c r="G49" s="260"/>
      <c r="H49" s="38"/>
      <c r="I49" s="90"/>
    </row>
    <row r="50" spans="1:9">
      <c r="A50" s="39"/>
      <c r="B50" s="38"/>
      <c r="C50" s="38"/>
      <c r="D50" s="279"/>
      <c r="E50" s="260"/>
      <c r="F50" s="279"/>
      <c r="G50" s="260"/>
      <c r="H50" s="38"/>
      <c r="I50" s="90"/>
    </row>
    <row r="51" spans="1:9">
      <c r="A51" s="39"/>
      <c r="B51" s="38"/>
      <c r="C51" s="38"/>
      <c r="D51" s="279"/>
      <c r="E51" s="260"/>
      <c r="F51" s="279"/>
      <c r="G51" s="260"/>
      <c r="H51" s="38"/>
      <c r="I51" s="90"/>
    </row>
    <row r="52" spans="1:9">
      <c r="A52" s="39"/>
      <c r="B52" s="38"/>
      <c r="C52" s="38"/>
      <c r="D52" s="279"/>
      <c r="E52" s="260"/>
      <c r="F52" s="279"/>
      <c r="G52" s="260"/>
      <c r="H52" s="38"/>
      <c r="I52" s="90"/>
    </row>
    <row r="53" spans="1:9">
      <c r="A53" s="39"/>
      <c r="B53" s="38"/>
      <c r="C53" s="38"/>
      <c r="D53" s="279"/>
      <c r="E53" s="260"/>
      <c r="F53" s="279"/>
      <c r="G53" s="260"/>
      <c r="H53" s="38"/>
      <c r="I53" s="90"/>
    </row>
    <row r="54" spans="1:9">
      <c r="A54" s="39"/>
      <c r="B54" s="38"/>
      <c r="C54" s="38"/>
      <c r="D54" s="279"/>
      <c r="E54" s="260"/>
      <c r="F54" s="279"/>
      <c r="G54" s="260"/>
      <c r="H54" s="38"/>
      <c r="I54" s="90"/>
    </row>
    <row r="55" spans="1:9">
      <c r="A55" s="39"/>
      <c r="B55" s="38"/>
      <c r="C55" s="38"/>
      <c r="D55" s="279"/>
      <c r="E55" s="260"/>
      <c r="F55" s="279"/>
      <c r="G55" s="260"/>
      <c r="H55" s="38"/>
      <c r="I55" s="90"/>
    </row>
    <row r="56" spans="1:9">
      <c r="A56" s="39"/>
      <c r="B56" s="38"/>
      <c r="C56" s="38"/>
      <c r="D56" s="279"/>
      <c r="E56" s="260"/>
      <c r="F56" s="279"/>
      <c r="G56" s="260"/>
      <c r="H56" s="38"/>
      <c r="I56" s="90"/>
    </row>
    <row r="57" spans="1:9">
      <c r="A57" s="39"/>
      <c r="B57" s="38"/>
      <c r="C57" s="38"/>
      <c r="D57" s="279"/>
      <c r="E57" s="260"/>
      <c r="F57" s="279"/>
      <c r="G57" s="260"/>
      <c r="H57" s="38"/>
      <c r="I57" s="90"/>
    </row>
    <row r="58" spans="1:9">
      <c r="A58" s="39"/>
      <c r="B58" s="38"/>
      <c r="C58" s="38"/>
      <c r="D58" s="279"/>
      <c r="E58" s="260"/>
      <c r="F58" s="279"/>
      <c r="G58" s="260"/>
      <c r="H58" s="38"/>
      <c r="I58" s="90"/>
    </row>
    <row r="59" spans="1:9">
      <c r="A59" s="39"/>
      <c r="B59" s="38"/>
      <c r="C59" s="38"/>
      <c r="D59" s="279"/>
      <c r="E59" s="260"/>
      <c r="F59" s="279"/>
      <c r="G59" s="260"/>
      <c r="H59" s="38"/>
      <c r="I59" s="90"/>
    </row>
    <row r="60" spans="1:9">
      <c r="A60" s="39"/>
      <c r="B60" s="38"/>
      <c r="C60" s="38"/>
      <c r="D60" s="279"/>
      <c r="E60" s="260"/>
      <c r="F60" s="279"/>
      <c r="G60" s="260"/>
      <c r="H60" s="38"/>
      <c r="I60" s="90"/>
    </row>
    <row r="61" spans="1:9">
      <c r="A61" s="39"/>
      <c r="B61" s="38"/>
      <c r="C61" s="38"/>
      <c r="D61" s="279"/>
      <c r="E61" s="260"/>
      <c r="F61" s="279"/>
      <c r="G61" s="260"/>
      <c r="H61" s="38"/>
      <c r="I61" s="90"/>
    </row>
    <row r="62" spans="1:9">
      <c r="A62" s="39"/>
      <c r="B62" s="38"/>
      <c r="C62" s="38"/>
      <c r="D62" s="279"/>
      <c r="E62" s="260"/>
      <c r="F62" s="279"/>
      <c r="G62" s="260"/>
      <c r="H62" s="38"/>
      <c r="I62" s="90"/>
    </row>
    <row r="63" spans="1:9">
      <c r="A63" s="39"/>
      <c r="B63" s="38"/>
      <c r="C63" s="38"/>
      <c r="D63" s="279"/>
      <c r="E63" s="260"/>
      <c r="F63" s="279"/>
      <c r="G63" s="260"/>
      <c r="H63" s="38"/>
      <c r="I63" s="90"/>
    </row>
    <row r="64" spans="1:9">
      <c r="A64" s="39"/>
      <c r="B64" s="38"/>
      <c r="C64" s="38"/>
      <c r="D64" s="279"/>
      <c r="E64" s="260"/>
      <c r="F64" s="279"/>
      <c r="G64" s="260"/>
      <c r="H64" s="38"/>
      <c r="I64" s="90"/>
    </row>
    <row r="65" spans="1:9">
      <c r="A65" s="39"/>
      <c r="B65" s="38"/>
      <c r="C65" s="38"/>
      <c r="D65" s="279"/>
      <c r="E65" s="260"/>
      <c r="F65" s="279"/>
      <c r="G65" s="260"/>
      <c r="H65" s="38"/>
      <c r="I65" s="90"/>
    </row>
    <row r="66" spans="1:9">
      <c r="A66" s="39"/>
      <c r="B66" s="38"/>
      <c r="C66" s="38"/>
      <c r="D66" s="279"/>
      <c r="E66" s="260"/>
      <c r="F66" s="279"/>
      <c r="G66" s="260"/>
      <c r="H66" s="38"/>
      <c r="I66" s="90"/>
    </row>
    <row r="67" spans="1:9">
      <c r="A67" s="39"/>
      <c r="B67" s="38"/>
      <c r="C67" s="38"/>
      <c r="D67" s="279"/>
      <c r="E67" s="260"/>
      <c r="F67" s="279"/>
      <c r="G67" s="260"/>
      <c r="H67" s="38"/>
      <c r="I67" s="90"/>
    </row>
    <row r="68" spans="1:9">
      <c r="A68" s="39"/>
      <c r="B68" s="38"/>
      <c r="C68" s="38"/>
      <c r="D68" s="279"/>
      <c r="E68" s="260"/>
      <c r="F68" s="279"/>
      <c r="G68" s="260"/>
      <c r="H68" s="38"/>
      <c r="I68" s="90"/>
    </row>
    <row r="69" spans="1:9">
      <c r="A69" s="39"/>
      <c r="B69" s="38"/>
      <c r="C69" s="38"/>
      <c r="D69" s="279"/>
      <c r="E69" s="260"/>
      <c r="F69" s="279"/>
      <c r="G69" s="260"/>
      <c r="H69" s="38"/>
      <c r="I69" s="90"/>
    </row>
    <row r="70" spans="1:9" ht="21" customHeight="1">
      <c r="A70" s="39"/>
      <c r="B70" s="38"/>
      <c r="C70" s="56"/>
      <c r="D70" s="279"/>
      <c r="E70" s="260"/>
      <c r="F70" s="279"/>
      <c r="G70" s="260"/>
      <c r="H70" s="38"/>
      <c r="I70" s="7"/>
    </row>
    <row r="71" spans="1:9" ht="21" customHeight="1">
      <c r="A71" s="39"/>
      <c r="B71" s="38"/>
      <c r="C71" s="56"/>
      <c r="D71" s="279"/>
      <c r="E71" s="260"/>
      <c r="F71" s="279"/>
      <c r="G71" s="260"/>
      <c r="H71" s="38"/>
      <c r="I71" s="7"/>
    </row>
    <row r="72" spans="1:9" ht="21" customHeight="1">
      <c r="A72" s="39"/>
      <c r="B72" s="38"/>
      <c r="C72" s="56"/>
      <c r="D72" s="279"/>
      <c r="E72" s="260"/>
      <c r="F72" s="279"/>
      <c r="G72" s="260"/>
      <c r="H72" s="38"/>
      <c r="I72" s="7"/>
    </row>
    <row r="73" spans="1:9" ht="21" customHeight="1">
      <c r="A73" s="39"/>
      <c r="B73" s="38"/>
      <c r="C73" s="56"/>
      <c r="D73" s="279"/>
      <c r="E73" s="260"/>
      <c r="F73" s="279"/>
      <c r="G73" s="260"/>
      <c r="H73" s="38"/>
      <c r="I73" s="7"/>
    </row>
    <row r="74" spans="1:9" ht="21" customHeight="1">
      <c r="A74" s="39"/>
      <c r="B74" s="38"/>
      <c r="C74" s="56"/>
      <c r="D74" s="279"/>
      <c r="E74" s="260"/>
      <c r="F74" s="279"/>
      <c r="G74" s="260"/>
      <c r="H74" s="38"/>
      <c r="I74" s="7"/>
    </row>
    <row r="75" spans="1:9" ht="21" customHeight="1">
      <c r="A75" s="39"/>
      <c r="B75" s="38"/>
      <c r="C75" s="56"/>
      <c r="D75" s="279"/>
      <c r="E75" s="260"/>
      <c r="F75" s="279"/>
      <c r="G75" s="260"/>
      <c r="H75" s="38"/>
      <c r="I75" s="7"/>
    </row>
    <row r="76" spans="1:9" ht="21" customHeight="1">
      <c r="A76" s="39"/>
      <c r="B76" s="38"/>
      <c r="C76" s="56"/>
      <c r="D76" s="279"/>
      <c r="E76" s="260"/>
      <c r="F76" s="279"/>
      <c r="G76" s="260"/>
      <c r="H76" s="38"/>
      <c r="I76" s="7"/>
    </row>
    <row r="77" spans="1:9" ht="21" customHeight="1">
      <c r="A77" s="39"/>
      <c r="B77" s="38"/>
      <c r="C77" s="56"/>
      <c r="D77" s="279"/>
      <c r="E77" s="260"/>
      <c r="F77" s="279"/>
      <c r="G77" s="260"/>
      <c r="H77" s="38"/>
      <c r="I77" s="7"/>
    </row>
    <row r="78" spans="1:9" ht="21" customHeight="1">
      <c r="A78" s="39"/>
      <c r="B78" s="38"/>
      <c r="C78" s="56"/>
      <c r="D78" s="279"/>
      <c r="E78" s="260"/>
      <c r="F78" s="279"/>
      <c r="G78" s="260"/>
      <c r="H78" s="38"/>
      <c r="I78" s="7"/>
    </row>
    <row r="79" spans="1:9" ht="21" customHeight="1">
      <c r="A79" s="39"/>
      <c r="B79" s="38"/>
      <c r="C79" s="56"/>
      <c r="D79" s="279"/>
      <c r="E79" s="260"/>
      <c r="F79" s="279"/>
      <c r="G79" s="260"/>
      <c r="H79" s="38"/>
      <c r="I79" s="7"/>
    </row>
    <row r="80" spans="1:9" ht="21" customHeight="1">
      <c r="A80" s="39"/>
      <c r="B80" s="38"/>
      <c r="C80" s="56"/>
      <c r="D80" s="279"/>
      <c r="E80" s="260"/>
      <c r="F80" s="279"/>
      <c r="G80" s="260"/>
      <c r="H80" s="38"/>
      <c r="I80" s="7"/>
    </row>
    <row r="81" spans="1:9" ht="21" customHeight="1">
      <c r="A81" s="39"/>
      <c r="B81" s="38"/>
      <c r="C81" s="56"/>
      <c r="D81" s="279"/>
      <c r="E81" s="260"/>
      <c r="F81" s="279"/>
      <c r="G81" s="260"/>
      <c r="H81" s="38"/>
      <c r="I81" s="7"/>
    </row>
    <row r="82" spans="1:9" ht="21" customHeight="1">
      <c r="A82" s="39"/>
      <c r="B82" s="38"/>
      <c r="C82" s="56"/>
      <c r="D82" s="279"/>
      <c r="E82" s="260"/>
      <c r="F82" s="279"/>
      <c r="G82" s="260"/>
      <c r="H82" s="38"/>
      <c r="I82" s="7"/>
    </row>
    <row r="83" spans="1:9" ht="21" customHeight="1">
      <c r="A83" s="58"/>
      <c r="B83" s="38"/>
      <c r="C83" s="56"/>
      <c r="D83" s="279"/>
      <c r="E83" s="260"/>
      <c r="F83" s="279"/>
      <c r="G83" s="260"/>
      <c r="H83" s="38"/>
      <c r="I83" s="7"/>
    </row>
    <row r="84" spans="1:9" ht="21" customHeight="1">
      <c r="A84" s="58"/>
      <c r="B84" s="38"/>
      <c r="C84" s="56"/>
      <c r="D84" s="279"/>
      <c r="E84" s="260"/>
      <c r="F84" s="279"/>
      <c r="G84" s="260"/>
      <c r="H84" s="38"/>
      <c r="I84" s="7"/>
    </row>
    <row r="85" spans="1:9" ht="21" customHeight="1">
      <c r="A85" s="58"/>
      <c r="B85" s="38"/>
      <c r="C85" s="57"/>
      <c r="D85" s="279"/>
      <c r="E85" s="260"/>
      <c r="F85" s="279"/>
      <c r="G85" s="260"/>
      <c r="H85" s="38"/>
      <c r="I85" s="7"/>
    </row>
    <row r="86" spans="1:9" ht="21" customHeight="1">
      <c r="A86" s="58"/>
      <c r="B86" s="38"/>
      <c r="C86" s="56"/>
      <c r="D86" s="279"/>
      <c r="E86" s="260"/>
      <c r="F86" s="279"/>
      <c r="G86" s="260"/>
      <c r="H86" s="38"/>
      <c r="I86" s="7"/>
    </row>
  </sheetData>
  <mergeCells count="172"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D44:E44"/>
    <mergeCell ref="H4:I4"/>
    <mergeCell ref="D40:E40"/>
    <mergeCell ref="D80:E80"/>
    <mergeCell ref="F40:G40"/>
    <mergeCell ref="D21:E21"/>
    <mergeCell ref="F59:G59"/>
    <mergeCell ref="F55:G55"/>
    <mergeCell ref="F12:G12"/>
    <mergeCell ref="F24:G24"/>
    <mergeCell ref="D57:E57"/>
    <mergeCell ref="D58:E58"/>
    <mergeCell ref="F58:G58"/>
    <mergeCell ref="F52:G52"/>
    <mergeCell ref="F67:G67"/>
    <mergeCell ref="D74:E74"/>
    <mergeCell ref="D68:E68"/>
    <mergeCell ref="F60:G60"/>
    <mergeCell ref="D59:E59"/>
    <mergeCell ref="F53:G53"/>
    <mergeCell ref="D14:E14"/>
    <mergeCell ref="D85:E85"/>
    <mergeCell ref="F14:G14"/>
    <mergeCell ref="D54:E54"/>
    <mergeCell ref="E4:G4"/>
    <mergeCell ref="D69:E69"/>
    <mergeCell ref="F11:G11"/>
    <mergeCell ref="F69:G69"/>
    <mergeCell ref="F78:G78"/>
    <mergeCell ref="F65:G65"/>
    <mergeCell ref="D46:E46"/>
    <mergeCell ref="D82:E82"/>
    <mergeCell ref="F82:G82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44:G44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2:E12"/>
    <mergeCell ref="F85:G85"/>
    <mergeCell ref="F42:G42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79:E79"/>
    <mergeCell ref="F64:G64"/>
    <mergeCell ref="F73:G73"/>
    <mergeCell ref="D63:E63"/>
    <mergeCell ref="D81:E81"/>
    <mergeCell ref="D65:E65"/>
    <mergeCell ref="D83:E83"/>
    <mergeCell ref="D25:E25"/>
    <mergeCell ref="F77:G77"/>
    <mergeCell ref="B4:D4"/>
    <mergeCell ref="F81:G81"/>
    <mergeCell ref="F23:G23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D26:E26"/>
    <mergeCell ref="F57:G57"/>
    <mergeCell ref="D35:E35"/>
    <mergeCell ref="D10:E10"/>
    <mergeCell ref="F54:G54"/>
    <mergeCell ref="D19:E19"/>
    <mergeCell ref="D34:E34"/>
    <mergeCell ref="F10:G10"/>
    <mergeCell ref="F19:G19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34:G34"/>
    <mergeCell ref="F63:G63"/>
    <mergeCell ref="F74:G74"/>
    <mergeCell ref="F83:G83"/>
    <mergeCell ref="F30:G30"/>
    <mergeCell ref="D76:E76"/>
    <mergeCell ref="F20:G20"/>
    <mergeCell ref="F76:G76"/>
    <mergeCell ref="F18:G18"/>
    <mergeCell ref="F45:G45"/>
    <mergeCell ref="F33:G3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F6:G6"/>
    <mergeCell ref="D11:E11"/>
    <mergeCell ref="D9:E9"/>
    <mergeCell ref="F9:G9"/>
    <mergeCell ref="D55:E55"/>
    <mergeCell ref="D30:E30"/>
    <mergeCell ref="D67:E67"/>
    <mergeCell ref="F49:G49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O104"/>
  <sheetViews>
    <sheetView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423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424</v>
      </c>
      <c r="C3" s="263"/>
      <c r="D3" s="260"/>
      <c r="E3" s="266" t="s">
        <v>11</v>
      </c>
      <c r="F3" s="263"/>
      <c r="G3" s="260"/>
      <c r="H3" s="268" t="s">
        <v>425</v>
      </c>
      <c r="I3" s="269"/>
      <c r="J3" s="19" t="str">
        <f>B3</f>
        <v>Onsleep 10mg</v>
      </c>
      <c r="K3" s="4">
        <v>49166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426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427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O52"/>
  <sheetViews>
    <sheetView workbookViewId="0">
      <pane ySplit="3" topLeftCell="A29" activePane="bottomLeft" state="frozen"/>
      <selection activeCell="A21" sqref="A21"/>
      <selection pane="bottomLeft" activeCell="H36" sqref="H36"/>
    </sheetView>
  </sheetViews>
  <sheetFormatPr defaultColWidth="8.77734375" defaultRowHeight="16.2"/>
  <cols>
    <col min="1" max="1" width="11.10937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6.77734375" style="246" customWidth="1"/>
    <col min="7" max="7" width="4.109375" style="246" customWidth="1"/>
    <col min="8" max="8" width="11.77734375" style="246" customWidth="1"/>
    <col min="9" max="9" width="20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428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429</v>
      </c>
      <c r="C3" s="263"/>
      <c r="D3" s="260"/>
      <c r="E3" s="266" t="s">
        <v>11</v>
      </c>
      <c r="F3" s="263"/>
      <c r="G3" s="260"/>
      <c r="H3" s="268" t="s">
        <v>429</v>
      </c>
      <c r="I3" s="269"/>
      <c r="J3" s="19" t="str">
        <f>B3</f>
        <v>Clonazepam 0.5mg</v>
      </c>
      <c r="K3" s="4">
        <v>45342</v>
      </c>
      <c r="L3" s="5">
        <f>H7</f>
        <v>345.5</v>
      </c>
      <c r="M3" s="3">
        <f>SUM(C$8:C$1048576)</f>
        <v>300</v>
      </c>
      <c r="N3" s="3">
        <f>SUM(F:F)</f>
        <v>501</v>
      </c>
      <c r="O3" s="3">
        <f>L3+M3-N3</f>
        <v>144.5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430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431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140">
        <v>345.5</v>
      </c>
      <c r="D7" s="289"/>
      <c r="E7" s="260"/>
      <c r="F7" s="289"/>
      <c r="G7" s="260"/>
      <c r="H7" s="140">
        <f>C7</f>
        <v>345.5</v>
      </c>
      <c r="I7" s="202" t="s">
        <v>331</v>
      </c>
      <c r="J7" s="12"/>
      <c r="K7" s="3"/>
      <c r="L7" s="3"/>
      <c r="M7" s="3"/>
      <c r="N7" s="3"/>
      <c r="O7" s="3"/>
    </row>
    <row r="8" spans="1:15" ht="21" customHeight="1">
      <c r="A8" s="39" t="s">
        <v>335</v>
      </c>
      <c r="B8" s="38" t="s">
        <v>323</v>
      </c>
      <c r="C8" s="3"/>
      <c r="D8" s="259"/>
      <c r="E8" s="260"/>
      <c r="F8" s="279">
        <v>6</v>
      </c>
      <c r="G8" s="260"/>
      <c r="H8" s="38">
        <f t="shared" ref="H8:H23" si="0">H7-F8</f>
        <v>339.5</v>
      </c>
      <c r="I8" s="7"/>
    </row>
    <row r="9" spans="1:15" ht="22.2" customHeight="1">
      <c r="A9" s="39" t="s">
        <v>432</v>
      </c>
      <c r="B9" s="38" t="s">
        <v>323</v>
      </c>
      <c r="C9" s="38"/>
      <c r="D9" s="279"/>
      <c r="E9" s="260"/>
      <c r="F9" s="279">
        <v>56</v>
      </c>
      <c r="G9" s="260"/>
      <c r="H9" s="38">
        <f t="shared" si="0"/>
        <v>283.5</v>
      </c>
      <c r="I9" s="175"/>
    </row>
    <row r="10" spans="1:15" ht="21" customHeight="1">
      <c r="A10" s="39" t="s">
        <v>433</v>
      </c>
      <c r="B10" s="38" t="s">
        <v>323</v>
      </c>
      <c r="C10" s="3"/>
      <c r="D10" s="259"/>
      <c r="E10" s="260"/>
      <c r="F10" s="279">
        <v>6</v>
      </c>
      <c r="G10" s="260"/>
      <c r="H10" s="38">
        <f t="shared" si="0"/>
        <v>277.5</v>
      </c>
      <c r="I10" s="7"/>
    </row>
    <row r="11" spans="1:15" ht="21" customHeight="1">
      <c r="A11" s="39" t="s">
        <v>434</v>
      </c>
      <c r="B11" s="38" t="s">
        <v>323</v>
      </c>
      <c r="C11" s="3"/>
      <c r="D11" s="259"/>
      <c r="E11" s="260"/>
      <c r="F11" s="279">
        <v>6</v>
      </c>
      <c r="G11" s="260"/>
      <c r="H11" s="38">
        <f t="shared" si="0"/>
        <v>271.5</v>
      </c>
      <c r="I11" s="7" t="s">
        <v>414</v>
      </c>
    </row>
    <row r="12" spans="1:15" ht="21" customHeight="1">
      <c r="A12" s="39" t="s">
        <v>435</v>
      </c>
      <c r="B12" s="38" t="s">
        <v>323</v>
      </c>
      <c r="C12" s="3"/>
      <c r="D12" s="259"/>
      <c r="E12" s="260"/>
      <c r="F12" s="279">
        <v>6</v>
      </c>
      <c r="G12" s="260"/>
      <c r="H12" s="38">
        <f t="shared" si="0"/>
        <v>265.5</v>
      </c>
      <c r="I12" s="7"/>
    </row>
    <row r="13" spans="1:15" ht="21" customHeight="1">
      <c r="A13" s="39" t="s">
        <v>436</v>
      </c>
      <c r="B13" s="38" t="s">
        <v>323</v>
      </c>
      <c r="C13" s="3"/>
      <c r="D13" s="259"/>
      <c r="E13" s="260"/>
      <c r="F13" s="279">
        <v>34</v>
      </c>
      <c r="G13" s="260"/>
      <c r="H13" s="38">
        <f t="shared" si="0"/>
        <v>231.5</v>
      </c>
      <c r="I13" s="109" t="s">
        <v>437</v>
      </c>
    </row>
    <row r="14" spans="1:15" ht="21" customHeight="1">
      <c r="A14" s="39" t="s">
        <v>340</v>
      </c>
      <c r="B14" s="38" t="s">
        <v>323</v>
      </c>
      <c r="C14" s="3"/>
      <c r="D14" s="259"/>
      <c r="E14" s="260"/>
      <c r="F14" s="279">
        <v>6</v>
      </c>
      <c r="G14" s="260"/>
      <c r="H14" s="38">
        <f t="shared" si="0"/>
        <v>225.5</v>
      </c>
      <c r="I14" s="7"/>
    </row>
    <row r="15" spans="1:15" ht="21" customHeight="1">
      <c r="A15" s="39" t="s">
        <v>343</v>
      </c>
      <c r="B15" s="38" t="s">
        <v>323</v>
      </c>
      <c r="C15" s="3"/>
      <c r="D15" s="259"/>
      <c r="E15" s="260"/>
      <c r="F15" s="279">
        <v>6</v>
      </c>
      <c r="G15" s="260"/>
      <c r="H15" s="38">
        <f t="shared" si="0"/>
        <v>219.5</v>
      </c>
      <c r="I15" s="7"/>
    </row>
    <row r="16" spans="1:15" ht="22.2" customHeight="1">
      <c r="A16" s="39" t="s">
        <v>438</v>
      </c>
      <c r="B16" s="38" t="s">
        <v>323</v>
      </c>
      <c r="C16" s="38"/>
      <c r="D16" s="279"/>
      <c r="E16" s="260"/>
      <c r="F16" s="279">
        <v>56</v>
      </c>
      <c r="G16" s="260"/>
      <c r="H16" s="38">
        <f t="shared" si="0"/>
        <v>163.5</v>
      </c>
      <c r="I16" s="175"/>
    </row>
    <row r="17" spans="1:9" ht="21" customHeight="1">
      <c r="A17" s="39" t="s">
        <v>347</v>
      </c>
      <c r="B17" s="38" t="s">
        <v>323</v>
      </c>
      <c r="C17" s="3"/>
      <c r="D17" s="259"/>
      <c r="E17" s="260"/>
      <c r="F17" s="279">
        <v>6</v>
      </c>
      <c r="G17" s="260"/>
      <c r="H17" s="38">
        <f t="shared" si="0"/>
        <v>157.5</v>
      </c>
      <c r="I17" s="7"/>
    </row>
    <row r="18" spans="1:9" ht="21" customHeight="1">
      <c r="A18" s="133" t="s">
        <v>439</v>
      </c>
      <c r="B18" s="38" t="s">
        <v>323</v>
      </c>
      <c r="C18" s="179"/>
      <c r="D18" s="291"/>
      <c r="E18" s="260"/>
      <c r="F18" s="289">
        <v>6</v>
      </c>
      <c r="G18" s="260"/>
      <c r="H18" s="140">
        <f t="shared" si="0"/>
        <v>151.5</v>
      </c>
      <c r="I18" s="195"/>
    </row>
    <row r="19" spans="1:9" ht="21" customHeight="1">
      <c r="A19" s="39" t="s">
        <v>440</v>
      </c>
      <c r="B19" s="38" t="s">
        <v>323</v>
      </c>
      <c r="C19" s="9"/>
      <c r="D19" s="259"/>
      <c r="E19" s="260"/>
      <c r="F19" s="279">
        <v>6</v>
      </c>
      <c r="G19" s="260"/>
      <c r="H19" s="38">
        <f t="shared" si="0"/>
        <v>145.5</v>
      </c>
      <c r="I19" s="7"/>
    </row>
    <row r="20" spans="1:9" ht="21" customHeight="1">
      <c r="A20" s="39" t="s">
        <v>415</v>
      </c>
      <c r="B20" s="38" t="s">
        <v>323</v>
      </c>
      <c r="C20" s="3"/>
      <c r="D20" s="259"/>
      <c r="E20" s="260"/>
      <c r="F20" s="279">
        <v>56</v>
      </c>
      <c r="G20" s="260"/>
      <c r="H20" s="38">
        <f t="shared" si="0"/>
        <v>89.5</v>
      </c>
      <c r="I20" s="7"/>
    </row>
    <row r="21" spans="1:9" ht="21" customHeight="1">
      <c r="A21" s="39" t="s">
        <v>441</v>
      </c>
      <c r="B21" s="38" t="s">
        <v>323</v>
      </c>
      <c r="C21" s="9"/>
      <c r="D21" s="259"/>
      <c r="E21" s="260"/>
      <c r="F21" s="279">
        <v>6</v>
      </c>
      <c r="G21" s="260"/>
      <c r="H21" s="38">
        <f t="shared" si="0"/>
        <v>83.5</v>
      </c>
      <c r="I21" s="11" t="s">
        <v>414</v>
      </c>
    </row>
    <row r="22" spans="1:9" ht="21" customHeight="1">
      <c r="A22" s="39" t="s">
        <v>353</v>
      </c>
      <c r="B22" s="38" t="s">
        <v>323</v>
      </c>
      <c r="C22" s="3"/>
      <c r="D22" s="259"/>
      <c r="E22" s="260"/>
      <c r="F22" s="279">
        <v>28</v>
      </c>
      <c r="G22" s="260"/>
      <c r="H22" s="38">
        <f t="shared" si="0"/>
        <v>55.5</v>
      </c>
      <c r="I22" s="7"/>
    </row>
    <row r="23" spans="1:9" ht="21" customHeight="1">
      <c r="A23" s="39" t="s">
        <v>442</v>
      </c>
      <c r="B23" s="38" t="s">
        <v>323</v>
      </c>
      <c r="C23" s="9"/>
      <c r="D23" s="259"/>
      <c r="E23" s="260"/>
      <c r="F23" s="279">
        <v>6</v>
      </c>
      <c r="G23" s="260"/>
      <c r="H23" s="38">
        <f t="shared" si="0"/>
        <v>49.5</v>
      </c>
      <c r="I23" s="7"/>
    </row>
    <row r="24" spans="1:9" ht="26.7" customHeight="1">
      <c r="A24" s="39" t="s">
        <v>355</v>
      </c>
      <c r="B24" s="11" t="s">
        <v>324</v>
      </c>
      <c r="C24" s="3">
        <v>200</v>
      </c>
      <c r="D24" s="259" t="s">
        <v>443</v>
      </c>
      <c r="E24" s="260"/>
      <c r="F24" s="279"/>
      <c r="G24" s="260"/>
      <c r="H24" s="38">
        <v>249.5</v>
      </c>
      <c r="I24" s="11" t="s">
        <v>414</v>
      </c>
    </row>
    <row r="25" spans="1:9" ht="26.7" customHeight="1">
      <c r="A25" s="39" t="s">
        <v>393</v>
      </c>
      <c r="B25" s="38" t="s">
        <v>323</v>
      </c>
      <c r="C25" s="38"/>
      <c r="D25" s="279"/>
      <c r="E25" s="260"/>
      <c r="F25" s="279">
        <v>6</v>
      </c>
      <c r="G25" s="260"/>
      <c r="H25" s="38">
        <f t="shared" ref="H25:H35" si="1">H24-F25</f>
        <v>243.5</v>
      </c>
      <c r="I25" s="175"/>
    </row>
    <row r="26" spans="1:9" ht="26.7" customHeight="1">
      <c r="A26" s="39" t="s">
        <v>444</v>
      </c>
      <c r="B26" s="38" t="s">
        <v>323</v>
      </c>
      <c r="C26" s="38"/>
      <c r="D26" s="279"/>
      <c r="E26" s="260"/>
      <c r="F26" s="279">
        <v>5</v>
      </c>
      <c r="G26" s="260"/>
      <c r="H26" s="38">
        <f t="shared" si="1"/>
        <v>238.5</v>
      </c>
      <c r="I26" s="175"/>
    </row>
    <row r="27" spans="1:9" ht="26.7" customHeight="1">
      <c r="A27" s="39" t="s">
        <v>445</v>
      </c>
      <c r="B27" s="38" t="s">
        <v>323</v>
      </c>
      <c r="C27" s="38"/>
      <c r="D27" s="279"/>
      <c r="E27" s="260"/>
      <c r="F27" s="279">
        <v>6</v>
      </c>
      <c r="G27" s="260"/>
      <c r="H27" s="38">
        <f t="shared" si="1"/>
        <v>232.5</v>
      </c>
      <c r="I27" s="175"/>
    </row>
    <row r="28" spans="1:9" ht="26.7" customHeight="1">
      <c r="A28" s="39" t="s">
        <v>446</v>
      </c>
      <c r="B28" s="38" t="s">
        <v>323</v>
      </c>
      <c r="C28" s="38"/>
      <c r="D28" s="279"/>
      <c r="E28" s="260"/>
      <c r="F28" s="279">
        <v>28</v>
      </c>
      <c r="G28" s="260"/>
      <c r="H28" s="38">
        <f t="shared" si="1"/>
        <v>204.5</v>
      </c>
      <c r="I28" s="175" t="s">
        <v>414</v>
      </c>
    </row>
    <row r="29" spans="1:9" ht="26.7" customHeight="1">
      <c r="A29" s="39" t="s">
        <v>447</v>
      </c>
      <c r="B29" s="38" t="s">
        <v>323</v>
      </c>
      <c r="C29" s="38"/>
      <c r="D29" s="279"/>
      <c r="E29" s="260"/>
      <c r="F29" s="279">
        <v>6</v>
      </c>
      <c r="G29" s="260"/>
      <c r="H29" s="38">
        <f t="shared" si="1"/>
        <v>198.5</v>
      </c>
      <c r="I29" s="175"/>
    </row>
    <row r="30" spans="1:9" ht="26.7" customHeight="1">
      <c r="A30" s="39" t="s">
        <v>448</v>
      </c>
      <c r="B30" s="38" t="s">
        <v>323</v>
      </c>
      <c r="C30" s="38"/>
      <c r="D30" s="279"/>
      <c r="E30" s="260"/>
      <c r="F30" s="279">
        <v>6</v>
      </c>
      <c r="G30" s="260"/>
      <c r="H30" s="38">
        <f t="shared" si="1"/>
        <v>192.5</v>
      </c>
      <c r="I30" s="175"/>
    </row>
    <row r="31" spans="1:9" ht="26.7" customHeight="1">
      <c r="A31" s="39" t="s">
        <v>449</v>
      </c>
      <c r="B31" s="38" t="s">
        <v>323</v>
      </c>
      <c r="C31" s="38"/>
      <c r="D31" s="279"/>
      <c r="E31" s="260"/>
      <c r="F31" s="279">
        <v>56</v>
      </c>
      <c r="G31" s="260"/>
      <c r="H31" s="38">
        <f t="shared" si="1"/>
        <v>136.5</v>
      </c>
      <c r="I31" s="175"/>
    </row>
    <row r="32" spans="1:9" ht="26.7" customHeight="1">
      <c r="A32" s="39" t="s">
        <v>396</v>
      </c>
      <c r="B32" s="38" t="s">
        <v>323</v>
      </c>
      <c r="C32" s="38"/>
      <c r="D32" s="279"/>
      <c r="E32" s="260"/>
      <c r="F32" s="279">
        <v>6</v>
      </c>
      <c r="G32" s="260"/>
      <c r="H32" s="38">
        <f t="shared" si="1"/>
        <v>130.5</v>
      </c>
      <c r="I32" s="175"/>
    </row>
    <row r="33" spans="1:12" ht="26.7" customHeight="1">
      <c r="A33" s="39" t="s">
        <v>450</v>
      </c>
      <c r="B33" s="38" t="s">
        <v>323</v>
      </c>
      <c r="C33" s="38"/>
      <c r="D33" s="279"/>
      <c r="E33" s="260"/>
      <c r="F33" s="279">
        <v>6</v>
      </c>
      <c r="G33" s="260"/>
      <c r="H33" s="38">
        <f t="shared" si="1"/>
        <v>124.5</v>
      </c>
      <c r="I33" s="175"/>
    </row>
    <row r="34" spans="1:12" ht="26.7" customHeight="1">
      <c r="A34" s="39" t="s">
        <v>451</v>
      </c>
      <c r="B34" s="38" t="s">
        <v>323</v>
      </c>
      <c r="C34" s="38"/>
      <c r="D34" s="279"/>
      <c r="E34" s="260"/>
      <c r="F34" s="279">
        <v>6</v>
      </c>
      <c r="G34" s="260"/>
      <c r="H34" s="38">
        <f t="shared" si="1"/>
        <v>118.5</v>
      </c>
      <c r="I34" s="175"/>
    </row>
    <row r="35" spans="1:12" ht="26.7" customHeight="1">
      <c r="A35" s="39" t="s">
        <v>452</v>
      </c>
      <c r="B35" s="38" t="s">
        <v>323</v>
      </c>
      <c r="C35" s="38"/>
      <c r="D35" s="279"/>
      <c r="E35" s="260"/>
      <c r="F35" s="290">
        <v>56</v>
      </c>
      <c r="G35" s="260"/>
      <c r="H35" s="38">
        <f t="shared" si="1"/>
        <v>62.5</v>
      </c>
      <c r="I35" s="175"/>
      <c r="L35" s="120" t="s">
        <v>453</v>
      </c>
    </row>
    <row r="36" spans="1:12" ht="26.7" customHeight="1">
      <c r="A36" s="39" t="s">
        <v>454</v>
      </c>
      <c r="B36" s="38" t="s">
        <v>324</v>
      </c>
      <c r="C36" s="38">
        <v>100</v>
      </c>
      <c r="D36" s="279" t="s">
        <v>455</v>
      </c>
      <c r="E36" s="260"/>
      <c r="F36" s="279"/>
      <c r="G36" s="260"/>
      <c r="H36" s="38">
        <v>162.5</v>
      </c>
      <c r="I36" s="175" t="s">
        <v>437</v>
      </c>
    </row>
    <row r="37" spans="1:12" ht="26.7" customHeight="1">
      <c r="A37" s="39" t="s">
        <v>456</v>
      </c>
      <c r="B37" s="38" t="s">
        <v>323</v>
      </c>
      <c r="C37" s="38"/>
      <c r="D37" s="279"/>
      <c r="E37" s="260"/>
      <c r="F37" s="279">
        <v>6</v>
      </c>
      <c r="G37" s="260"/>
      <c r="H37" s="38">
        <f>H36-F37</f>
        <v>156.5</v>
      </c>
      <c r="I37" s="175"/>
    </row>
    <row r="38" spans="1:12" ht="26.7" customHeight="1">
      <c r="A38" s="39" t="s">
        <v>366</v>
      </c>
      <c r="B38" s="38" t="s">
        <v>323</v>
      </c>
      <c r="C38" s="38"/>
      <c r="D38" s="279"/>
      <c r="E38" s="260"/>
      <c r="F38" s="279">
        <v>6</v>
      </c>
      <c r="G38" s="260"/>
      <c r="H38" s="38">
        <f>H37-F38</f>
        <v>150.5</v>
      </c>
      <c r="I38" s="175"/>
    </row>
    <row r="39" spans="1:12" ht="26.7" customHeight="1">
      <c r="A39" s="39" t="s">
        <v>421</v>
      </c>
      <c r="B39" s="38" t="s">
        <v>323</v>
      </c>
      <c r="C39" s="38"/>
      <c r="D39" s="279"/>
      <c r="E39" s="260"/>
      <c r="F39" s="279">
        <v>6</v>
      </c>
      <c r="G39" s="260"/>
      <c r="H39" s="38">
        <f>H38-F39</f>
        <v>144.5</v>
      </c>
      <c r="I39" s="175"/>
    </row>
    <row r="40" spans="1:12" ht="26.7" customHeight="1">
      <c r="A40" s="39"/>
      <c r="B40" s="38"/>
      <c r="C40" s="38"/>
      <c r="D40" s="279"/>
      <c r="E40" s="260"/>
      <c r="F40" s="279"/>
      <c r="G40" s="260"/>
      <c r="H40" s="38"/>
      <c r="I40" s="175"/>
    </row>
    <row r="41" spans="1:12" ht="26.7" customHeight="1">
      <c r="A41" s="39"/>
      <c r="B41" s="38"/>
      <c r="C41" s="38"/>
      <c r="D41" s="279"/>
      <c r="E41" s="260"/>
      <c r="F41" s="279"/>
      <c r="G41" s="260"/>
      <c r="I41" s="175"/>
    </row>
    <row r="42" spans="1:12" ht="26.7" customHeight="1">
      <c r="A42" s="39"/>
      <c r="B42" s="38"/>
      <c r="C42" s="38"/>
      <c r="D42" s="279"/>
      <c r="E42" s="260"/>
      <c r="F42" s="279"/>
      <c r="G42" s="260"/>
      <c r="H42" s="38"/>
      <c r="I42" s="175"/>
    </row>
    <row r="43" spans="1:12" ht="26.7" customHeight="1">
      <c r="A43" s="39"/>
      <c r="B43" s="38"/>
      <c r="C43" s="38"/>
      <c r="D43" s="279"/>
      <c r="E43" s="260"/>
      <c r="F43" s="279"/>
      <c r="G43" s="260"/>
      <c r="H43" s="38"/>
      <c r="I43" s="175"/>
    </row>
    <row r="44" spans="1:12" ht="26.7" customHeight="1">
      <c r="A44" s="39"/>
      <c r="B44" s="38"/>
      <c r="C44" s="38"/>
      <c r="D44" s="279"/>
      <c r="E44" s="260"/>
      <c r="F44" s="279"/>
      <c r="G44" s="260"/>
      <c r="H44" s="38"/>
      <c r="I44" s="175"/>
    </row>
    <row r="45" spans="1:12" ht="26.7" customHeight="1">
      <c r="A45" s="39"/>
      <c r="B45" s="38"/>
      <c r="C45" s="38"/>
      <c r="D45" s="279"/>
      <c r="E45" s="260"/>
      <c r="F45" s="279"/>
      <c r="G45" s="260"/>
      <c r="H45" s="38"/>
      <c r="I45" s="175"/>
    </row>
    <row r="46" spans="1:12" ht="26.7" customHeight="1">
      <c r="A46" s="39"/>
      <c r="B46" s="38"/>
      <c r="C46" s="38"/>
      <c r="D46" s="279"/>
      <c r="E46" s="260"/>
      <c r="F46" s="279"/>
      <c r="G46" s="260"/>
      <c r="H46" s="38"/>
      <c r="I46" s="175"/>
    </row>
    <row r="47" spans="1:12" ht="26.7" customHeight="1">
      <c r="A47" s="39"/>
      <c r="B47" s="38"/>
      <c r="C47" s="38"/>
      <c r="D47" s="279"/>
      <c r="E47" s="260"/>
      <c r="F47" s="279"/>
      <c r="G47" s="260"/>
      <c r="H47" s="38"/>
      <c r="I47" s="175"/>
    </row>
    <row r="48" spans="1:12" ht="26.7" customHeight="1">
      <c r="A48" s="39"/>
      <c r="B48" s="38"/>
      <c r="C48" s="38"/>
      <c r="D48" s="279"/>
      <c r="E48" s="260"/>
      <c r="F48" s="279"/>
      <c r="G48" s="260"/>
      <c r="H48" s="38"/>
      <c r="I48" s="175"/>
    </row>
    <row r="49" spans="1:9" ht="26.7" customHeight="1">
      <c r="A49" s="39"/>
      <c r="B49" s="38"/>
      <c r="C49" s="38"/>
      <c r="D49" s="279"/>
      <c r="E49" s="260"/>
      <c r="F49" s="279"/>
      <c r="G49" s="260"/>
      <c r="H49" s="38"/>
      <c r="I49" s="175"/>
    </row>
    <row r="50" spans="1:9" ht="26.7" customHeight="1">
      <c r="A50" s="39"/>
      <c r="B50" s="38"/>
      <c r="C50" s="38"/>
      <c r="D50" s="279"/>
      <c r="E50" s="260"/>
      <c r="F50" s="279"/>
      <c r="G50" s="260"/>
      <c r="H50" s="38"/>
      <c r="I50" s="175"/>
    </row>
    <row r="51" spans="1:9" ht="26.7" customHeight="1">
      <c r="A51" s="39"/>
      <c r="B51" s="38"/>
      <c r="C51" s="38"/>
      <c r="D51" s="279"/>
      <c r="E51" s="260"/>
      <c r="F51" s="279"/>
      <c r="G51" s="260"/>
      <c r="H51" s="38"/>
      <c r="I51" s="175"/>
    </row>
    <row r="52" spans="1:9" ht="26.7" customHeight="1">
      <c r="A52" s="39"/>
      <c r="B52" s="38"/>
      <c r="C52" s="38"/>
      <c r="D52" s="279"/>
      <c r="E52" s="260"/>
      <c r="F52" s="279"/>
      <c r="G52" s="260"/>
      <c r="H52" s="38"/>
      <c r="I52" s="175"/>
    </row>
  </sheetData>
  <mergeCells count="104">
    <mergeCell ref="F52:G52"/>
    <mergeCell ref="D8:E8"/>
    <mergeCell ref="F37:G37"/>
    <mergeCell ref="B3:D3"/>
    <mergeCell ref="D42:E42"/>
    <mergeCell ref="D50:E50"/>
    <mergeCell ref="D44:E44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2:E12"/>
    <mergeCell ref="D25:E25"/>
    <mergeCell ref="D30:E30"/>
    <mergeCell ref="F49:G49"/>
    <mergeCell ref="D14:E14"/>
    <mergeCell ref="E4:G4"/>
    <mergeCell ref="D47:E47"/>
    <mergeCell ref="F47:G47"/>
    <mergeCell ref="D37:E37"/>
    <mergeCell ref="F31:G31"/>
    <mergeCell ref="F46:G46"/>
    <mergeCell ref="F28:G28"/>
    <mergeCell ref="D9:E9"/>
    <mergeCell ref="F9:G9"/>
    <mergeCell ref="H3:I3"/>
    <mergeCell ref="D39:E39"/>
    <mergeCell ref="F39:G39"/>
    <mergeCell ref="F14:G14"/>
    <mergeCell ref="F11:G11"/>
    <mergeCell ref="D46:E46"/>
    <mergeCell ref="H4:I4"/>
    <mergeCell ref="D40:E40"/>
    <mergeCell ref="F40:G40"/>
    <mergeCell ref="D21:E21"/>
    <mergeCell ref="F12:G12"/>
    <mergeCell ref="F24:G24"/>
    <mergeCell ref="D48:E48"/>
    <mergeCell ref="D7:E7"/>
    <mergeCell ref="F23:G23"/>
    <mergeCell ref="B4:D4"/>
    <mergeCell ref="F13:G13"/>
    <mergeCell ref="F43:G43"/>
    <mergeCell ref="D24:E24"/>
    <mergeCell ref="D33:E33"/>
    <mergeCell ref="D51:E51"/>
    <mergeCell ref="D26:E26"/>
    <mergeCell ref="D35:E35"/>
    <mergeCell ref="D10:E10"/>
    <mergeCell ref="F10:G10"/>
    <mergeCell ref="D19:E19"/>
    <mergeCell ref="D34:E34"/>
    <mergeCell ref="F19:G19"/>
    <mergeCell ref="F34:G34"/>
    <mergeCell ref="F6:G6"/>
    <mergeCell ref="F30:G30"/>
    <mergeCell ref="D11:E11"/>
    <mergeCell ref="F20:G20"/>
    <mergeCell ref="F18:G18"/>
    <mergeCell ref="F33:G33"/>
    <mergeCell ref="F45:G45"/>
    <mergeCell ref="D20:E20"/>
    <mergeCell ref="F29:G29"/>
    <mergeCell ref="F16:G16"/>
    <mergeCell ref="F25:G25"/>
    <mergeCell ref="C5:G5"/>
    <mergeCell ref="D22:E22"/>
    <mergeCell ref="D36:E36"/>
    <mergeCell ref="D31:E31"/>
    <mergeCell ref="D45:E45"/>
    <mergeCell ref="D6:E6"/>
    <mergeCell ref="F15:G15"/>
    <mergeCell ref="D13:E13"/>
    <mergeCell ref="F42:G42"/>
    <mergeCell ref="F17:G1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O222"/>
  <sheetViews>
    <sheetView workbookViewId="0">
      <pane ySplit="6" topLeftCell="A114" activePane="bottomLeft" state="frozen"/>
      <selection activeCell="A92" sqref="A92"/>
      <selection pane="bottomLeft" activeCell="A92" sqref="A9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09" t="s">
        <v>457</v>
      </c>
      <c r="K1" s="38" t="s">
        <v>323</v>
      </c>
      <c r="L1" s="38" t="s">
        <v>324</v>
      </c>
      <c r="M1" s="1"/>
      <c r="N1" s="1"/>
      <c r="O1" s="1"/>
    </row>
    <row r="2" spans="1:15" ht="34.950000000000003" customHeight="1">
      <c r="A2" s="33" t="s">
        <v>458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459</v>
      </c>
      <c r="C3" s="263"/>
      <c r="D3" s="260"/>
      <c r="E3" s="266" t="s">
        <v>11</v>
      </c>
      <c r="F3" s="263"/>
      <c r="G3" s="260"/>
      <c r="H3" s="268" t="s">
        <v>460</v>
      </c>
      <c r="I3" s="269"/>
      <c r="J3" s="19" t="str">
        <f>B3</f>
        <v>SULNINE  10mg</v>
      </c>
      <c r="K3" s="34" t="s">
        <v>461</v>
      </c>
      <c r="L3" s="5">
        <f>H7</f>
        <v>415</v>
      </c>
      <c r="M3" s="3">
        <f>SUM(C$8:C$1048576)</f>
        <v>3000</v>
      </c>
      <c r="N3" s="3">
        <f>SUM(F:F)</f>
        <v>2213</v>
      </c>
      <c r="O3" s="3">
        <f>L3+M3-N3</f>
        <v>1202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380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462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415</v>
      </c>
      <c r="D7" s="279"/>
      <c r="E7" s="260"/>
      <c r="F7" s="279"/>
      <c r="G7" s="260"/>
      <c r="H7" s="38">
        <v>415</v>
      </c>
      <c r="I7" s="37" t="s">
        <v>331</v>
      </c>
      <c r="J7" s="12"/>
      <c r="K7" s="3"/>
      <c r="L7" s="3"/>
      <c r="M7" s="3"/>
      <c r="N7" s="3"/>
      <c r="O7" s="3"/>
    </row>
    <row r="8" spans="1:15" ht="26.7" customHeight="1">
      <c r="A8" s="39" t="s">
        <v>29</v>
      </c>
      <c r="B8" s="38" t="s">
        <v>323</v>
      </c>
      <c r="C8" s="38"/>
      <c r="D8" s="279"/>
      <c r="E8" s="260"/>
      <c r="F8" s="279">
        <v>7</v>
      </c>
      <c r="G8" s="260"/>
      <c r="H8" s="38">
        <f t="shared" ref="H8:H17" si="0">H7-F8</f>
        <v>408</v>
      </c>
      <c r="I8" s="26"/>
      <c r="J8" s="12"/>
      <c r="K8" s="3"/>
      <c r="L8" s="3"/>
      <c r="M8" s="3"/>
      <c r="N8" s="3"/>
      <c r="O8" s="3"/>
    </row>
    <row r="9" spans="1:15" ht="26.7" customHeight="1">
      <c r="A9" s="39" t="s">
        <v>333</v>
      </c>
      <c r="B9" s="38" t="s">
        <v>323</v>
      </c>
      <c r="C9" s="38"/>
      <c r="D9" s="279"/>
      <c r="E9" s="260"/>
      <c r="F9" s="279">
        <v>28</v>
      </c>
      <c r="G9" s="260"/>
      <c r="H9" s="38">
        <f t="shared" si="0"/>
        <v>380</v>
      </c>
      <c r="I9" s="26"/>
      <c r="J9" s="12"/>
      <c r="K9" s="3"/>
      <c r="L9" s="3"/>
      <c r="M9" s="3"/>
      <c r="N9" s="3"/>
      <c r="O9" s="3"/>
    </row>
    <row r="10" spans="1:15" ht="26.7" customHeight="1">
      <c r="A10" s="39" t="s">
        <v>334</v>
      </c>
      <c r="B10" s="38" t="s">
        <v>323</v>
      </c>
      <c r="C10" s="38"/>
      <c r="D10" s="279"/>
      <c r="E10" s="260"/>
      <c r="F10" s="279">
        <v>29</v>
      </c>
      <c r="G10" s="260"/>
      <c r="H10" s="38">
        <f t="shared" si="0"/>
        <v>351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39" t="s">
        <v>335</v>
      </c>
      <c r="B11" s="38" t="s">
        <v>323</v>
      </c>
      <c r="C11" s="38"/>
      <c r="D11" s="279"/>
      <c r="E11" s="260"/>
      <c r="F11" s="279">
        <v>18</v>
      </c>
      <c r="G11" s="260"/>
      <c r="H11" s="38">
        <f t="shared" si="0"/>
        <v>333</v>
      </c>
      <c r="I11" s="27"/>
      <c r="J11" s="12"/>
      <c r="K11" s="3"/>
      <c r="L11" s="3"/>
      <c r="M11" s="3"/>
      <c r="N11" s="3"/>
      <c r="O11" s="3"/>
    </row>
    <row r="12" spans="1:15" ht="26.7" customHeight="1">
      <c r="A12" s="39" t="s">
        <v>463</v>
      </c>
      <c r="B12" s="38" t="s">
        <v>323</v>
      </c>
      <c r="C12" s="7"/>
      <c r="D12" s="259"/>
      <c r="E12" s="260"/>
      <c r="F12" s="279">
        <v>6</v>
      </c>
      <c r="G12" s="260"/>
      <c r="H12" s="38">
        <f t="shared" si="0"/>
        <v>327</v>
      </c>
      <c r="I12" s="26"/>
      <c r="J12" s="12"/>
      <c r="K12" s="3"/>
      <c r="L12" s="3"/>
      <c r="M12" s="3"/>
      <c r="N12" s="3"/>
      <c r="O12" s="3"/>
    </row>
    <row r="13" spans="1:15" ht="26.7" customHeight="1">
      <c r="A13" s="39" t="s">
        <v>432</v>
      </c>
      <c r="B13" s="38" t="s">
        <v>323</v>
      </c>
      <c r="C13" s="7"/>
      <c r="D13" s="259"/>
      <c r="E13" s="260"/>
      <c r="F13" s="279">
        <v>27</v>
      </c>
      <c r="G13" s="260"/>
      <c r="H13" s="38">
        <f t="shared" si="0"/>
        <v>300</v>
      </c>
      <c r="I13" s="26"/>
      <c r="J13" s="12"/>
      <c r="K13" s="3"/>
      <c r="L13" s="3"/>
      <c r="M13" s="3"/>
      <c r="N13" s="3"/>
      <c r="O13" s="3"/>
    </row>
    <row r="14" spans="1:15" ht="26.7" customHeight="1">
      <c r="A14" s="39" t="s">
        <v>464</v>
      </c>
      <c r="B14" s="38" t="s">
        <v>323</v>
      </c>
      <c r="C14" s="7"/>
      <c r="D14" s="259"/>
      <c r="E14" s="260"/>
      <c r="F14" s="279">
        <v>12</v>
      </c>
      <c r="G14" s="260"/>
      <c r="H14" s="38">
        <f t="shared" si="0"/>
        <v>288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382</v>
      </c>
      <c r="B15" s="38" t="s">
        <v>323</v>
      </c>
      <c r="C15" s="7"/>
      <c r="D15" s="259"/>
      <c r="E15" s="260"/>
      <c r="F15" s="279">
        <v>10</v>
      </c>
      <c r="G15" s="260"/>
      <c r="H15" s="38">
        <f t="shared" si="0"/>
        <v>278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39" t="s">
        <v>433</v>
      </c>
      <c r="B16" s="38" t="s">
        <v>323</v>
      </c>
      <c r="C16" s="7"/>
      <c r="D16" s="259"/>
      <c r="E16" s="260"/>
      <c r="F16" s="279">
        <v>18</v>
      </c>
      <c r="G16" s="260"/>
      <c r="H16" s="38">
        <f t="shared" si="0"/>
        <v>260</v>
      </c>
      <c r="I16" s="26"/>
      <c r="J16" s="12"/>
      <c r="K16" s="3"/>
      <c r="L16" s="3"/>
      <c r="M16" s="3"/>
      <c r="N16" s="3"/>
      <c r="O16" s="3"/>
    </row>
    <row r="17" spans="1:10" ht="26.7" customHeight="1">
      <c r="A17" s="39" t="s">
        <v>465</v>
      </c>
      <c r="B17" s="38" t="s">
        <v>323</v>
      </c>
      <c r="C17" s="7"/>
      <c r="D17" s="259"/>
      <c r="E17" s="260"/>
      <c r="F17" s="279">
        <v>9</v>
      </c>
      <c r="G17" s="260"/>
      <c r="H17" s="38">
        <f t="shared" si="0"/>
        <v>251</v>
      </c>
      <c r="I17" s="26"/>
      <c r="J17" s="12"/>
    </row>
    <row r="18" spans="1:10" ht="26.7" customHeight="1">
      <c r="A18" s="39" t="s">
        <v>466</v>
      </c>
      <c r="B18" s="38" t="s">
        <v>324</v>
      </c>
      <c r="C18" s="7">
        <v>1000</v>
      </c>
      <c r="D18" s="259" t="s">
        <v>467</v>
      </c>
      <c r="E18" s="260"/>
      <c r="F18" s="279"/>
      <c r="G18" s="260"/>
      <c r="H18" s="38">
        <v>1251</v>
      </c>
      <c r="I18" s="26" t="s">
        <v>468</v>
      </c>
      <c r="J18" s="12"/>
    </row>
    <row r="19" spans="1:10" ht="26.7" customHeight="1">
      <c r="A19" s="39" t="s">
        <v>466</v>
      </c>
      <c r="B19" s="38" t="s">
        <v>323</v>
      </c>
      <c r="C19" s="7"/>
      <c r="D19" s="259"/>
      <c r="E19" s="260"/>
      <c r="F19" s="279">
        <v>14</v>
      </c>
      <c r="G19" s="260"/>
      <c r="H19" s="38">
        <f t="shared" ref="H19:H49" si="1">H18-F19</f>
        <v>1237</v>
      </c>
      <c r="I19" s="26"/>
      <c r="J19" s="12"/>
    </row>
    <row r="20" spans="1:10" ht="26.7" customHeight="1">
      <c r="A20" s="39" t="s">
        <v>469</v>
      </c>
      <c r="B20" s="38" t="s">
        <v>323</v>
      </c>
      <c r="C20" s="7"/>
      <c r="D20" s="259"/>
      <c r="E20" s="260"/>
      <c r="F20" s="279">
        <v>6</v>
      </c>
      <c r="G20" s="260"/>
      <c r="H20" s="38">
        <f t="shared" si="1"/>
        <v>1231</v>
      </c>
      <c r="I20" s="26"/>
      <c r="J20" s="12"/>
    </row>
    <row r="21" spans="1:10" ht="26.7" customHeight="1">
      <c r="A21" s="39" t="s">
        <v>336</v>
      </c>
      <c r="B21" s="38" t="s">
        <v>323</v>
      </c>
      <c r="C21" s="7"/>
      <c r="D21" s="259"/>
      <c r="E21" s="260"/>
      <c r="F21" s="279">
        <v>6</v>
      </c>
      <c r="G21" s="260"/>
      <c r="H21" s="38">
        <f t="shared" si="1"/>
        <v>1225</v>
      </c>
      <c r="I21" s="26"/>
      <c r="J21" s="12"/>
    </row>
    <row r="22" spans="1:10" ht="26.7" customHeight="1">
      <c r="A22" s="39" t="s">
        <v>470</v>
      </c>
      <c r="B22" s="38" t="s">
        <v>323</v>
      </c>
      <c r="C22" s="7"/>
      <c r="D22" s="259"/>
      <c r="E22" s="260"/>
      <c r="F22" s="279">
        <v>33</v>
      </c>
      <c r="G22" s="260"/>
      <c r="H22" s="38">
        <f t="shared" si="1"/>
        <v>1192</v>
      </c>
      <c r="I22" s="26"/>
      <c r="J22" s="12"/>
    </row>
    <row r="23" spans="1:10" ht="26.7" customHeight="1">
      <c r="A23" s="39" t="s">
        <v>434</v>
      </c>
      <c r="B23" s="38" t="s">
        <v>323</v>
      </c>
      <c r="C23" s="7"/>
      <c r="D23" s="259"/>
      <c r="E23" s="260"/>
      <c r="F23" s="279">
        <v>18</v>
      </c>
      <c r="G23" s="260"/>
      <c r="H23" s="38">
        <f t="shared" si="1"/>
        <v>1174</v>
      </c>
      <c r="I23" s="26"/>
      <c r="J23" s="12"/>
    </row>
    <row r="24" spans="1:10" ht="26.7" customHeight="1">
      <c r="A24" s="39" t="s">
        <v>471</v>
      </c>
      <c r="B24" s="38" t="s">
        <v>323</v>
      </c>
      <c r="C24" s="7"/>
      <c r="D24" s="259"/>
      <c r="E24" s="260"/>
      <c r="F24" s="279">
        <v>36</v>
      </c>
      <c r="G24" s="260"/>
      <c r="H24" s="38">
        <f t="shared" si="1"/>
        <v>1138</v>
      </c>
      <c r="I24" s="26"/>
      <c r="J24" s="12"/>
    </row>
    <row r="25" spans="1:10" ht="26.7" customHeight="1">
      <c r="A25" s="39" t="s">
        <v>472</v>
      </c>
      <c r="B25" s="38" t="s">
        <v>323</v>
      </c>
      <c r="C25" s="7"/>
      <c r="D25" s="259"/>
      <c r="E25" s="260"/>
      <c r="F25" s="279">
        <v>30</v>
      </c>
      <c r="G25" s="260"/>
      <c r="H25" s="38">
        <f t="shared" si="1"/>
        <v>1108</v>
      </c>
      <c r="I25" s="28"/>
      <c r="J25" s="12"/>
    </row>
    <row r="26" spans="1:10" ht="26.7" customHeight="1">
      <c r="A26" s="39" t="s">
        <v>337</v>
      </c>
      <c r="B26" s="38" t="s">
        <v>323</v>
      </c>
      <c r="C26" s="7"/>
      <c r="D26" s="259"/>
      <c r="E26" s="260"/>
      <c r="F26" s="279">
        <v>6</v>
      </c>
      <c r="G26" s="260"/>
      <c r="H26" s="38">
        <f t="shared" si="1"/>
        <v>1102</v>
      </c>
      <c r="I26" s="26"/>
      <c r="J26" s="12"/>
    </row>
    <row r="27" spans="1:10" ht="26.7" customHeight="1">
      <c r="A27" s="39" t="s">
        <v>338</v>
      </c>
      <c r="B27" s="38" t="s">
        <v>323</v>
      </c>
      <c r="C27" s="7"/>
      <c r="D27" s="259"/>
      <c r="E27" s="260"/>
      <c r="F27" s="279">
        <v>34</v>
      </c>
      <c r="G27" s="260"/>
      <c r="H27" s="38">
        <f t="shared" si="1"/>
        <v>1068</v>
      </c>
      <c r="I27" s="26"/>
      <c r="J27" s="12"/>
    </row>
    <row r="28" spans="1:10" ht="26.7" customHeight="1">
      <c r="A28" s="39" t="s">
        <v>383</v>
      </c>
      <c r="B28" s="38" t="s">
        <v>323</v>
      </c>
      <c r="C28" s="7"/>
      <c r="D28" s="259"/>
      <c r="E28" s="260"/>
      <c r="F28" s="279">
        <v>21</v>
      </c>
      <c r="G28" s="260"/>
      <c r="H28" s="38">
        <f t="shared" si="1"/>
        <v>1047</v>
      </c>
      <c r="I28" s="26"/>
      <c r="J28" s="12"/>
    </row>
    <row r="29" spans="1:10" ht="26.7" customHeight="1">
      <c r="A29" s="39" t="s">
        <v>473</v>
      </c>
      <c r="B29" s="38" t="s">
        <v>323</v>
      </c>
      <c r="C29" s="7"/>
      <c r="D29" s="259"/>
      <c r="E29" s="260"/>
      <c r="F29" s="279">
        <v>22</v>
      </c>
      <c r="G29" s="260"/>
      <c r="H29" s="38">
        <f t="shared" si="1"/>
        <v>1025</v>
      </c>
      <c r="I29" s="26"/>
      <c r="J29" s="12"/>
    </row>
    <row r="30" spans="1:10" ht="26.7" customHeight="1">
      <c r="A30" s="39" t="s">
        <v>339</v>
      </c>
      <c r="B30" s="38" t="s">
        <v>323</v>
      </c>
      <c r="C30" s="7"/>
      <c r="D30" s="259"/>
      <c r="E30" s="260"/>
      <c r="F30" s="279">
        <v>27</v>
      </c>
      <c r="G30" s="260"/>
      <c r="H30" s="38">
        <f t="shared" si="1"/>
        <v>998</v>
      </c>
      <c r="I30" s="26"/>
      <c r="J30" s="12"/>
    </row>
    <row r="31" spans="1:10" ht="26.7" customHeight="1" thickBot="1">
      <c r="A31" s="39" t="s">
        <v>435</v>
      </c>
      <c r="B31" s="38" t="s">
        <v>323</v>
      </c>
      <c r="C31" s="31"/>
      <c r="D31" s="264"/>
      <c r="E31" s="265"/>
      <c r="F31" s="279">
        <v>24</v>
      </c>
      <c r="G31" s="260"/>
      <c r="H31" s="38">
        <f t="shared" si="1"/>
        <v>974</v>
      </c>
      <c r="I31" s="32"/>
      <c r="J31" s="12"/>
    </row>
    <row r="32" spans="1:10" ht="21" customHeight="1">
      <c r="A32" s="39" t="s">
        <v>412</v>
      </c>
      <c r="B32" s="38" t="s">
        <v>323</v>
      </c>
      <c r="C32" s="22"/>
      <c r="D32" s="276"/>
      <c r="E32" s="277"/>
      <c r="F32" s="279">
        <v>30</v>
      </c>
      <c r="G32" s="260"/>
      <c r="H32" s="38">
        <f t="shared" si="1"/>
        <v>944</v>
      </c>
      <c r="I32" s="22"/>
      <c r="J32" s="3"/>
    </row>
    <row r="33" spans="1:9" ht="21" customHeight="1">
      <c r="A33" s="39" t="s">
        <v>474</v>
      </c>
      <c r="B33" s="38" t="s">
        <v>323</v>
      </c>
      <c r="C33" s="7"/>
      <c r="D33" s="259"/>
      <c r="E33" s="260"/>
      <c r="F33" s="279">
        <v>14</v>
      </c>
      <c r="G33" s="260"/>
      <c r="H33" s="38">
        <f t="shared" si="1"/>
        <v>930</v>
      </c>
      <c r="I33" s="7"/>
    </row>
    <row r="34" spans="1:9" ht="21" customHeight="1">
      <c r="A34" s="41" t="s">
        <v>384</v>
      </c>
      <c r="B34" s="38" t="s">
        <v>323</v>
      </c>
      <c r="C34" s="7"/>
      <c r="D34" s="259"/>
      <c r="E34" s="260"/>
      <c r="F34" s="279">
        <v>15</v>
      </c>
      <c r="G34" s="260"/>
      <c r="H34" s="38">
        <f t="shared" si="1"/>
        <v>915</v>
      </c>
      <c r="I34" s="16"/>
    </row>
    <row r="35" spans="1:9" ht="21" customHeight="1">
      <c r="A35" s="39" t="s">
        <v>436</v>
      </c>
      <c r="B35" s="38" t="s">
        <v>323</v>
      </c>
      <c r="C35" s="7"/>
      <c r="D35" s="259"/>
      <c r="E35" s="260"/>
      <c r="F35" s="279">
        <v>30</v>
      </c>
      <c r="G35" s="260"/>
      <c r="H35" s="38">
        <f t="shared" si="1"/>
        <v>885</v>
      </c>
      <c r="I35" s="7"/>
    </row>
    <row r="36" spans="1:9" ht="21" customHeight="1">
      <c r="A36" s="41" t="s">
        <v>340</v>
      </c>
      <c r="B36" s="38" t="s">
        <v>323</v>
      </c>
      <c r="C36" s="7"/>
      <c r="D36" s="259"/>
      <c r="E36" s="260"/>
      <c r="F36" s="279">
        <v>18</v>
      </c>
      <c r="G36" s="260"/>
      <c r="H36" s="38">
        <f t="shared" si="1"/>
        <v>867</v>
      </c>
      <c r="I36" s="7"/>
    </row>
    <row r="37" spans="1:9" ht="21" customHeight="1">
      <c r="A37" s="39" t="s">
        <v>475</v>
      </c>
      <c r="B37" s="38" t="s">
        <v>323</v>
      </c>
      <c r="C37" s="3"/>
      <c r="D37" s="259"/>
      <c r="E37" s="260"/>
      <c r="F37" s="279">
        <v>12</v>
      </c>
      <c r="G37" s="260"/>
      <c r="H37" s="38">
        <f t="shared" si="1"/>
        <v>855</v>
      </c>
      <c r="I37" s="16"/>
    </row>
    <row r="38" spans="1:9" ht="21" customHeight="1">
      <c r="A38" s="39" t="s">
        <v>476</v>
      </c>
      <c r="B38" s="38" t="s">
        <v>323</v>
      </c>
      <c r="C38" s="3"/>
      <c r="D38" s="259"/>
      <c r="E38" s="260"/>
      <c r="F38" s="279">
        <v>21</v>
      </c>
      <c r="G38" s="260"/>
      <c r="H38" s="38">
        <f t="shared" si="1"/>
        <v>834</v>
      </c>
      <c r="I38" s="7"/>
    </row>
    <row r="39" spans="1:9" ht="21" customHeight="1">
      <c r="A39" s="39" t="s">
        <v>477</v>
      </c>
      <c r="B39" s="38" t="s">
        <v>323</v>
      </c>
      <c r="C39" s="3"/>
      <c r="D39" s="259"/>
      <c r="E39" s="260"/>
      <c r="F39" s="279">
        <v>44</v>
      </c>
      <c r="G39" s="260"/>
      <c r="H39" s="38">
        <f t="shared" si="1"/>
        <v>790</v>
      </c>
      <c r="I39" s="7"/>
    </row>
    <row r="40" spans="1:9" ht="21" customHeight="1">
      <c r="A40" s="39" t="s">
        <v>342</v>
      </c>
      <c r="B40" s="38" t="s">
        <v>323</v>
      </c>
      <c r="C40" s="3"/>
      <c r="D40" s="259"/>
      <c r="E40" s="260"/>
      <c r="F40" s="279">
        <v>67</v>
      </c>
      <c r="G40" s="260"/>
      <c r="H40" s="38">
        <f t="shared" si="1"/>
        <v>723</v>
      </c>
      <c r="I40" s="7"/>
    </row>
    <row r="41" spans="1:9" ht="21" customHeight="1">
      <c r="A41" s="39" t="s">
        <v>343</v>
      </c>
      <c r="B41" s="38" t="s">
        <v>323</v>
      </c>
      <c r="C41" s="3"/>
      <c r="D41" s="259"/>
      <c r="E41" s="260"/>
      <c r="F41" s="279">
        <v>21</v>
      </c>
      <c r="G41" s="260"/>
      <c r="H41" s="38">
        <f t="shared" si="1"/>
        <v>702</v>
      </c>
      <c r="I41" s="7"/>
    </row>
    <row r="42" spans="1:9" ht="21" customHeight="1">
      <c r="A42" s="39" t="s">
        <v>478</v>
      </c>
      <c r="B42" s="38" t="s">
        <v>323</v>
      </c>
      <c r="C42" s="3"/>
      <c r="D42" s="259"/>
      <c r="E42" s="260"/>
      <c r="F42" s="279">
        <v>12</v>
      </c>
      <c r="G42" s="260"/>
      <c r="H42" s="38">
        <f t="shared" si="1"/>
        <v>690</v>
      </c>
      <c r="I42" s="7"/>
    </row>
    <row r="43" spans="1:9" ht="21" customHeight="1">
      <c r="A43" s="39" t="s">
        <v>346</v>
      </c>
      <c r="B43" s="38" t="s">
        <v>323</v>
      </c>
      <c r="C43" s="3"/>
      <c r="D43" s="259"/>
      <c r="E43" s="260"/>
      <c r="F43" s="279">
        <v>6</v>
      </c>
      <c r="G43" s="260"/>
      <c r="H43" s="38">
        <f t="shared" si="1"/>
        <v>684</v>
      </c>
      <c r="I43" s="7"/>
    </row>
    <row r="44" spans="1:9" ht="21" customHeight="1">
      <c r="A44" s="39" t="s">
        <v>479</v>
      </c>
      <c r="B44" s="38" t="s">
        <v>323</v>
      </c>
      <c r="C44" s="3"/>
      <c r="D44" s="259"/>
      <c r="E44" s="260"/>
      <c r="F44" s="279">
        <v>6</v>
      </c>
      <c r="G44" s="260"/>
      <c r="H44" s="38">
        <f t="shared" si="1"/>
        <v>678</v>
      </c>
      <c r="I44" s="7"/>
    </row>
    <row r="45" spans="1:9" ht="21" customHeight="1">
      <c r="A45" s="39" t="s">
        <v>480</v>
      </c>
      <c r="B45" s="38" t="s">
        <v>323</v>
      </c>
      <c r="C45" s="3"/>
      <c r="D45" s="259"/>
      <c r="E45" s="260"/>
      <c r="F45" s="279">
        <v>28</v>
      </c>
      <c r="G45" s="260"/>
      <c r="H45" s="38">
        <f t="shared" si="1"/>
        <v>650</v>
      </c>
      <c r="I45" s="7"/>
    </row>
    <row r="46" spans="1:9" ht="21" customHeight="1">
      <c r="A46" s="39" t="s">
        <v>387</v>
      </c>
      <c r="B46" s="38" t="s">
        <v>323</v>
      </c>
      <c r="C46" s="3"/>
      <c r="D46" s="259"/>
      <c r="E46" s="260"/>
      <c r="F46" s="279">
        <v>10</v>
      </c>
      <c r="G46" s="260"/>
      <c r="H46" s="38">
        <f t="shared" si="1"/>
        <v>640</v>
      </c>
      <c r="I46" s="7"/>
    </row>
    <row r="47" spans="1:9" ht="21" customHeight="1">
      <c r="A47" s="39" t="s">
        <v>481</v>
      </c>
      <c r="B47" s="38" t="s">
        <v>323</v>
      </c>
      <c r="C47" s="3"/>
      <c r="D47" s="259"/>
      <c r="E47" s="260"/>
      <c r="F47" s="279">
        <v>21</v>
      </c>
      <c r="G47" s="260"/>
      <c r="H47" s="38">
        <f t="shared" si="1"/>
        <v>619</v>
      </c>
      <c r="I47" s="7"/>
    </row>
    <row r="48" spans="1:9" ht="21" customHeight="1">
      <c r="A48" s="39" t="s">
        <v>347</v>
      </c>
      <c r="B48" s="38" t="s">
        <v>323</v>
      </c>
      <c r="C48" s="10"/>
      <c r="D48" s="259"/>
      <c r="E48" s="260"/>
      <c r="F48" s="279">
        <v>18</v>
      </c>
      <c r="G48" s="260"/>
      <c r="H48" s="38">
        <f t="shared" si="1"/>
        <v>601</v>
      </c>
      <c r="I48" s="11"/>
    </row>
    <row r="49" spans="1:9" ht="21" customHeight="1">
      <c r="A49" s="39" t="s">
        <v>348</v>
      </c>
      <c r="B49" s="38" t="s">
        <v>323</v>
      </c>
      <c r="C49" s="9"/>
      <c r="D49" s="259"/>
      <c r="E49" s="260"/>
      <c r="F49" s="279">
        <v>21</v>
      </c>
      <c r="G49" s="260"/>
      <c r="H49" s="38">
        <f t="shared" si="1"/>
        <v>580</v>
      </c>
      <c r="I49" s="7"/>
    </row>
    <row r="50" spans="1:9" ht="21" customHeight="1">
      <c r="A50" s="39" t="s">
        <v>349</v>
      </c>
      <c r="B50" s="38" t="s">
        <v>324</v>
      </c>
      <c r="C50" s="3">
        <v>1000</v>
      </c>
      <c r="D50" s="259" t="s">
        <v>467</v>
      </c>
      <c r="E50" s="260"/>
      <c r="F50" s="279"/>
      <c r="G50" s="260"/>
      <c r="H50" s="38">
        <v>1580</v>
      </c>
      <c r="I50" s="109" t="s">
        <v>457</v>
      </c>
    </row>
    <row r="51" spans="1:9" ht="21" customHeight="1">
      <c r="A51" s="39" t="s">
        <v>388</v>
      </c>
      <c r="B51" s="38" t="s">
        <v>323</v>
      </c>
      <c r="C51" s="3"/>
      <c r="D51" s="259"/>
      <c r="E51" s="260"/>
      <c r="F51" s="279">
        <v>21</v>
      </c>
      <c r="G51" s="260"/>
      <c r="H51" s="38">
        <f t="shared" ref="H51:H82" si="2">H50-F51</f>
        <v>1559</v>
      </c>
      <c r="I51" s="7"/>
    </row>
    <row r="52" spans="1:9" ht="21" customHeight="1">
      <c r="A52" s="39" t="s">
        <v>439</v>
      </c>
      <c r="B52" s="38" t="s">
        <v>323</v>
      </c>
      <c r="C52" s="3"/>
      <c r="D52" s="259"/>
      <c r="E52" s="260"/>
      <c r="F52" s="279">
        <v>24</v>
      </c>
      <c r="G52" s="260"/>
      <c r="H52" s="38">
        <f t="shared" si="2"/>
        <v>1535</v>
      </c>
      <c r="I52" s="7"/>
    </row>
    <row r="53" spans="1:9" ht="21" customHeight="1">
      <c r="A53" s="39" t="s">
        <v>482</v>
      </c>
      <c r="B53" s="38" t="s">
        <v>323</v>
      </c>
      <c r="C53" s="3"/>
      <c r="D53" s="259"/>
      <c r="E53" s="260"/>
      <c r="F53" s="279">
        <v>6</v>
      </c>
      <c r="G53" s="260"/>
      <c r="H53" s="38">
        <f t="shared" si="2"/>
        <v>1529</v>
      </c>
      <c r="I53" s="7"/>
    </row>
    <row r="54" spans="1:9" ht="25.2" customHeight="1">
      <c r="A54" s="39" t="s">
        <v>483</v>
      </c>
      <c r="B54" s="38" t="s">
        <v>323</v>
      </c>
      <c r="C54" s="56"/>
      <c r="D54" s="287"/>
      <c r="E54" s="260"/>
      <c r="F54" s="279">
        <v>60</v>
      </c>
      <c r="G54" s="260"/>
      <c r="H54" s="38">
        <f t="shared" si="2"/>
        <v>1469</v>
      </c>
      <c r="I54" s="117"/>
    </row>
    <row r="55" spans="1:9" ht="21" customHeight="1">
      <c r="A55" s="39" t="s">
        <v>351</v>
      </c>
      <c r="B55" s="38" t="s">
        <v>323</v>
      </c>
      <c r="C55" s="3"/>
      <c r="D55" s="259"/>
      <c r="E55" s="260"/>
      <c r="F55" s="279">
        <v>61</v>
      </c>
      <c r="G55" s="260"/>
      <c r="H55" s="38">
        <f t="shared" si="2"/>
        <v>1408</v>
      </c>
      <c r="I55" s="7"/>
    </row>
    <row r="56" spans="1:9" ht="21" customHeight="1">
      <c r="A56" s="39" t="s">
        <v>389</v>
      </c>
      <c r="B56" s="38" t="s">
        <v>323</v>
      </c>
      <c r="C56" s="3"/>
      <c r="D56" s="259"/>
      <c r="E56" s="260"/>
      <c r="F56" s="279">
        <v>51</v>
      </c>
      <c r="G56" s="260"/>
      <c r="H56" s="38">
        <f t="shared" si="2"/>
        <v>1357</v>
      </c>
      <c r="I56" s="7"/>
    </row>
    <row r="57" spans="1:9" ht="21" customHeight="1">
      <c r="A57" s="39" t="s">
        <v>390</v>
      </c>
      <c r="B57" s="38" t="s">
        <v>323</v>
      </c>
      <c r="C57" s="3"/>
      <c r="D57" s="259"/>
      <c r="E57" s="260"/>
      <c r="F57" s="279">
        <v>5</v>
      </c>
      <c r="G57" s="260"/>
      <c r="H57" s="38">
        <f t="shared" si="2"/>
        <v>1352</v>
      </c>
      <c r="I57" s="7"/>
    </row>
    <row r="58" spans="1:9" ht="21" customHeight="1">
      <c r="A58" s="39" t="s">
        <v>440</v>
      </c>
      <c r="B58" s="38" t="s">
        <v>323</v>
      </c>
      <c r="C58" s="3"/>
      <c r="D58" s="259"/>
      <c r="E58" s="260"/>
      <c r="F58" s="279">
        <v>18</v>
      </c>
      <c r="G58" s="260"/>
      <c r="H58" s="38">
        <f t="shared" si="2"/>
        <v>1334</v>
      </c>
      <c r="I58" s="7"/>
    </row>
    <row r="59" spans="1:9" ht="21" customHeight="1">
      <c r="A59" s="39" t="s">
        <v>484</v>
      </c>
      <c r="B59" s="38" t="s">
        <v>323</v>
      </c>
      <c r="C59" s="9"/>
      <c r="D59" s="259"/>
      <c r="E59" s="260"/>
      <c r="F59" s="279">
        <v>14</v>
      </c>
      <c r="G59" s="260"/>
      <c r="H59" s="38">
        <f t="shared" si="2"/>
        <v>1320</v>
      </c>
      <c r="I59" s="7"/>
    </row>
    <row r="60" spans="1:9" ht="21" customHeight="1">
      <c r="A60" s="39" t="s">
        <v>485</v>
      </c>
      <c r="B60" s="38" t="s">
        <v>323</v>
      </c>
      <c r="C60" s="3"/>
      <c r="D60" s="259"/>
      <c r="E60" s="260"/>
      <c r="F60" s="279">
        <v>21</v>
      </c>
      <c r="G60" s="260"/>
      <c r="H60" s="38">
        <f t="shared" si="2"/>
        <v>1299</v>
      </c>
      <c r="I60" s="7"/>
    </row>
    <row r="61" spans="1:9" ht="21" customHeight="1">
      <c r="A61" s="39" t="s">
        <v>486</v>
      </c>
      <c r="B61" s="38" t="s">
        <v>323</v>
      </c>
      <c r="C61" s="3"/>
      <c r="D61" s="259"/>
      <c r="E61" s="260"/>
      <c r="F61" s="279">
        <v>24</v>
      </c>
      <c r="G61" s="260"/>
      <c r="H61" s="38">
        <f t="shared" si="2"/>
        <v>1275</v>
      </c>
      <c r="I61" s="7"/>
    </row>
    <row r="62" spans="1:9" ht="21" customHeight="1">
      <c r="A62" s="39" t="s">
        <v>487</v>
      </c>
      <c r="B62" s="38" t="s">
        <v>323</v>
      </c>
      <c r="C62" s="3"/>
      <c r="D62" s="259"/>
      <c r="E62" s="260"/>
      <c r="F62" s="279">
        <v>22</v>
      </c>
      <c r="G62" s="260"/>
      <c r="H62" s="38">
        <f t="shared" si="2"/>
        <v>1253</v>
      </c>
      <c r="I62" s="7"/>
    </row>
    <row r="63" spans="1:9" ht="21" customHeight="1">
      <c r="A63" s="39" t="s">
        <v>415</v>
      </c>
      <c r="B63" s="38" t="s">
        <v>323</v>
      </c>
      <c r="C63" s="3"/>
      <c r="D63" s="259"/>
      <c r="E63" s="260"/>
      <c r="F63" s="279">
        <v>9</v>
      </c>
      <c r="G63" s="260"/>
      <c r="H63" s="38">
        <f t="shared" si="2"/>
        <v>1244</v>
      </c>
      <c r="I63" s="7"/>
    </row>
    <row r="64" spans="1:9" ht="21" customHeight="1">
      <c r="A64" s="39" t="s">
        <v>441</v>
      </c>
      <c r="B64" s="38" t="s">
        <v>323</v>
      </c>
      <c r="C64" s="3"/>
      <c r="D64" s="259"/>
      <c r="E64" s="260"/>
      <c r="F64" s="279">
        <v>18</v>
      </c>
      <c r="G64" s="260"/>
      <c r="H64" s="38">
        <f t="shared" si="2"/>
        <v>1226</v>
      </c>
      <c r="I64" s="7" t="s">
        <v>468</v>
      </c>
    </row>
    <row r="65" spans="1:9" ht="21" customHeight="1">
      <c r="A65" s="39" t="s">
        <v>488</v>
      </c>
      <c r="B65" s="38" t="s">
        <v>323</v>
      </c>
      <c r="C65" s="3"/>
      <c r="D65" s="259"/>
      <c r="E65" s="260"/>
      <c r="F65" s="279">
        <v>9</v>
      </c>
      <c r="G65" s="260"/>
      <c r="H65" s="38">
        <f t="shared" si="2"/>
        <v>1217</v>
      </c>
      <c r="I65" s="7"/>
    </row>
    <row r="66" spans="1:9" ht="21" customHeight="1">
      <c r="A66" s="39" t="s">
        <v>352</v>
      </c>
      <c r="B66" s="38" t="s">
        <v>323</v>
      </c>
      <c r="C66" s="3"/>
      <c r="D66" s="259"/>
      <c r="E66" s="260"/>
      <c r="F66" s="279">
        <v>15</v>
      </c>
      <c r="G66" s="260"/>
      <c r="H66" s="38">
        <f t="shared" si="2"/>
        <v>1202</v>
      </c>
      <c r="I66" s="7"/>
    </row>
    <row r="67" spans="1:9" ht="21" customHeight="1">
      <c r="A67" s="39" t="s">
        <v>489</v>
      </c>
      <c r="B67" s="38" t="s">
        <v>323</v>
      </c>
      <c r="C67" s="3"/>
      <c r="D67" s="259"/>
      <c r="E67" s="260"/>
      <c r="F67" s="279">
        <v>9</v>
      </c>
      <c r="G67" s="260"/>
      <c r="H67" s="38">
        <f t="shared" si="2"/>
        <v>1193</v>
      </c>
      <c r="I67" s="7"/>
    </row>
    <row r="68" spans="1:9" ht="21" customHeight="1">
      <c r="A68" s="39" t="s">
        <v>353</v>
      </c>
      <c r="B68" s="38" t="s">
        <v>323</v>
      </c>
      <c r="C68" s="3"/>
      <c r="D68" s="259"/>
      <c r="E68" s="260"/>
      <c r="F68" s="279">
        <v>3</v>
      </c>
      <c r="G68" s="260"/>
      <c r="H68" s="38">
        <f t="shared" si="2"/>
        <v>1190</v>
      </c>
      <c r="I68" s="7"/>
    </row>
    <row r="69" spans="1:9" ht="21" customHeight="1">
      <c r="A69" s="39" t="s">
        <v>391</v>
      </c>
      <c r="B69" s="38" t="s">
        <v>323</v>
      </c>
      <c r="C69" s="3"/>
      <c r="D69" s="259"/>
      <c r="E69" s="260"/>
      <c r="F69" s="279">
        <v>9</v>
      </c>
      <c r="G69" s="260"/>
      <c r="H69" s="38">
        <f t="shared" si="2"/>
        <v>1181</v>
      </c>
      <c r="I69" s="7"/>
    </row>
    <row r="70" spans="1:9" ht="21" customHeight="1">
      <c r="A70" s="39" t="s">
        <v>442</v>
      </c>
      <c r="B70" s="38" t="s">
        <v>323</v>
      </c>
      <c r="C70" s="3"/>
      <c r="D70" s="259"/>
      <c r="E70" s="260"/>
      <c r="F70" s="279">
        <v>18</v>
      </c>
      <c r="G70" s="260"/>
      <c r="H70" s="38">
        <f t="shared" si="2"/>
        <v>1163</v>
      </c>
      <c r="I70" s="7"/>
    </row>
    <row r="71" spans="1:9" ht="21" customHeight="1">
      <c r="A71" s="39" t="s">
        <v>490</v>
      </c>
      <c r="B71" s="38" t="s">
        <v>323</v>
      </c>
      <c r="C71" s="3"/>
      <c r="D71" s="259"/>
      <c r="E71" s="260"/>
      <c r="F71" s="279">
        <v>21</v>
      </c>
      <c r="G71" s="260"/>
      <c r="H71" s="38">
        <f t="shared" si="2"/>
        <v>1142</v>
      </c>
      <c r="I71" s="7"/>
    </row>
    <row r="72" spans="1:9" ht="21" customHeight="1">
      <c r="A72" s="39" t="s">
        <v>491</v>
      </c>
      <c r="B72" s="38" t="s">
        <v>323</v>
      </c>
      <c r="C72" s="3"/>
      <c r="D72" s="259"/>
      <c r="E72" s="260"/>
      <c r="F72" s="279">
        <v>30</v>
      </c>
      <c r="G72" s="260"/>
      <c r="H72" s="38">
        <f t="shared" si="2"/>
        <v>1112</v>
      </c>
      <c r="I72" s="7"/>
    </row>
    <row r="73" spans="1:9" ht="21" customHeight="1">
      <c r="A73" s="39" t="s">
        <v>393</v>
      </c>
      <c r="B73" s="38" t="s">
        <v>323</v>
      </c>
      <c r="C73" s="3"/>
      <c r="D73" s="259"/>
      <c r="E73" s="260"/>
      <c r="F73" s="279">
        <v>27</v>
      </c>
      <c r="G73" s="260"/>
      <c r="H73" s="38">
        <f t="shared" si="2"/>
        <v>1085</v>
      </c>
      <c r="I73" s="7"/>
    </row>
    <row r="74" spans="1:9" ht="21" customHeight="1">
      <c r="A74" s="39" t="s">
        <v>416</v>
      </c>
      <c r="B74" s="38" t="s">
        <v>323</v>
      </c>
      <c r="C74" s="3"/>
      <c r="D74" s="259"/>
      <c r="E74" s="260"/>
      <c r="F74" s="279">
        <v>6</v>
      </c>
      <c r="G74" s="260"/>
      <c r="H74" s="38">
        <f t="shared" si="2"/>
        <v>1079</v>
      </c>
      <c r="I74" s="7"/>
    </row>
    <row r="75" spans="1:9" ht="21" customHeight="1">
      <c r="A75" s="39" t="s">
        <v>418</v>
      </c>
      <c r="B75" s="38" t="s">
        <v>323</v>
      </c>
      <c r="C75" s="3"/>
      <c r="D75" s="259"/>
      <c r="E75" s="260"/>
      <c r="F75" s="279">
        <v>42</v>
      </c>
      <c r="G75" s="260"/>
      <c r="H75" s="38">
        <f t="shared" si="2"/>
        <v>1037</v>
      </c>
      <c r="I75" s="7"/>
    </row>
    <row r="76" spans="1:9" ht="21" customHeight="1">
      <c r="A76" s="39" t="s">
        <v>492</v>
      </c>
      <c r="B76" s="38" t="s">
        <v>323</v>
      </c>
      <c r="C76" s="3"/>
      <c r="D76" s="259"/>
      <c r="E76" s="260"/>
      <c r="F76" s="279">
        <v>21</v>
      </c>
      <c r="G76" s="260"/>
      <c r="H76" s="38">
        <f t="shared" si="2"/>
        <v>1016</v>
      </c>
      <c r="I76" s="7"/>
    </row>
    <row r="77" spans="1:9" ht="21" customHeight="1">
      <c r="A77" s="39" t="s">
        <v>394</v>
      </c>
      <c r="B77" s="38" t="s">
        <v>323</v>
      </c>
      <c r="C77" s="3"/>
      <c r="D77" s="259"/>
      <c r="E77" s="260"/>
      <c r="F77" s="279">
        <v>15</v>
      </c>
      <c r="G77" s="260"/>
      <c r="H77" s="38">
        <f t="shared" si="2"/>
        <v>1001</v>
      </c>
      <c r="I77" s="7"/>
    </row>
    <row r="78" spans="1:9" ht="21" customHeight="1">
      <c r="A78" s="39" t="s">
        <v>444</v>
      </c>
      <c r="B78" s="38" t="s">
        <v>323</v>
      </c>
      <c r="C78" s="3"/>
      <c r="D78" s="259"/>
      <c r="E78" s="260"/>
      <c r="F78" s="279">
        <v>15</v>
      </c>
      <c r="G78" s="260"/>
      <c r="H78" s="38">
        <f t="shared" si="2"/>
        <v>986</v>
      </c>
      <c r="I78" s="7"/>
    </row>
    <row r="79" spans="1:9" ht="21" customHeight="1">
      <c r="A79" s="39" t="s">
        <v>493</v>
      </c>
      <c r="B79" s="38" t="s">
        <v>323</v>
      </c>
      <c r="C79" s="3"/>
      <c r="D79" s="259"/>
      <c r="E79" s="260"/>
      <c r="F79" s="279">
        <v>6</v>
      </c>
      <c r="G79" s="260"/>
      <c r="H79" s="38">
        <f t="shared" si="2"/>
        <v>980</v>
      </c>
      <c r="I79" s="7"/>
    </row>
    <row r="80" spans="1:9" ht="21" customHeight="1">
      <c r="A80" s="39" t="s">
        <v>445</v>
      </c>
      <c r="B80" s="38" t="s">
        <v>323</v>
      </c>
      <c r="C80" s="9"/>
      <c r="D80" s="259"/>
      <c r="E80" s="260"/>
      <c r="F80" s="279">
        <v>27</v>
      </c>
      <c r="G80" s="260"/>
      <c r="H80" s="38">
        <f t="shared" si="2"/>
        <v>953</v>
      </c>
      <c r="I80" s="7"/>
    </row>
    <row r="81" spans="1:9" ht="21" customHeight="1">
      <c r="A81" s="39" t="s">
        <v>356</v>
      </c>
      <c r="B81" s="38" t="s">
        <v>323</v>
      </c>
      <c r="C81" s="3"/>
      <c r="D81" s="259"/>
      <c r="E81" s="260"/>
      <c r="F81" s="279">
        <v>12</v>
      </c>
      <c r="G81" s="260"/>
      <c r="H81" s="38">
        <f t="shared" si="2"/>
        <v>941</v>
      </c>
      <c r="I81" s="7"/>
    </row>
    <row r="82" spans="1:9" ht="21" customHeight="1">
      <c r="A82" s="39" t="s">
        <v>494</v>
      </c>
      <c r="B82" s="38" t="s">
        <v>323</v>
      </c>
      <c r="C82" s="9"/>
      <c r="D82" s="259"/>
      <c r="E82" s="260"/>
      <c r="F82" s="279">
        <v>15</v>
      </c>
      <c r="G82" s="260"/>
      <c r="H82" s="38">
        <f t="shared" si="2"/>
        <v>926</v>
      </c>
      <c r="I82" s="11"/>
    </row>
    <row r="83" spans="1:9" ht="21" customHeight="1">
      <c r="A83" s="39" t="s">
        <v>495</v>
      </c>
      <c r="B83" s="38" t="s">
        <v>323</v>
      </c>
      <c r="C83" s="3"/>
      <c r="D83" s="259"/>
      <c r="E83" s="260"/>
      <c r="F83" s="279">
        <v>21</v>
      </c>
      <c r="G83" s="260"/>
      <c r="H83" s="38">
        <f t="shared" ref="H83:H114" si="3">H82-F83</f>
        <v>905</v>
      </c>
      <c r="I83" s="7"/>
    </row>
    <row r="84" spans="1:9" ht="21" customHeight="1">
      <c r="A84" s="39" t="s">
        <v>496</v>
      </c>
      <c r="B84" s="38" t="s">
        <v>323</v>
      </c>
      <c r="C84" s="9"/>
      <c r="D84" s="259"/>
      <c r="E84" s="260"/>
      <c r="F84" s="279">
        <v>9</v>
      </c>
      <c r="G84" s="260"/>
      <c r="H84" s="38">
        <f t="shared" si="3"/>
        <v>896</v>
      </c>
      <c r="I84" s="7"/>
    </row>
    <row r="85" spans="1:9" ht="21" customHeight="1">
      <c r="A85" s="39" t="s">
        <v>357</v>
      </c>
      <c r="B85" s="38" t="s">
        <v>323</v>
      </c>
      <c r="C85" s="3"/>
      <c r="D85" s="259"/>
      <c r="E85" s="260"/>
      <c r="F85" s="279">
        <v>9</v>
      </c>
      <c r="G85" s="260"/>
      <c r="H85" s="38">
        <f t="shared" si="3"/>
        <v>887</v>
      </c>
      <c r="I85" s="7"/>
    </row>
    <row r="86" spans="1:9" ht="21" customHeight="1">
      <c r="A86" s="39" t="s">
        <v>447</v>
      </c>
      <c r="B86" s="38" t="s">
        <v>323</v>
      </c>
      <c r="C86" s="3"/>
      <c r="D86" s="259"/>
      <c r="E86" s="260"/>
      <c r="F86" s="279">
        <v>28</v>
      </c>
      <c r="G86" s="260"/>
      <c r="H86" s="38">
        <f t="shared" si="3"/>
        <v>859</v>
      </c>
      <c r="I86" s="7"/>
    </row>
    <row r="87" spans="1:9" ht="21" customHeight="1">
      <c r="A87" s="39" t="s">
        <v>497</v>
      </c>
      <c r="B87" s="38" t="s">
        <v>323</v>
      </c>
      <c r="C87" s="3"/>
      <c r="D87" s="259"/>
      <c r="E87" s="260"/>
      <c r="F87" s="279">
        <v>12</v>
      </c>
      <c r="G87" s="260"/>
      <c r="H87" s="38">
        <f t="shared" si="3"/>
        <v>847</v>
      </c>
      <c r="I87" s="7"/>
    </row>
    <row r="88" spans="1:9" ht="21" customHeight="1">
      <c r="A88" s="39" t="s">
        <v>358</v>
      </c>
      <c r="B88" s="38" t="s">
        <v>323</v>
      </c>
      <c r="C88" s="3"/>
      <c r="D88" s="259"/>
      <c r="E88" s="260"/>
      <c r="F88" s="279">
        <v>30</v>
      </c>
      <c r="G88" s="260"/>
      <c r="H88" s="38">
        <f t="shared" si="3"/>
        <v>817</v>
      </c>
      <c r="I88" s="7"/>
    </row>
    <row r="89" spans="1:9" ht="21" customHeight="1">
      <c r="A89" s="58" t="s">
        <v>498</v>
      </c>
      <c r="B89" s="38" t="s">
        <v>323</v>
      </c>
      <c r="C89" s="3"/>
      <c r="D89" s="259"/>
      <c r="E89" s="260"/>
      <c r="F89" s="279">
        <v>30</v>
      </c>
      <c r="G89" s="260"/>
      <c r="H89" s="38">
        <f t="shared" si="3"/>
        <v>787</v>
      </c>
      <c r="I89" s="7"/>
    </row>
    <row r="90" spans="1:9" ht="21" customHeight="1">
      <c r="A90" s="39" t="s">
        <v>499</v>
      </c>
      <c r="B90" s="38" t="s">
        <v>323</v>
      </c>
      <c r="C90" s="3"/>
      <c r="D90" s="259"/>
      <c r="E90" s="260"/>
      <c r="F90" s="279">
        <v>9</v>
      </c>
      <c r="G90" s="260"/>
      <c r="H90" s="38">
        <f t="shared" si="3"/>
        <v>778</v>
      </c>
      <c r="I90" s="7"/>
    </row>
    <row r="91" spans="1:9" ht="21" customHeight="1">
      <c r="A91" s="39" t="s">
        <v>448</v>
      </c>
      <c r="B91" s="38" t="s">
        <v>323</v>
      </c>
      <c r="C91" s="3"/>
      <c r="D91" s="259"/>
      <c r="E91" s="260"/>
      <c r="F91" s="279">
        <v>27</v>
      </c>
      <c r="G91" s="260"/>
      <c r="H91" s="38">
        <f t="shared" si="3"/>
        <v>751</v>
      </c>
      <c r="I91" s="7"/>
    </row>
    <row r="92" spans="1:9" ht="21" customHeight="1">
      <c r="A92" s="39" t="s">
        <v>500</v>
      </c>
      <c r="B92" s="38" t="s">
        <v>323</v>
      </c>
      <c r="C92" s="3"/>
      <c r="D92" s="259"/>
      <c r="E92" s="260"/>
      <c r="F92" s="279">
        <v>30</v>
      </c>
      <c r="G92" s="260"/>
      <c r="H92" s="38">
        <f t="shared" si="3"/>
        <v>721</v>
      </c>
      <c r="I92" s="7"/>
    </row>
    <row r="93" spans="1:9" ht="21" customHeight="1">
      <c r="A93" s="39" t="s">
        <v>501</v>
      </c>
      <c r="B93" s="38" t="s">
        <v>323</v>
      </c>
      <c r="C93" s="3"/>
      <c r="D93" s="259"/>
      <c r="E93" s="260"/>
      <c r="F93" s="279">
        <v>9</v>
      </c>
      <c r="G93" s="260"/>
      <c r="H93" s="38">
        <f t="shared" si="3"/>
        <v>712</v>
      </c>
      <c r="I93" s="7"/>
    </row>
    <row r="94" spans="1:9" ht="21" customHeight="1">
      <c r="A94" s="39" t="s">
        <v>359</v>
      </c>
      <c r="B94" s="38" t="s">
        <v>323</v>
      </c>
      <c r="C94" s="3"/>
      <c r="D94" s="259"/>
      <c r="E94" s="260"/>
      <c r="F94" s="279">
        <v>21</v>
      </c>
      <c r="G94" s="260"/>
      <c r="H94" s="38">
        <f t="shared" si="3"/>
        <v>691</v>
      </c>
      <c r="I94" s="7"/>
    </row>
    <row r="95" spans="1:9" ht="21" customHeight="1">
      <c r="A95" s="39" t="s">
        <v>395</v>
      </c>
      <c r="B95" s="38" t="s">
        <v>323</v>
      </c>
      <c r="C95" s="3"/>
      <c r="D95" s="259"/>
      <c r="E95" s="260"/>
      <c r="F95" s="279">
        <v>9</v>
      </c>
      <c r="G95" s="260"/>
      <c r="H95" s="38">
        <f t="shared" si="3"/>
        <v>682</v>
      </c>
      <c r="I95" s="7"/>
    </row>
    <row r="96" spans="1:9" ht="21" customHeight="1">
      <c r="A96" s="39" t="s">
        <v>396</v>
      </c>
      <c r="B96" s="38" t="s">
        <v>323</v>
      </c>
      <c r="C96" s="3"/>
      <c r="D96" s="259"/>
      <c r="E96" s="260"/>
      <c r="F96" s="279">
        <v>18</v>
      </c>
      <c r="G96" s="260"/>
      <c r="H96" s="38">
        <f t="shared" si="3"/>
        <v>664</v>
      </c>
      <c r="I96" s="7"/>
    </row>
    <row r="97" spans="1:9" ht="21" customHeight="1">
      <c r="A97" s="39" t="s">
        <v>360</v>
      </c>
      <c r="B97" s="38" t="s">
        <v>323</v>
      </c>
      <c r="C97" s="3"/>
      <c r="D97" s="259"/>
      <c r="E97" s="260"/>
      <c r="F97" s="279">
        <v>9</v>
      </c>
      <c r="G97" s="260"/>
      <c r="H97" s="38">
        <f t="shared" si="3"/>
        <v>655</v>
      </c>
      <c r="I97" s="7"/>
    </row>
    <row r="98" spans="1:9" ht="21" customHeight="1">
      <c r="A98" s="39" t="s">
        <v>397</v>
      </c>
      <c r="B98" s="38" t="s">
        <v>323</v>
      </c>
      <c r="C98" s="3"/>
      <c r="D98" s="259"/>
      <c r="E98" s="260"/>
      <c r="F98" s="279">
        <v>9</v>
      </c>
      <c r="G98" s="260"/>
      <c r="H98" s="38">
        <f t="shared" si="3"/>
        <v>646</v>
      </c>
      <c r="I98" s="7"/>
    </row>
    <row r="99" spans="1:9" ht="21" customHeight="1">
      <c r="A99" s="39" t="s">
        <v>502</v>
      </c>
      <c r="B99" s="38" t="s">
        <v>323</v>
      </c>
      <c r="C99" s="3"/>
      <c r="D99" s="259"/>
      <c r="E99" s="260"/>
      <c r="F99" s="279">
        <v>21</v>
      </c>
      <c r="G99" s="260"/>
      <c r="H99" s="38">
        <f t="shared" si="3"/>
        <v>625</v>
      </c>
      <c r="I99" s="7"/>
    </row>
    <row r="100" spans="1:9" ht="21" customHeight="1">
      <c r="A100" s="39" t="s">
        <v>503</v>
      </c>
      <c r="B100" s="38" t="s">
        <v>323</v>
      </c>
      <c r="C100" s="3"/>
      <c r="D100" s="259"/>
      <c r="E100" s="260"/>
      <c r="F100" s="279">
        <v>9</v>
      </c>
      <c r="G100" s="260"/>
      <c r="H100" s="38">
        <f t="shared" si="3"/>
        <v>616</v>
      </c>
      <c r="I100" s="7"/>
    </row>
    <row r="101" spans="1:9" ht="21" customHeight="1">
      <c r="A101" s="39" t="s">
        <v>504</v>
      </c>
      <c r="B101" s="38" t="s">
        <v>323</v>
      </c>
      <c r="C101" s="9"/>
      <c r="D101" s="259"/>
      <c r="E101" s="260"/>
      <c r="F101" s="279">
        <v>12</v>
      </c>
      <c r="G101" s="260"/>
      <c r="H101" s="38">
        <f t="shared" si="3"/>
        <v>604</v>
      </c>
      <c r="I101" s="7"/>
    </row>
    <row r="102" spans="1:9" ht="21" customHeight="1">
      <c r="A102" s="39" t="s">
        <v>361</v>
      </c>
      <c r="B102" s="38" t="s">
        <v>323</v>
      </c>
      <c r="C102" s="3"/>
      <c r="D102" s="259"/>
      <c r="E102" s="260"/>
      <c r="F102" s="279">
        <v>9</v>
      </c>
      <c r="G102" s="260"/>
      <c r="H102" s="38">
        <f t="shared" si="3"/>
        <v>595</v>
      </c>
      <c r="I102" s="7"/>
    </row>
    <row r="103" spans="1:9" ht="21" customHeight="1">
      <c r="A103" s="39" t="s">
        <v>450</v>
      </c>
      <c r="B103" s="38" t="s">
        <v>323</v>
      </c>
      <c r="C103" s="3"/>
      <c r="D103" s="259"/>
      <c r="E103" s="260"/>
      <c r="F103" s="279">
        <v>18</v>
      </c>
      <c r="G103" s="260"/>
      <c r="H103" s="38">
        <f t="shared" si="3"/>
        <v>577</v>
      </c>
      <c r="I103" s="7"/>
    </row>
    <row r="104" spans="1:9" ht="21" customHeight="1">
      <c r="A104" s="39" t="s">
        <v>505</v>
      </c>
      <c r="B104" s="38" t="s">
        <v>323</v>
      </c>
      <c r="C104" s="3"/>
      <c r="D104" s="259"/>
      <c r="E104" s="260"/>
      <c r="F104" s="279">
        <v>12</v>
      </c>
      <c r="G104" s="260"/>
      <c r="H104" s="38">
        <f t="shared" si="3"/>
        <v>565</v>
      </c>
      <c r="I104" s="7"/>
    </row>
    <row r="105" spans="1:9" ht="21" customHeight="1">
      <c r="A105" s="39" t="s">
        <v>363</v>
      </c>
      <c r="B105" s="38" t="s">
        <v>323</v>
      </c>
      <c r="C105" s="3"/>
      <c r="D105" s="259"/>
      <c r="E105" s="260"/>
      <c r="F105" s="279">
        <v>36</v>
      </c>
      <c r="G105" s="260"/>
      <c r="H105" s="38">
        <f t="shared" si="3"/>
        <v>529</v>
      </c>
      <c r="I105" s="7"/>
    </row>
    <row r="106" spans="1:9" ht="21" customHeight="1">
      <c r="A106" s="39" t="s">
        <v>506</v>
      </c>
      <c r="B106" s="38" t="s">
        <v>323</v>
      </c>
      <c r="C106" s="3"/>
      <c r="D106" s="259"/>
      <c r="E106" s="260"/>
      <c r="F106" s="279">
        <v>21</v>
      </c>
      <c r="G106" s="260"/>
      <c r="H106" s="38">
        <f t="shared" si="3"/>
        <v>508</v>
      </c>
      <c r="I106" s="7"/>
    </row>
    <row r="107" spans="1:9" ht="21" customHeight="1">
      <c r="A107" s="39" t="s">
        <v>451</v>
      </c>
      <c r="B107" s="38" t="s">
        <v>323</v>
      </c>
      <c r="C107" s="3"/>
      <c r="D107" s="259"/>
      <c r="E107" s="260"/>
      <c r="F107" s="279">
        <v>18</v>
      </c>
      <c r="G107" s="260"/>
      <c r="H107" s="38">
        <f t="shared" si="3"/>
        <v>490</v>
      </c>
      <c r="I107" s="7"/>
    </row>
    <row r="108" spans="1:9" ht="21" customHeight="1">
      <c r="A108" s="39" t="s">
        <v>420</v>
      </c>
      <c r="B108" s="38" t="s">
        <v>323</v>
      </c>
      <c r="C108" s="3"/>
      <c r="D108" s="259"/>
      <c r="E108" s="260"/>
      <c r="F108" s="279">
        <v>15</v>
      </c>
      <c r="G108" s="260"/>
      <c r="H108" s="38">
        <f t="shared" si="3"/>
        <v>475</v>
      </c>
      <c r="I108" s="7"/>
    </row>
    <row r="109" spans="1:9" ht="21" customHeight="1">
      <c r="A109" s="39" t="s">
        <v>454</v>
      </c>
      <c r="B109" s="38" t="s">
        <v>323</v>
      </c>
      <c r="C109" s="3"/>
      <c r="D109" s="259"/>
      <c r="E109" s="260"/>
      <c r="F109" s="279">
        <v>39</v>
      </c>
      <c r="G109" s="260"/>
      <c r="H109" s="38">
        <f t="shared" si="3"/>
        <v>436</v>
      </c>
      <c r="I109" s="7"/>
    </row>
    <row r="110" spans="1:9" ht="21" customHeight="1">
      <c r="A110" s="39" t="s">
        <v>365</v>
      </c>
      <c r="B110" s="38" t="s">
        <v>323</v>
      </c>
      <c r="C110" s="3"/>
      <c r="D110" s="259"/>
      <c r="E110" s="260"/>
      <c r="F110" s="279">
        <v>9</v>
      </c>
      <c r="G110" s="260"/>
      <c r="H110" s="38">
        <f t="shared" si="3"/>
        <v>427</v>
      </c>
      <c r="I110" s="7"/>
    </row>
    <row r="111" spans="1:9" ht="21" customHeight="1">
      <c r="A111" s="39" t="s">
        <v>399</v>
      </c>
      <c r="B111" s="38" t="s">
        <v>323</v>
      </c>
      <c r="C111" s="3"/>
      <c r="D111" s="259"/>
      <c r="E111" s="260"/>
      <c r="F111" s="279">
        <v>21</v>
      </c>
      <c r="G111" s="260"/>
      <c r="H111" s="38">
        <f t="shared" si="3"/>
        <v>406</v>
      </c>
      <c r="I111" s="7"/>
    </row>
    <row r="112" spans="1:9" ht="21" customHeight="1">
      <c r="A112" s="39" t="s">
        <v>456</v>
      </c>
      <c r="B112" s="38" t="s">
        <v>323</v>
      </c>
      <c r="C112" s="3"/>
      <c r="D112" s="259"/>
      <c r="E112" s="260"/>
      <c r="F112" s="279">
        <v>33</v>
      </c>
      <c r="G112" s="260"/>
      <c r="H112" s="38">
        <f t="shared" si="3"/>
        <v>373</v>
      </c>
      <c r="I112" s="7"/>
    </row>
    <row r="113" spans="1:9" ht="21" customHeight="1">
      <c r="A113" s="39" t="s">
        <v>507</v>
      </c>
      <c r="B113" s="38" t="s">
        <v>323</v>
      </c>
      <c r="C113" s="3"/>
      <c r="D113" s="259"/>
      <c r="E113" s="260"/>
      <c r="F113" s="279">
        <v>9</v>
      </c>
      <c r="G113" s="260"/>
      <c r="H113" s="38">
        <f t="shared" si="3"/>
        <v>364</v>
      </c>
      <c r="I113" s="7"/>
    </row>
    <row r="114" spans="1:9" ht="21" customHeight="1">
      <c r="A114" s="39" t="s">
        <v>508</v>
      </c>
      <c r="B114" s="38" t="s">
        <v>323</v>
      </c>
      <c r="C114" s="3"/>
      <c r="D114" s="259"/>
      <c r="E114" s="260"/>
      <c r="F114" s="279">
        <v>21</v>
      </c>
      <c r="G114" s="260"/>
      <c r="H114" s="38">
        <f t="shared" si="3"/>
        <v>343</v>
      </c>
      <c r="I114" s="7"/>
    </row>
    <row r="115" spans="1:9" ht="21" customHeight="1">
      <c r="A115" s="39" t="s">
        <v>508</v>
      </c>
      <c r="B115" s="38" t="s">
        <v>324</v>
      </c>
      <c r="C115" s="3">
        <v>1000</v>
      </c>
      <c r="D115" s="259" t="s">
        <v>509</v>
      </c>
      <c r="E115" s="260"/>
      <c r="F115" s="279"/>
      <c r="G115" s="260"/>
      <c r="H115" s="38">
        <v>1343</v>
      </c>
      <c r="I115" s="7" t="s">
        <v>510</v>
      </c>
    </row>
    <row r="116" spans="1:9" ht="21" customHeight="1">
      <c r="A116" s="39" t="s">
        <v>511</v>
      </c>
      <c r="B116" s="38" t="s">
        <v>323</v>
      </c>
      <c r="C116" s="3"/>
      <c r="D116" s="259"/>
      <c r="E116" s="260"/>
      <c r="F116" s="279">
        <v>9</v>
      </c>
      <c r="G116" s="260"/>
      <c r="H116" s="38">
        <f t="shared" ref="H116:H123" si="4">H115-F116</f>
        <v>1334</v>
      </c>
      <c r="I116" s="7"/>
    </row>
    <row r="117" spans="1:9" ht="21" customHeight="1">
      <c r="A117" s="39" t="s">
        <v>366</v>
      </c>
      <c r="B117" s="38" t="s">
        <v>323</v>
      </c>
      <c r="C117" s="3"/>
      <c r="D117" s="259"/>
      <c r="E117" s="260"/>
      <c r="F117" s="279">
        <v>39</v>
      </c>
      <c r="G117" s="260"/>
      <c r="H117" s="38">
        <f t="shared" si="4"/>
        <v>1295</v>
      </c>
      <c r="I117" s="7"/>
    </row>
    <row r="118" spans="1:9" ht="21" customHeight="1">
      <c r="A118" s="39" t="s">
        <v>367</v>
      </c>
      <c r="B118" s="38" t="s">
        <v>323</v>
      </c>
      <c r="C118" s="3"/>
      <c r="D118" s="259"/>
      <c r="E118" s="260"/>
      <c r="F118" s="279">
        <v>3</v>
      </c>
      <c r="G118" s="260"/>
      <c r="H118" s="38">
        <f t="shared" si="4"/>
        <v>1292</v>
      </c>
      <c r="I118" s="7"/>
    </row>
    <row r="119" spans="1:9" ht="21" customHeight="1">
      <c r="A119" s="39" t="s">
        <v>512</v>
      </c>
      <c r="B119" s="38" t="s">
        <v>323</v>
      </c>
      <c r="C119" s="3"/>
      <c r="D119" s="259"/>
      <c r="E119" s="260"/>
      <c r="F119" s="279">
        <v>9</v>
      </c>
      <c r="G119" s="260"/>
      <c r="H119" s="38">
        <f t="shared" si="4"/>
        <v>1283</v>
      </c>
      <c r="I119" s="7"/>
    </row>
    <row r="120" spans="1:9" ht="21" customHeight="1">
      <c r="A120" s="103" t="s">
        <v>369</v>
      </c>
      <c r="B120" s="38" t="s">
        <v>323</v>
      </c>
      <c r="C120" s="3"/>
      <c r="D120" s="259"/>
      <c r="E120" s="260"/>
      <c r="F120" s="279">
        <v>6</v>
      </c>
      <c r="G120" s="260"/>
      <c r="H120" s="38">
        <f t="shared" si="4"/>
        <v>1277</v>
      </c>
      <c r="I120" s="7"/>
    </row>
    <row r="121" spans="1:9" ht="21" customHeight="1">
      <c r="A121" s="39" t="s">
        <v>421</v>
      </c>
      <c r="B121" s="38" t="s">
        <v>323</v>
      </c>
      <c r="C121" s="3"/>
      <c r="D121" s="259"/>
      <c r="E121" s="260"/>
      <c r="F121" s="279">
        <v>24</v>
      </c>
      <c r="G121" s="260"/>
      <c r="H121" s="38">
        <f t="shared" si="4"/>
        <v>1253</v>
      </c>
      <c r="I121" s="7"/>
    </row>
    <row r="122" spans="1:9" ht="21" customHeight="1">
      <c r="A122" s="39" t="s">
        <v>370</v>
      </c>
      <c r="B122" s="38" t="s">
        <v>323</v>
      </c>
      <c r="C122" s="3"/>
      <c r="D122" s="259"/>
      <c r="E122" s="260"/>
      <c r="F122" s="279">
        <v>21</v>
      </c>
      <c r="G122" s="260"/>
      <c r="H122" s="38">
        <f t="shared" si="4"/>
        <v>1232</v>
      </c>
      <c r="I122" s="7"/>
    </row>
    <row r="123" spans="1:9" ht="21" customHeight="1">
      <c r="A123" s="39" t="s">
        <v>513</v>
      </c>
      <c r="B123" s="38" t="s">
        <v>323</v>
      </c>
      <c r="C123" s="3"/>
      <c r="D123" s="259"/>
      <c r="E123" s="260"/>
      <c r="F123" s="279">
        <v>30</v>
      </c>
      <c r="G123" s="260"/>
      <c r="H123" s="38">
        <f t="shared" si="4"/>
        <v>1202</v>
      </c>
      <c r="I123" s="7"/>
    </row>
    <row r="124" spans="1:9" ht="21" customHeight="1">
      <c r="A124" s="41"/>
      <c r="B124" s="38"/>
      <c r="C124" s="3"/>
      <c r="D124" s="259"/>
      <c r="E124" s="260"/>
      <c r="F124" s="279"/>
      <c r="G124" s="260"/>
      <c r="H124" s="38"/>
      <c r="I124" s="7"/>
    </row>
    <row r="125" spans="1:9" ht="21" customHeight="1">
      <c r="A125" s="39"/>
      <c r="B125" s="38"/>
      <c r="C125" s="3"/>
      <c r="D125" s="259"/>
      <c r="E125" s="260"/>
      <c r="F125" s="279"/>
      <c r="G125" s="260"/>
      <c r="H125" s="38"/>
      <c r="I125" s="7"/>
    </row>
    <row r="126" spans="1:9" ht="21" customHeight="1">
      <c r="A126" s="39"/>
      <c r="B126" s="38"/>
      <c r="C126" s="3"/>
      <c r="D126" s="259"/>
      <c r="E126" s="260"/>
      <c r="F126" s="279"/>
      <c r="G126" s="260"/>
      <c r="H126" s="38"/>
      <c r="I126" s="7"/>
    </row>
    <row r="127" spans="1:9" ht="21" customHeight="1">
      <c r="A127" s="39"/>
      <c r="B127" s="38"/>
      <c r="C127" s="3"/>
      <c r="D127" s="259"/>
      <c r="E127" s="260"/>
      <c r="F127" s="279"/>
      <c r="G127" s="260"/>
      <c r="H127" s="38"/>
      <c r="I127" s="7"/>
    </row>
    <row r="128" spans="1:9" ht="21" customHeight="1">
      <c r="A128" s="39"/>
      <c r="B128" s="38"/>
      <c r="C128" s="3"/>
      <c r="D128" s="259"/>
      <c r="E128" s="260"/>
      <c r="F128" s="279"/>
      <c r="G128" s="260"/>
      <c r="H128" s="38"/>
      <c r="I128" s="7"/>
    </row>
    <row r="129" spans="1:9" ht="21" customHeight="1">
      <c r="A129" s="39"/>
      <c r="B129" s="38"/>
      <c r="C129" s="3"/>
      <c r="D129" s="259"/>
      <c r="E129" s="260"/>
      <c r="F129" s="279"/>
      <c r="G129" s="260"/>
      <c r="H129" s="38"/>
      <c r="I129" s="7"/>
    </row>
    <row r="130" spans="1:9" ht="21" customHeight="1">
      <c r="A130" s="39"/>
      <c r="B130" s="38"/>
      <c r="C130" s="3"/>
      <c r="D130" s="259"/>
      <c r="E130" s="260"/>
      <c r="F130" s="279"/>
      <c r="G130" s="260"/>
      <c r="H130" s="38"/>
      <c r="I130" s="7"/>
    </row>
    <row r="131" spans="1:9" ht="21" customHeight="1">
      <c r="A131" s="39"/>
      <c r="B131" s="38"/>
      <c r="C131" s="3"/>
      <c r="D131" s="259"/>
      <c r="E131" s="260"/>
      <c r="F131" s="279"/>
      <c r="G131" s="260"/>
      <c r="H131" s="38"/>
      <c r="I131" s="7"/>
    </row>
    <row r="132" spans="1:9" ht="21" customHeight="1">
      <c r="A132" s="39"/>
      <c r="B132" s="38"/>
      <c r="C132" s="3"/>
      <c r="D132" s="259"/>
      <c r="E132" s="260"/>
      <c r="F132" s="279"/>
      <c r="G132" s="260"/>
      <c r="H132" s="38"/>
      <c r="I132" s="7"/>
    </row>
    <row r="133" spans="1:9" ht="21" customHeight="1">
      <c r="A133" s="39"/>
      <c r="B133" s="38"/>
      <c r="C133" s="3"/>
      <c r="D133" s="259"/>
      <c r="E133" s="260"/>
      <c r="F133" s="279"/>
      <c r="G133" s="260"/>
      <c r="H133" s="38"/>
      <c r="I133" s="7"/>
    </row>
    <row r="134" spans="1:9" ht="21" customHeight="1">
      <c r="A134" s="39"/>
      <c r="B134" s="38"/>
      <c r="C134" s="3"/>
      <c r="D134" s="259"/>
      <c r="E134" s="260"/>
      <c r="F134" s="279"/>
      <c r="G134" s="260"/>
      <c r="H134" s="38"/>
      <c r="I134" s="7"/>
    </row>
    <row r="135" spans="1:9" ht="21" customHeight="1">
      <c r="A135" s="39"/>
      <c r="B135" s="38"/>
      <c r="C135" s="3"/>
      <c r="D135" s="259"/>
      <c r="E135" s="260"/>
      <c r="F135" s="279"/>
      <c r="G135" s="260"/>
      <c r="H135" s="38"/>
      <c r="I135" s="7"/>
    </row>
    <row r="136" spans="1:9" ht="21" customHeight="1">
      <c r="A136" s="39"/>
      <c r="B136" s="38"/>
      <c r="C136" s="3"/>
      <c r="D136" s="259"/>
      <c r="E136" s="260"/>
      <c r="F136" s="279"/>
      <c r="G136" s="260"/>
      <c r="H136" s="38"/>
      <c r="I136" s="7"/>
    </row>
    <row r="137" spans="1:9" ht="21" customHeight="1">
      <c r="A137" s="41"/>
      <c r="B137" s="38"/>
      <c r="C137" s="3"/>
      <c r="D137" s="259"/>
      <c r="E137" s="260"/>
      <c r="F137" s="279"/>
      <c r="G137" s="260"/>
      <c r="H137" s="38"/>
      <c r="I137" s="7"/>
    </row>
    <row r="138" spans="1:9" ht="21" customHeight="1">
      <c r="A138" s="39"/>
      <c r="B138" s="38"/>
      <c r="C138" s="3"/>
      <c r="D138" s="259"/>
      <c r="E138" s="260"/>
      <c r="F138" s="279"/>
      <c r="G138" s="260"/>
      <c r="H138" s="38"/>
      <c r="I138" s="7"/>
    </row>
    <row r="139" spans="1:9" ht="21" customHeight="1">
      <c r="A139" s="39"/>
      <c r="B139" s="38"/>
      <c r="C139" s="3"/>
      <c r="D139" s="259"/>
      <c r="E139" s="260"/>
      <c r="F139" s="279"/>
      <c r="G139" s="260"/>
      <c r="H139" s="38"/>
      <c r="I139" s="7"/>
    </row>
    <row r="140" spans="1:9" ht="21" customHeight="1">
      <c r="A140" s="41"/>
      <c r="B140" s="38"/>
      <c r="C140" s="3"/>
      <c r="D140" s="259"/>
      <c r="E140" s="260"/>
      <c r="F140" s="279"/>
      <c r="G140" s="260"/>
      <c r="H140" s="38"/>
      <c r="I140" s="7"/>
    </row>
    <row r="141" spans="1:9" ht="21" customHeight="1">
      <c r="A141" s="39"/>
      <c r="B141" s="38"/>
      <c r="C141" s="3"/>
      <c r="D141" s="259"/>
      <c r="E141" s="260"/>
      <c r="F141" s="279"/>
      <c r="G141" s="260"/>
      <c r="H141" s="38"/>
      <c r="I141" s="7"/>
    </row>
    <row r="142" spans="1:9" ht="21" customHeight="1">
      <c r="A142" s="39"/>
      <c r="B142" s="38"/>
      <c r="C142" s="3"/>
      <c r="D142" s="259"/>
      <c r="E142" s="260"/>
      <c r="F142" s="279"/>
      <c r="G142" s="260"/>
      <c r="H142" s="38"/>
      <c r="I142" s="7"/>
    </row>
    <row r="143" spans="1:9" ht="21" customHeight="1">
      <c r="A143" s="39"/>
      <c r="B143" s="38"/>
      <c r="C143" s="3"/>
      <c r="D143" s="259"/>
      <c r="E143" s="260"/>
      <c r="F143" s="279"/>
      <c r="G143" s="260"/>
      <c r="H143" s="38"/>
      <c r="I143" s="7"/>
    </row>
    <row r="144" spans="1:9" ht="21" customHeight="1">
      <c r="A144" s="39"/>
      <c r="B144" s="38"/>
      <c r="C144" s="3"/>
      <c r="D144" s="259"/>
      <c r="E144" s="260"/>
      <c r="F144" s="279"/>
      <c r="G144" s="260"/>
      <c r="H144" s="38"/>
      <c r="I144" s="7"/>
    </row>
    <row r="145" spans="1:9" ht="21" customHeight="1">
      <c r="A145" s="39"/>
      <c r="B145" s="38"/>
      <c r="C145" s="3"/>
      <c r="D145" s="259"/>
      <c r="E145" s="260"/>
      <c r="F145" s="279"/>
      <c r="G145" s="260"/>
      <c r="H145" s="38"/>
      <c r="I145" s="7"/>
    </row>
    <row r="146" spans="1:9" ht="21" customHeight="1">
      <c r="A146" s="39"/>
      <c r="B146" s="38"/>
      <c r="C146" s="3"/>
      <c r="D146" s="259"/>
      <c r="E146" s="260"/>
      <c r="F146" s="279"/>
      <c r="G146" s="260"/>
      <c r="H146" s="38"/>
      <c r="I146" s="7"/>
    </row>
    <row r="147" spans="1:9" ht="21" customHeight="1">
      <c r="A147" s="39"/>
      <c r="B147" s="38"/>
      <c r="C147" s="3"/>
      <c r="D147" s="259"/>
      <c r="E147" s="260"/>
      <c r="F147" s="279"/>
      <c r="G147" s="260"/>
      <c r="H147" s="38"/>
      <c r="I147" s="7"/>
    </row>
    <row r="148" spans="1:9" ht="21" customHeight="1">
      <c r="A148" s="39"/>
      <c r="B148" s="38"/>
      <c r="C148" s="3"/>
      <c r="D148" s="259"/>
      <c r="E148" s="260"/>
      <c r="F148" s="279"/>
      <c r="G148" s="260"/>
      <c r="H148" s="38"/>
      <c r="I148" s="7"/>
    </row>
    <row r="149" spans="1:9" ht="21" customHeight="1">
      <c r="A149" s="39"/>
      <c r="B149" s="38"/>
      <c r="C149" s="3"/>
      <c r="D149" s="259"/>
      <c r="E149" s="260"/>
      <c r="F149" s="279"/>
      <c r="G149" s="260"/>
      <c r="H149" s="38"/>
      <c r="I149" s="7"/>
    </row>
    <row r="150" spans="1:9" ht="21" customHeight="1">
      <c r="A150" s="39"/>
      <c r="B150" s="38"/>
      <c r="C150" s="3"/>
      <c r="D150" s="259"/>
      <c r="E150" s="260"/>
      <c r="F150" s="279"/>
      <c r="G150" s="260"/>
      <c r="H150" s="38"/>
      <c r="I150" s="7"/>
    </row>
    <row r="151" spans="1:9" ht="21" customHeight="1">
      <c r="A151" s="39"/>
      <c r="B151" s="38"/>
      <c r="C151" s="3"/>
      <c r="D151" s="259"/>
      <c r="E151" s="260"/>
      <c r="F151" s="279"/>
      <c r="G151" s="260"/>
      <c r="H151" s="38"/>
      <c r="I151" s="7"/>
    </row>
    <row r="152" spans="1:9" ht="21" customHeight="1">
      <c r="A152" s="39"/>
      <c r="B152" s="38"/>
      <c r="C152" s="3"/>
      <c r="D152" s="259"/>
      <c r="E152" s="260"/>
      <c r="F152" s="279"/>
      <c r="G152" s="260"/>
      <c r="H152" s="38"/>
      <c r="I152" s="7"/>
    </row>
    <row r="153" spans="1:9" ht="21" customHeight="1">
      <c r="A153" s="39"/>
      <c r="B153" s="38"/>
      <c r="C153" s="3"/>
      <c r="D153" s="259"/>
      <c r="E153" s="260"/>
      <c r="F153" s="279"/>
      <c r="G153" s="260"/>
      <c r="H153" s="38"/>
      <c r="I153" s="7"/>
    </row>
    <row r="154" spans="1:9" ht="21" customHeight="1">
      <c r="A154" s="39"/>
      <c r="B154" s="38"/>
      <c r="C154" s="3"/>
      <c r="D154" s="259"/>
      <c r="E154" s="260"/>
      <c r="F154" s="279"/>
      <c r="G154" s="260"/>
      <c r="H154" s="38"/>
      <c r="I154" s="7"/>
    </row>
    <row r="155" spans="1:9" ht="21" customHeight="1">
      <c r="A155" s="39"/>
      <c r="B155" s="38"/>
      <c r="C155" s="3"/>
      <c r="D155" s="259"/>
      <c r="E155" s="260"/>
      <c r="F155" s="279"/>
      <c r="G155" s="260"/>
      <c r="H155" s="38"/>
      <c r="I155" s="7"/>
    </row>
    <row r="156" spans="1:9" ht="21" customHeight="1">
      <c r="A156" s="39"/>
      <c r="B156" s="38"/>
      <c r="C156" s="3"/>
      <c r="D156" s="259"/>
      <c r="E156" s="260"/>
      <c r="F156" s="279"/>
      <c r="G156" s="260"/>
      <c r="H156" s="38"/>
      <c r="I156" s="7"/>
    </row>
    <row r="157" spans="1:9" ht="21" customHeight="1">
      <c r="A157" s="39"/>
      <c r="B157" s="38"/>
      <c r="C157" s="3"/>
      <c r="D157" s="259"/>
      <c r="E157" s="260"/>
      <c r="F157" s="279"/>
      <c r="G157" s="260"/>
      <c r="H157" s="38"/>
      <c r="I157" s="7"/>
    </row>
    <row r="158" spans="1:9" ht="21" customHeight="1">
      <c r="A158" s="39"/>
      <c r="B158" s="38"/>
      <c r="C158" s="3"/>
      <c r="D158" s="259"/>
      <c r="E158" s="260"/>
      <c r="F158" s="279"/>
      <c r="G158" s="260"/>
      <c r="H158" s="38"/>
      <c r="I158" s="7"/>
    </row>
    <row r="159" spans="1:9" ht="21" customHeight="1">
      <c r="A159" s="39"/>
      <c r="B159" s="38"/>
      <c r="C159" s="3"/>
      <c r="D159" s="259"/>
      <c r="E159" s="260"/>
      <c r="F159" s="279"/>
      <c r="G159" s="260"/>
      <c r="H159" s="38"/>
      <c r="I159" s="7"/>
    </row>
    <row r="160" spans="1:9" ht="21" customHeight="1">
      <c r="A160" s="39"/>
      <c r="B160" s="38"/>
      <c r="C160" s="3"/>
      <c r="D160" s="259"/>
      <c r="E160" s="260"/>
      <c r="F160" s="279"/>
      <c r="G160" s="260"/>
      <c r="H160" s="38"/>
      <c r="I160" s="7"/>
    </row>
    <row r="161" spans="1:9" ht="21" customHeight="1">
      <c r="A161" s="39"/>
      <c r="B161" s="38"/>
      <c r="C161" s="3"/>
      <c r="D161" s="259"/>
      <c r="E161" s="260"/>
      <c r="F161" s="279"/>
      <c r="G161" s="260"/>
      <c r="H161" s="38"/>
      <c r="I161" s="7"/>
    </row>
    <row r="162" spans="1:9" ht="21" customHeight="1">
      <c r="A162" s="39"/>
      <c r="B162" s="38"/>
      <c r="C162" s="3"/>
      <c r="D162" s="259"/>
      <c r="E162" s="260"/>
      <c r="F162" s="279"/>
      <c r="G162" s="260"/>
      <c r="H162" s="38"/>
      <c r="I162" s="7"/>
    </row>
    <row r="163" spans="1:9" ht="21" customHeight="1">
      <c r="A163" s="39"/>
      <c r="B163" s="38"/>
      <c r="C163" s="3"/>
      <c r="D163" s="259"/>
      <c r="E163" s="260"/>
      <c r="F163" s="279"/>
      <c r="G163" s="260"/>
      <c r="H163" s="38"/>
      <c r="I163" s="7"/>
    </row>
    <row r="164" spans="1:9" ht="21" customHeight="1">
      <c r="A164" s="39"/>
      <c r="B164" s="38"/>
      <c r="C164" s="3"/>
      <c r="D164" s="259"/>
      <c r="E164" s="260"/>
      <c r="F164" s="279"/>
      <c r="G164" s="260"/>
      <c r="H164" s="38"/>
      <c r="I164" s="7"/>
    </row>
    <row r="165" spans="1:9" ht="21" customHeight="1">
      <c r="A165" s="39"/>
      <c r="B165" s="38"/>
      <c r="C165" s="3"/>
      <c r="D165" s="259"/>
      <c r="E165" s="260"/>
      <c r="F165" s="279"/>
      <c r="G165" s="260"/>
      <c r="H165" s="38"/>
      <c r="I165" s="7"/>
    </row>
    <row r="166" spans="1:9" ht="21" customHeight="1">
      <c r="A166" s="39"/>
      <c r="B166" s="38"/>
      <c r="C166" s="3"/>
      <c r="D166" s="259"/>
      <c r="E166" s="260"/>
      <c r="F166" s="279"/>
      <c r="G166" s="260"/>
      <c r="H166" s="38"/>
      <c r="I166" s="7"/>
    </row>
    <row r="167" spans="1:9" ht="21" customHeight="1">
      <c r="A167" s="39"/>
      <c r="B167" s="38"/>
      <c r="C167" s="3"/>
      <c r="D167" s="259"/>
      <c r="E167" s="260"/>
      <c r="F167" s="279"/>
      <c r="G167" s="260"/>
      <c r="H167" s="38"/>
      <c r="I167" s="7"/>
    </row>
    <row r="168" spans="1:9" ht="21" customHeight="1">
      <c r="A168" s="39"/>
      <c r="B168" s="38"/>
      <c r="C168" s="3"/>
      <c r="D168" s="259"/>
      <c r="E168" s="260"/>
      <c r="F168" s="279"/>
      <c r="G168" s="260"/>
      <c r="H168" s="38"/>
      <c r="I168" s="7"/>
    </row>
    <row r="169" spans="1:9" ht="21" customHeight="1">
      <c r="A169" s="39"/>
      <c r="B169" s="38"/>
      <c r="C169" s="3"/>
      <c r="D169" s="259"/>
      <c r="E169" s="260"/>
      <c r="F169" s="279"/>
      <c r="G169" s="260"/>
      <c r="H169" s="38"/>
      <c r="I169" s="7"/>
    </row>
    <row r="170" spans="1:9" ht="21" customHeight="1">
      <c r="A170" s="39"/>
      <c r="B170" s="38"/>
      <c r="C170" s="3"/>
      <c r="D170" s="259"/>
      <c r="E170" s="260"/>
      <c r="F170" s="279"/>
      <c r="G170" s="260"/>
      <c r="H170" s="38"/>
      <c r="I170" s="7"/>
    </row>
    <row r="171" spans="1:9" ht="21" customHeight="1">
      <c r="A171" s="39"/>
      <c r="B171" s="38"/>
      <c r="C171" s="3"/>
      <c r="D171" s="259"/>
      <c r="E171" s="260"/>
      <c r="F171" s="279"/>
      <c r="G171" s="260"/>
      <c r="H171" s="38"/>
      <c r="I171" s="7"/>
    </row>
    <row r="172" spans="1:9" ht="21" customHeight="1">
      <c r="A172" s="39"/>
      <c r="B172" s="38"/>
      <c r="C172" s="3"/>
      <c r="D172" s="259"/>
      <c r="E172" s="260"/>
      <c r="F172" s="279"/>
      <c r="G172" s="260"/>
      <c r="H172" s="38"/>
      <c r="I172" s="7"/>
    </row>
    <row r="173" spans="1:9" ht="21" customHeight="1">
      <c r="A173" s="39"/>
      <c r="B173" s="38"/>
      <c r="C173" s="3"/>
      <c r="D173" s="259"/>
      <c r="E173" s="260"/>
      <c r="F173" s="279"/>
      <c r="G173" s="260"/>
      <c r="H173" s="38"/>
      <c r="I173" s="7"/>
    </row>
    <row r="174" spans="1:9" ht="21" customHeight="1">
      <c r="A174" s="39"/>
      <c r="B174" s="38"/>
      <c r="C174" s="3"/>
      <c r="D174" s="259"/>
      <c r="E174" s="260"/>
      <c r="F174" s="279"/>
      <c r="G174" s="260"/>
      <c r="H174" s="38"/>
      <c r="I174" s="7"/>
    </row>
    <row r="175" spans="1:9" ht="21" customHeight="1">
      <c r="A175" s="39"/>
      <c r="B175" s="38"/>
      <c r="C175" s="3"/>
      <c r="D175" s="259"/>
      <c r="E175" s="260"/>
      <c r="F175" s="279"/>
      <c r="G175" s="260"/>
      <c r="H175" s="38"/>
      <c r="I175" s="7"/>
    </row>
    <row r="176" spans="1:9" ht="21" customHeight="1">
      <c r="A176" s="39"/>
      <c r="B176" s="38"/>
      <c r="C176" s="3"/>
      <c r="D176" s="259"/>
      <c r="E176" s="260"/>
      <c r="F176" s="279"/>
      <c r="G176" s="260"/>
      <c r="H176" s="38"/>
      <c r="I176" s="7"/>
    </row>
    <row r="177" spans="1:9" ht="21" customHeight="1">
      <c r="A177" s="39"/>
      <c r="B177" s="38"/>
      <c r="C177" s="3"/>
      <c r="D177" s="259"/>
      <c r="E177" s="260"/>
      <c r="F177" s="279"/>
      <c r="G177" s="260"/>
      <c r="H177" s="38"/>
      <c r="I177" s="7"/>
    </row>
    <row r="178" spans="1:9" ht="21" customHeight="1">
      <c r="A178" s="41"/>
      <c r="B178" s="38"/>
      <c r="C178" s="3"/>
      <c r="D178" s="259"/>
      <c r="E178" s="260"/>
      <c r="F178" s="279"/>
      <c r="G178" s="260"/>
      <c r="H178" s="38"/>
      <c r="I178" s="7"/>
    </row>
    <row r="179" spans="1:9" ht="21" customHeight="1">
      <c r="A179" s="39"/>
      <c r="B179" s="38"/>
      <c r="C179" s="3"/>
      <c r="D179" s="259"/>
      <c r="E179" s="260"/>
      <c r="F179" s="279"/>
      <c r="G179" s="260"/>
      <c r="H179" s="38"/>
      <c r="I179" s="7"/>
    </row>
    <row r="180" spans="1:9" ht="21" customHeight="1">
      <c r="A180" s="39"/>
      <c r="B180" s="38"/>
      <c r="C180" s="3"/>
      <c r="D180" s="259"/>
      <c r="E180" s="260"/>
      <c r="F180" s="279"/>
      <c r="G180" s="260"/>
      <c r="H180" s="38"/>
      <c r="I180" s="7"/>
    </row>
    <row r="181" spans="1:9" ht="21" customHeight="1">
      <c r="A181" s="39"/>
      <c r="B181" s="38"/>
      <c r="C181" s="3"/>
      <c r="D181" s="259"/>
      <c r="E181" s="260"/>
      <c r="F181" s="279"/>
      <c r="G181" s="260"/>
      <c r="H181" s="38"/>
      <c r="I181" s="7"/>
    </row>
    <row r="182" spans="1:9" ht="21" customHeight="1">
      <c r="A182" s="39"/>
      <c r="B182" s="38"/>
      <c r="C182" s="3"/>
      <c r="D182" s="259"/>
      <c r="E182" s="260"/>
      <c r="F182" s="279"/>
      <c r="G182" s="260"/>
      <c r="H182" s="38"/>
      <c r="I182" s="7"/>
    </row>
    <row r="183" spans="1:9" ht="21" customHeight="1">
      <c r="A183" s="39"/>
      <c r="B183" s="38"/>
      <c r="C183" s="3"/>
      <c r="D183" s="259"/>
      <c r="E183" s="260"/>
      <c r="F183" s="279"/>
      <c r="G183" s="260"/>
      <c r="H183" s="38"/>
      <c r="I183" s="7"/>
    </row>
    <row r="184" spans="1:9" ht="21" customHeight="1">
      <c r="A184" s="39"/>
      <c r="B184" s="38"/>
      <c r="C184" s="3"/>
      <c r="D184" s="259"/>
      <c r="E184" s="260"/>
      <c r="F184" s="279"/>
      <c r="G184" s="260"/>
      <c r="H184" s="38"/>
      <c r="I184" s="7"/>
    </row>
    <row r="185" spans="1:9" ht="21" customHeight="1">
      <c r="A185" s="39"/>
      <c r="B185" s="38"/>
      <c r="C185" s="3"/>
      <c r="D185" s="259"/>
      <c r="E185" s="260"/>
      <c r="F185" s="279"/>
      <c r="G185" s="260"/>
      <c r="H185" s="38"/>
      <c r="I185" s="7"/>
    </row>
    <row r="186" spans="1:9" ht="21" customHeight="1">
      <c r="A186" s="39"/>
      <c r="B186" s="38"/>
      <c r="C186" s="3"/>
      <c r="D186" s="259"/>
      <c r="E186" s="260"/>
      <c r="F186" s="279"/>
      <c r="G186" s="260"/>
      <c r="H186" s="38"/>
      <c r="I186" s="7"/>
    </row>
    <row r="187" spans="1:9" ht="21" customHeight="1">
      <c r="A187" s="39"/>
      <c r="B187" s="38"/>
      <c r="C187" s="3"/>
      <c r="D187" s="259"/>
      <c r="E187" s="260"/>
      <c r="F187" s="279"/>
      <c r="G187" s="260"/>
      <c r="H187" s="38"/>
      <c r="I187" s="7"/>
    </row>
    <row r="188" spans="1:9" ht="21" customHeight="1">
      <c r="A188" s="39"/>
      <c r="B188" s="38"/>
      <c r="C188" s="3"/>
      <c r="D188" s="259"/>
      <c r="E188" s="260"/>
      <c r="F188" s="279"/>
      <c r="G188" s="260"/>
      <c r="H188" s="38"/>
      <c r="I188" s="7"/>
    </row>
    <row r="189" spans="1:9" ht="21" customHeight="1">
      <c r="A189" s="39"/>
      <c r="B189" s="38"/>
      <c r="C189" s="3"/>
      <c r="D189" s="259"/>
      <c r="E189" s="260"/>
      <c r="F189" s="279"/>
      <c r="G189" s="260"/>
      <c r="H189" s="38"/>
      <c r="I189" s="7"/>
    </row>
    <row r="190" spans="1:9" ht="21" customHeight="1">
      <c r="A190" s="39"/>
      <c r="B190" s="38"/>
      <c r="C190" s="3"/>
      <c r="D190" s="259"/>
      <c r="E190" s="260"/>
      <c r="F190" s="279"/>
      <c r="G190" s="260"/>
      <c r="H190" s="38"/>
      <c r="I190" s="7"/>
    </row>
    <row r="191" spans="1:9" ht="21" customHeight="1">
      <c r="A191" s="39"/>
      <c r="B191" s="38"/>
      <c r="C191" s="3"/>
      <c r="D191" s="259"/>
      <c r="E191" s="260"/>
      <c r="F191" s="279"/>
      <c r="G191" s="260"/>
      <c r="H191" s="38"/>
      <c r="I191" s="7"/>
    </row>
    <row r="192" spans="1:9" ht="21" customHeight="1">
      <c r="A192" s="39"/>
      <c r="B192" s="38"/>
      <c r="C192" s="3"/>
      <c r="D192" s="259"/>
      <c r="E192" s="260"/>
      <c r="F192" s="279"/>
      <c r="G192" s="260"/>
      <c r="H192" s="38"/>
      <c r="I192" s="7"/>
    </row>
    <row r="193" spans="1:9" ht="21" customHeight="1">
      <c r="A193" s="39"/>
      <c r="B193" s="38"/>
      <c r="C193" s="3"/>
      <c r="D193" s="259"/>
      <c r="E193" s="260"/>
      <c r="F193" s="279"/>
      <c r="G193" s="260"/>
      <c r="H193" s="38"/>
      <c r="I193" s="7"/>
    </row>
    <row r="194" spans="1:9" ht="21" customHeight="1">
      <c r="A194" s="39"/>
      <c r="B194" s="38"/>
      <c r="C194" s="3"/>
      <c r="D194" s="259"/>
      <c r="E194" s="260"/>
      <c r="F194" s="279"/>
      <c r="G194" s="260"/>
      <c r="H194" s="38"/>
      <c r="I194" s="7"/>
    </row>
    <row r="195" spans="1:9" ht="21" customHeight="1">
      <c r="A195" s="39"/>
      <c r="B195" s="38"/>
      <c r="C195" s="3"/>
      <c r="D195" s="259"/>
      <c r="E195" s="260"/>
      <c r="F195" s="279"/>
      <c r="G195" s="260"/>
      <c r="H195" s="38"/>
      <c r="I195" s="7"/>
    </row>
    <row r="196" spans="1:9" ht="21" customHeight="1">
      <c r="A196" s="39"/>
      <c r="B196" s="38"/>
      <c r="C196" s="3"/>
      <c r="D196" s="259"/>
      <c r="E196" s="260"/>
      <c r="F196" s="279"/>
      <c r="G196" s="260"/>
      <c r="H196" s="38"/>
      <c r="I196" s="7"/>
    </row>
    <row r="197" spans="1:9" ht="21" customHeight="1">
      <c r="A197" s="39"/>
      <c r="B197" s="38"/>
      <c r="C197" s="3"/>
      <c r="D197" s="259"/>
      <c r="E197" s="260"/>
      <c r="F197" s="279"/>
      <c r="G197" s="260"/>
      <c r="H197" s="38"/>
      <c r="I197" s="7"/>
    </row>
    <row r="198" spans="1:9" ht="21" customHeight="1">
      <c r="A198" s="39"/>
      <c r="B198" s="38"/>
      <c r="C198" s="3"/>
      <c r="D198" s="259"/>
      <c r="E198" s="260"/>
      <c r="F198" s="279"/>
      <c r="G198" s="260"/>
      <c r="H198" s="38"/>
      <c r="I198" s="7"/>
    </row>
    <row r="199" spans="1:9" ht="21" customHeight="1">
      <c r="A199" s="39"/>
      <c r="B199" s="38"/>
      <c r="C199" s="3"/>
      <c r="D199" s="259"/>
      <c r="E199" s="260"/>
      <c r="F199" s="279"/>
      <c r="G199" s="260"/>
      <c r="H199" s="38"/>
      <c r="I199" s="7"/>
    </row>
    <row r="200" spans="1:9" ht="21" customHeight="1">
      <c r="A200" s="39"/>
      <c r="B200" s="38"/>
      <c r="C200" s="3"/>
      <c r="D200" s="259"/>
      <c r="E200" s="260"/>
      <c r="F200" s="279"/>
      <c r="G200" s="260"/>
      <c r="H200" s="38"/>
      <c r="I200" s="7"/>
    </row>
    <row r="201" spans="1:9" ht="21" customHeight="1">
      <c r="A201" s="39"/>
      <c r="B201" s="38"/>
      <c r="C201" s="3"/>
      <c r="D201" s="259"/>
      <c r="E201" s="260"/>
      <c r="F201" s="279"/>
      <c r="G201" s="260"/>
      <c r="H201" s="38"/>
      <c r="I201" s="7"/>
    </row>
    <row r="202" spans="1:9" ht="21" customHeight="1">
      <c r="A202" s="39"/>
      <c r="B202" s="38"/>
      <c r="C202" s="3"/>
      <c r="D202" s="259"/>
      <c r="E202" s="260"/>
      <c r="F202" s="279"/>
      <c r="G202" s="260"/>
      <c r="H202" s="38"/>
      <c r="I202" s="7"/>
    </row>
    <row r="203" spans="1:9" ht="21" customHeight="1">
      <c r="A203" s="39"/>
      <c r="B203" s="38"/>
      <c r="C203" s="3"/>
      <c r="D203" s="259"/>
      <c r="E203" s="260"/>
      <c r="F203" s="279"/>
      <c r="G203" s="260"/>
      <c r="H203" s="38"/>
      <c r="I203" s="7"/>
    </row>
    <row r="204" spans="1:9" ht="21" customHeight="1">
      <c r="A204" s="39"/>
      <c r="B204" s="38"/>
      <c r="C204" s="3"/>
      <c r="D204" s="259"/>
      <c r="E204" s="260"/>
      <c r="F204" s="279"/>
      <c r="G204" s="260"/>
      <c r="H204" s="38"/>
      <c r="I204" s="7"/>
    </row>
    <row r="205" spans="1:9" ht="21" customHeight="1">
      <c r="A205" s="39"/>
      <c r="B205" s="38"/>
      <c r="C205" s="3"/>
      <c r="D205" s="259"/>
      <c r="E205" s="260"/>
      <c r="F205" s="279"/>
      <c r="G205" s="260"/>
      <c r="H205" s="38"/>
      <c r="I205" s="7"/>
    </row>
    <row r="206" spans="1:9" ht="21" customHeight="1">
      <c r="A206" s="39"/>
      <c r="B206" s="38"/>
      <c r="C206" s="3"/>
      <c r="D206" s="259"/>
      <c r="E206" s="260"/>
      <c r="F206" s="279"/>
      <c r="G206" s="260"/>
      <c r="H206" s="38"/>
      <c r="I206" s="7"/>
    </row>
    <row r="207" spans="1:9" ht="21" customHeight="1">
      <c r="A207" s="39"/>
      <c r="B207" s="38"/>
      <c r="C207" s="3"/>
      <c r="D207" s="259"/>
      <c r="E207" s="260"/>
      <c r="F207" s="279"/>
      <c r="G207" s="260"/>
      <c r="H207" s="38"/>
      <c r="I207" s="7"/>
    </row>
    <row r="208" spans="1:9" ht="21" customHeight="1">
      <c r="A208" s="39"/>
      <c r="B208" s="38"/>
      <c r="C208" s="3"/>
      <c r="D208" s="259"/>
      <c r="E208" s="260"/>
      <c r="F208" s="279"/>
      <c r="G208" s="260"/>
      <c r="H208" s="38"/>
      <c r="I208" s="7"/>
    </row>
    <row r="209" spans="1:9" ht="21" customHeight="1">
      <c r="A209" s="39"/>
      <c r="B209" s="38"/>
      <c r="C209" s="3"/>
      <c r="D209" s="259"/>
      <c r="E209" s="260"/>
      <c r="F209" s="279"/>
      <c r="G209" s="260"/>
      <c r="H209" s="38"/>
      <c r="I209" s="7"/>
    </row>
    <row r="210" spans="1:9" ht="21" customHeight="1">
      <c r="A210" s="39"/>
      <c r="B210" s="38"/>
      <c r="C210" s="3"/>
      <c r="D210" s="259"/>
      <c r="E210" s="260"/>
      <c r="F210" s="279"/>
      <c r="G210" s="260"/>
      <c r="H210" s="38"/>
      <c r="I210" s="7"/>
    </row>
    <row r="211" spans="1:9" ht="21" customHeight="1">
      <c r="A211" s="39"/>
      <c r="B211" s="38"/>
      <c r="C211" s="3"/>
      <c r="D211" s="259"/>
      <c r="E211" s="260"/>
      <c r="F211" s="279"/>
      <c r="G211" s="260"/>
      <c r="H211" s="38"/>
      <c r="I211" s="7"/>
    </row>
    <row r="212" spans="1:9" ht="21" customHeight="1">
      <c r="A212" s="39"/>
      <c r="B212" s="38"/>
      <c r="C212" s="3"/>
      <c r="D212" s="259"/>
      <c r="E212" s="260"/>
      <c r="F212" s="279"/>
      <c r="G212" s="260"/>
      <c r="H212" s="38"/>
      <c r="I212" s="109"/>
    </row>
    <row r="213" spans="1:9" ht="21" customHeight="1">
      <c r="A213" s="39"/>
      <c r="B213" s="38"/>
      <c r="C213" s="3"/>
      <c r="D213" s="259"/>
      <c r="E213" s="260"/>
      <c r="F213" s="279"/>
      <c r="G213" s="260"/>
      <c r="H213" s="38"/>
      <c r="I213" s="7"/>
    </row>
    <row r="214" spans="1:9" ht="21" customHeight="1">
      <c r="A214" s="39"/>
      <c r="B214" s="38"/>
      <c r="C214" s="3"/>
      <c r="D214" s="259"/>
      <c r="E214" s="260"/>
      <c r="F214" s="279"/>
      <c r="G214" s="260"/>
      <c r="H214" s="38"/>
      <c r="I214" s="7"/>
    </row>
    <row r="215" spans="1:9" ht="21" customHeight="1">
      <c r="A215" s="39"/>
      <c r="B215" s="38"/>
      <c r="C215" s="3"/>
      <c r="D215" s="259"/>
      <c r="E215" s="260"/>
      <c r="F215" s="279"/>
      <c r="G215" s="260"/>
      <c r="H215" s="38"/>
      <c r="I215" s="7"/>
    </row>
    <row r="216" spans="1:9" ht="21" customHeight="1">
      <c r="A216" s="39"/>
      <c r="B216" s="38"/>
      <c r="C216" s="3"/>
      <c r="D216" s="259"/>
      <c r="E216" s="260"/>
      <c r="F216" s="279"/>
      <c r="G216" s="260"/>
      <c r="H216" s="38"/>
      <c r="I216" s="7"/>
    </row>
    <row r="217" spans="1:9" ht="21" customHeight="1">
      <c r="A217" s="39"/>
      <c r="B217" s="38"/>
      <c r="C217" s="3"/>
      <c r="D217" s="259"/>
      <c r="E217" s="260"/>
      <c r="F217" s="279"/>
      <c r="G217" s="260"/>
      <c r="H217" s="38"/>
      <c r="I217" s="7"/>
    </row>
    <row r="218" spans="1:9" ht="21" customHeight="1">
      <c r="A218" s="39"/>
      <c r="B218" s="38"/>
      <c r="C218" s="3"/>
      <c r="D218" s="259"/>
      <c r="E218" s="260"/>
      <c r="F218" s="279"/>
      <c r="G218" s="260"/>
      <c r="H218" s="38"/>
      <c r="I218" s="7"/>
    </row>
    <row r="219" spans="1:9" ht="21" customHeight="1">
      <c r="A219" s="39"/>
      <c r="B219" s="38"/>
      <c r="C219" s="3"/>
      <c r="D219" s="259"/>
      <c r="E219" s="260"/>
      <c r="F219" s="279"/>
      <c r="G219" s="260"/>
      <c r="H219" s="38"/>
      <c r="I219" s="7"/>
    </row>
    <row r="220" spans="1:9" ht="21" customHeight="1">
      <c r="A220" s="39"/>
      <c r="B220" s="38"/>
      <c r="C220" s="3"/>
      <c r="D220" s="259"/>
      <c r="E220" s="260"/>
      <c r="F220" s="279"/>
      <c r="G220" s="260"/>
      <c r="H220" s="38"/>
      <c r="I220" s="7"/>
    </row>
    <row r="221" spans="1:9" ht="21" customHeight="1">
      <c r="A221" s="39"/>
      <c r="B221" s="38"/>
      <c r="C221" s="3"/>
      <c r="D221" s="259"/>
      <c r="E221" s="260"/>
      <c r="F221" s="279"/>
      <c r="G221" s="260"/>
      <c r="H221" s="38"/>
      <c r="I221" s="7"/>
    </row>
    <row r="222" spans="1:9" ht="21" customHeight="1">
      <c r="A222" s="39"/>
      <c r="B222" s="38"/>
      <c r="C222" s="3"/>
      <c r="D222" s="259"/>
      <c r="E222" s="260"/>
      <c r="F222" s="279"/>
      <c r="G222" s="260"/>
      <c r="H222" s="38"/>
      <c r="I222" s="7"/>
    </row>
  </sheetData>
  <mergeCells count="444">
    <mergeCell ref="B2:I2"/>
    <mergeCell ref="F113:G113"/>
    <mergeCell ref="D32:E32"/>
    <mergeCell ref="F32:G32"/>
    <mergeCell ref="D97:E97"/>
    <mergeCell ref="F159:G159"/>
    <mergeCell ref="F26:G26"/>
    <mergeCell ref="F97:G97"/>
    <mergeCell ref="F219:G219"/>
    <mergeCell ref="F90:G90"/>
    <mergeCell ref="D184:E184"/>
    <mergeCell ref="F184:G184"/>
    <mergeCell ref="E3:G3"/>
    <mergeCell ref="F27:G27"/>
    <mergeCell ref="D121:E121"/>
    <mergeCell ref="D192:E192"/>
    <mergeCell ref="D42:E42"/>
    <mergeCell ref="D173:E173"/>
    <mergeCell ref="D123:E123"/>
    <mergeCell ref="F123:G123"/>
    <mergeCell ref="D50:E50"/>
    <mergeCell ref="D110:E110"/>
    <mergeCell ref="D44:E44"/>
    <mergeCell ref="F44:G44"/>
    <mergeCell ref="D221:E221"/>
    <mergeCell ref="F150:G150"/>
    <mergeCell ref="D165:E165"/>
    <mergeCell ref="D152:E152"/>
    <mergeCell ref="F152:G152"/>
    <mergeCell ref="D29:E29"/>
    <mergeCell ref="D23:E23"/>
    <mergeCell ref="D216:E216"/>
    <mergeCell ref="F216:G216"/>
    <mergeCell ref="F87:G87"/>
    <mergeCell ref="D218:E218"/>
    <mergeCell ref="F147:G147"/>
    <mergeCell ref="F218:G218"/>
    <mergeCell ref="F89:G89"/>
    <mergeCell ref="D105:E105"/>
    <mergeCell ref="D170:E170"/>
    <mergeCell ref="D49:E49"/>
    <mergeCell ref="D120:E120"/>
    <mergeCell ref="D107:E107"/>
    <mergeCell ref="D163:E163"/>
    <mergeCell ref="F36:G36"/>
    <mergeCell ref="F163:G163"/>
    <mergeCell ref="F101:G101"/>
    <mergeCell ref="D171:E171"/>
    <mergeCell ref="D215:E215"/>
    <mergeCell ref="F144:G144"/>
    <mergeCell ref="F215:G215"/>
    <mergeCell ref="F81:G81"/>
    <mergeCell ref="F210:G210"/>
    <mergeCell ref="D177:E177"/>
    <mergeCell ref="D33:E33"/>
    <mergeCell ref="D164:E164"/>
    <mergeCell ref="D35:E35"/>
    <mergeCell ref="D34:E34"/>
    <mergeCell ref="F63:G63"/>
    <mergeCell ref="F34:G34"/>
    <mergeCell ref="D99:E99"/>
    <mergeCell ref="F99:G99"/>
    <mergeCell ref="F74:G74"/>
    <mergeCell ref="D101:E101"/>
    <mergeCell ref="D76:E76"/>
    <mergeCell ref="F138:G138"/>
    <mergeCell ref="F76:G76"/>
    <mergeCell ref="F94:G94"/>
    <mergeCell ref="D175:E175"/>
    <mergeCell ref="F100:G100"/>
    <mergeCell ref="F165:G165"/>
    <mergeCell ref="F115:G115"/>
    <mergeCell ref="D213:E213"/>
    <mergeCell ref="D13:E13"/>
    <mergeCell ref="D151:E151"/>
    <mergeCell ref="F80:G80"/>
    <mergeCell ref="F213:G213"/>
    <mergeCell ref="F142:G142"/>
    <mergeCell ref="F86:G86"/>
    <mergeCell ref="D150:E150"/>
    <mergeCell ref="F79:G79"/>
    <mergeCell ref="F30:G30"/>
    <mergeCell ref="D102:E102"/>
    <mergeCell ref="F179:G179"/>
    <mergeCell ref="F102:G102"/>
    <mergeCell ref="D25:E25"/>
    <mergeCell ref="D196:E196"/>
    <mergeCell ref="F77:G77"/>
    <mergeCell ref="F166:G166"/>
    <mergeCell ref="D133:E133"/>
    <mergeCell ref="D54:E54"/>
    <mergeCell ref="D191:E191"/>
    <mergeCell ref="F191:G191"/>
    <mergeCell ref="F59:G59"/>
    <mergeCell ref="D95:E95"/>
    <mergeCell ref="F24:G24"/>
    <mergeCell ref="D222:E222"/>
    <mergeCell ref="F78:G78"/>
    <mergeCell ref="F205:G205"/>
    <mergeCell ref="F65:G65"/>
    <mergeCell ref="D159:E159"/>
    <mergeCell ref="D80:E80"/>
    <mergeCell ref="F55:G55"/>
    <mergeCell ref="F169:G169"/>
    <mergeCell ref="D136:E136"/>
    <mergeCell ref="D154:E154"/>
    <mergeCell ref="D200:E200"/>
    <mergeCell ref="F129:G129"/>
    <mergeCell ref="F200:G200"/>
    <mergeCell ref="D202:E202"/>
    <mergeCell ref="F131:G131"/>
    <mergeCell ref="D58:E58"/>
    <mergeCell ref="F58:G58"/>
    <mergeCell ref="F195:G195"/>
    <mergeCell ref="F60:G60"/>
    <mergeCell ref="F197:G197"/>
    <mergeCell ref="F68:G68"/>
    <mergeCell ref="D84:E84"/>
    <mergeCell ref="D155:E155"/>
    <mergeCell ref="F84:G84"/>
    <mergeCell ref="D199:E199"/>
    <mergeCell ref="F128:G128"/>
    <mergeCell ref="D186:E186"/>
    <mergeCell ref="D217:E217"/>
    <mergeCell ref="F217:G217"/>
    <mergeCell ref="D65:E65"/>
    <mergeCell ref="F21:G21"/>
    <mergeCell ref="F192:G192"/>
    <mergeCell ref="D194:E194"/>
    <mergeCell ref="F194:G194"/>
    <mergeCell ref="F50:G50"/>
    <mergeCell ref="F110:G110"/>
    <mergeCell ref="F181:G181"/>
    <mergeCell ref="D212:E212"/>
    <mergeCell ref="D146:E146"/>
    <mergeCell ref="F141:G141"/>
    <mergeCell ref="D83:E83"/>
    <mergeCell ref="D143:E143"/>
    <mergeCell ref="F49:G49"/>
    <mergeCell ref="D85:E85"/>
    <mergeCell ref="D207:E207"/>
    <mergeCell ref="F52:G52"/>
    <mergeCell ref="F37:G37"/>
    <mergeCell ref="F53:G53"/>
    <mergeCell ref="H3:I3"/>
    <mergeCell ref="D39:E39"/>
    <mergeCell ref="F39:G39"/>
    <mergeCell ref="A1:I1"/>
    <mergeCell ref="D89:E89"/>
    <mergeCell ref="F64:G64"/>
    <mergeCell ref="D153:E153"/>
    <mergeCell ref="F178:G178"/>
    <mergeCell ref="D128:E128"/>
    <mergeCell ref="D17:E17"/>
    <mergeCell ref="D12:E12"/>
    <mergeCell ref="D14:E14"/>
    <mergeCell ref="F14:G14"/>
    <mergeCell ref="D8:E8"/>
    <mergeCell ref="D20:E20"/>
    <mergeCell ref="D22:E22"/>
    <mergeCell ref="D149:E149"/>
    <mergeCell ref="D86:E86"/>
    <mergeCell ref="F15:G15"/>
    <mergeCell ref="D10:E10"/>
    <mergeCell ref="F10:G10"/>
    <mergeCell ref="F7:G7"/>
    <mergeCell ref="F8:G8"/>
    <mergeCell ref="F95:G95"/>
    <mergeCell ref="B3:D3"/>
    <mergeCell ref="D74:E74"/>
    <mergeCell ref="D130:E130"/>
    <mergeCell ref="D68:E68"/>
    <mergeCell ref="F130:G130"/>
    <mergeCell ref="D201:E201"/>
    <mergeCell ref="D188:E188"/>
    <mergeCell ref="D132:E132"/>
    <mergeCell ref="F157:G157"/>
    <mergeCell ref="F132:G132"/>
    <mergeCell ref="D59:E59"/>
    <mergeCell ref="D178:E178"/>
    <mergeCell ref="D172:E172"/>
    <mergeCell ref="F172:G172"/>
    <mergeCell ref="F25:G25"/>
    <mergeCell ref="F196:G196"/>
    <mergeCell ref="C5:G5"/>
    <mergeCell ref="D36:E36"/>
    <mergeCell ref="F173:G173"/>
    <mergeCell ref="D61:E61"/>
    <mergeCell ref="D48:E48"/>
    <mergeCell ref="D125:E125"/>
    <mergeCell ref="F125:G125"/>
    <mergeCell ref="F185:G185"/>
    <mergeCell ref="H4:I4"/>
    <mergeCell ref="D40:E40"/>
    <mergeCell ref="D111:E111"/>
    <mergeCell ref="F40:G40"/>
    <mergeCell ref="D183:E183"/>
    <mergeCell ref="F12:G12"/>
    <mergeCell ref="F177:G177"/>
    <mergeCell ref="D104:E104"/>
    <mergeCell ref="D219:E219"/>
    <mergeCell ref="F104:G104"/>
    <mergeCell ref="D185:E185"/>
    <mergeCell ref="D41:E41"/>
    <mergeCell ref="F41:G41"/>
    <mergeCell ref="F35:G35"/>
    <mergeCell ref="F106:G106"/>
    <mergeCell ref="D43:E43"/>
    <mergeCell ref="D137:E137"/>
    <mergeCell ref="D112:E112"/>
    <mergeCell ref="B4:D4"/>
    <mergeCell ref="D62:E62"/>
    <mergeCell ref="D56:E56"/>
    <mergeCell ref="D193:E193"/>
    <mergeCell ref="F13:G13"/>
    <mergeCell ref="D127:E127"/>
    <mergeCell ref="F222:G222"/>
    <mergeCell ref="E4:G4"/>
    <mergeCell ref="D182:E182"/>
    <mergeCell ref="F182:G182"/>
    <mergeCell ref="F11:G11"/>
    <mergeCell ref="D109:E109"/>
    <mergeCell ref="D119:E119"/>
    <mergeCell ref="D190:E190"/>
    <mergeCell ref="D46:E46"/>
    <mergeCell ref="F221:G221"/>
    <mergeCell ref="F56:G56"/>
    <mergeCell ref="D176:E176"/>
    <mergeCell ref="F105:G105"/>
    <mergeCell ref="D114:E114"/>
    <mergeCell ref="F43:G43"/>
    <mergeCell ref="F176:G176"/>
    <mergeCell ref="F170:G170"/>
    <mergeCell ref="D64:E64"/>
    <mergeCell ref="F120:G120"/>
    <mergeCell ref="D51:E51"/>
    <mergeCell ref="F107:G107"/>
    <mergeCell ref="F57:G57"/>
    <mergeCell ref="F171:G171"/>
    <mergeCell ref="D138:E138"/>
    <mergeCell ref="A5:B5"/>
    <mergeCell ref="D93:E93"/>
    <mergeCell ref="F155:G155"/>
    <mergeCell ref="F22:G22"/>
    <mergeCell ref="F93:G93"/>
    <mergeCell ref="F149:G149"/>
    <mergeCell ref="D220:E220"/>
    <mergeCell ref="F220:G220"/>
    <mergeCell ref="D157:E157"/>
    <mergeCell ref="F151:G151"/>
    <mergeCell ref="D203:E203"/>
    <mergeCell ref="D140:E140"/>
    <mergeCell ref="D11:E11"/>
    <mergeCell ref="D204:E204"/>
    <mergeCell ref="F204:G204"/>
    <mergeCell ref="F33:G33"/>
    <mergeCell ref="D198:E198"/>
    <mergeCell ref="F198:G198"/>
    <mergeCell ref="D75:E75"/>
    <mergeCell ref="F75:G75"/>
    <mergeCell ref="D206:E206"/>
    <mergeCell ref="F62:G62"/>
    <mergeCell ref="D181:E181"/>
    <mergeCell ref="F31:G31"/>
    <mergeCell ref="F212:G212"/>
    <mergeCell ref="F146:G146"/>
    <mergeCell ref="F6:G6"/>
    <mergeCell ref="F83:G83"/>
    <mergeCell ref="F214:G214"/>
    <mergeCell ref="F20:G20"/>
    <mergeCell ref="F85:G85"/>
    <mergeCell ref="D179:E179"/>
    <mergeCell ref="D166:E166"/>
    <mergeCell ref="D103:E103"/>
    <mergeCell ref="D37:E37"/>
    <mergeCell ref="D168:E168"/>
    <mergeCell ref="D9:E9"/>
    <mergeCell ref="D180:E180"/>
    <mergeCell ref="D118:E118"/>
    <mergeCell ref="F9:G9"/>
    <mergeCell ref="D167:E167"/>
    <mergeCell ref="D161:E161"/>
    <mergeCell ref="F167:G167"/>
    <mergeCell ref="F161:G161"/>
    <mergeCell ref="F136:G136"/>
    <mergeCell ref="F207:G207"/>
    <mergeCell ref="D38:E38"/>
    <mergeCell ref="D169:E169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24:E24"/>
    <mergeCell ref="D113:E113"/>
    <mergeCell ref="D88:E88"/>
    <mergeCell ref="D148:E148"/>
    <mergeCell ref="F88:G88"/>
    <mergeCell ref="D26:E26"/>
    <mergeCell ref="F148:G148"/>
    <mergeCell ref="D115:E115"/>
    <mergeCell ref="F54:G54"/>
    <mergeCell ref="D19:E19"/>
    <mergeCell ref="D90:E90"/>
    <mergeCell ref="F209:G209"/>
    <mergeCell ref="F38:G38"/>
    <mergeCell ref="D122:E122"/>
    <mergeCell ref="D18:E18"/>
    <mergeCell ref="D211:E211"/>
    <mergeCell ref="F140:G140"/>
    <mergeCell ref="F211:G211"/>
    <mergeCell ref="F67:G67"/>
    <mergeCell ref="F186:G186"/>
    <mergeCell ref="D82:E82"/>
    <mergeCell ref="F82:G82"/>
    <mergeCell ref="F206:G206"/>
    <mergeCell ref="D100:E100"/>
    <mergeCell ref="F29:G29"/>
    <mergeCell ref="D31:E31"/>
    <mergeCell ref="D158:E158"/>
    <mergeCell ref="F158:G158"/>
    <mergeCell ref="F199:G199"/>
    <mergeCell ref="F19:G19"/>
    <mergeCell ref="D63:E63"/>
    <mergeCell ref="F202:G202"/>
    <mergeCell ref="D96:E96"/>
    <mergeCell ref="D52:E52"/>
    <mergeCell ref="D27:E27"/>
    <mergeCell ref="D214:E214"/>
    <mergeCell ref="D28:E28"/>
    <mergeCell ref="D117:E117"/>
    <mergeCell ref="D92:E92"/>
    <mergeCell ref="D55:E55"/>
    <mergeCell ref="F117:G117"/>
    <mergeCell ref="F92:G92"/>
    <mergeCell ref="D30:E30"/>
    <mergeCell ref="D67:E67"/>
    <mergeCell ref="D94:E94"/>
    <mergeCell ref="F119:G119"/>
    <mergeCell ref="D69:E69"/>
    <mergeCell ref="F69:G69"/>
    <mergeCell ref="F112:G112"/>
    <mergeCell ref="F183:G183"/>
    <mergeCell ref="F193:G193"/>
    <mergeCell ref="F127:G127"/>
    <mergeCell ref="F51:G51"/>
    <mergeCell ref="D145:E145"/>
    <mergeCell ref="F145:G145"/>
    <mergeCell ref="D210:E210"/>
    <mergeCell ref="D209:E209"/>
    <mergeCell ref="D87:E87"/>
    <mergeCell ref="D147:E147"/>
    <mergeCell ref="D15:E15"/>
    <mergeCell ref="D142:E142"/>
    <mergeCell ref="D129:E129"/>
    <mergeCell ref="D79:E79"/>
    <mergeCell ref="D144:E144"/>
    <mergeCell ref="F73:G73"/>
    <mergeCell ref="D81:E81"/>
    <mergeCell ref="D208:E208"/>
    <mergeCell ref="F137:G137"/>
    <mergeCell ref="F208:G208"/>
    <mergeCell ref="F124:G124"/>
    <mergeCell ref="D139:E139"/>
    <mergeCell ref="F201:G201"/>
    <mergeCell ref="F164:G164"/>
    <mergeCell ref="F139:G139"/>
    <mergeCell ref="F114:G114"/>
    <mergeCell ref="F203:G203"/>
    <mergeCell ref="D21:E21"/>
    <mergeCell ref="D16:E16"/>
    <mergeCell ref="F154:G154"/>
    <mergeCell ref="D116:E116"/>
    <mergeCell ref="D91:E91"/>
    <mergeCell ref="D162:E162"/>
    <mergeCell ref="F91:G91"/>
    <mergeCell ref="F188:G188"/>
    <mergeCell ref="D197:E197"/>
    <mergeCell ref="F66:G66"/>
    <mergeCell ref="F17:G17"/>
    <mergeCell ref="F126:G126"/>
    <mergeCell ref="D53:E53"/>
    <mergeCell ref="D47:E47"/>
    <mergeCell ref="F109:G109"/>
    <mergeCell ref="F47:G47"/>
    <mergeCell ref="F190:G190"/>
    <mergeCell ref="F46:G46"/>
    <mergeCell ref="F111:G111"/>
    <mergeCell ref="F61:G61"/>
    <mergeCell ref="F48:G48"/>
    <mergeCell ref="D156:E156"/>
    <mergeCell ref="F156:G156"/>
    <mergeCell ref="F180:G180"/>
    <mergeCell ref="D106:E106"/>
    <mergeCell ref="F28:G28"/>
    <mergeCell ref="D57:E57"/>
    <mergeCell ref="D7:E7"/>
    <mergeCell ref="D78:E78"/>
    <mergeCell ref="D134:E134"/>
    <mergeCell ref="D205:E205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F175:G175"/>
    <mergeCell ref="F162:G162"/>
    <mergeCell ref="D131:E131"/>
    <mergeCell ref="D124:E124"/>
    <mergeCell ref="D195:E195"/>
    <mergeCell ref="D189:E189"/>
    <mergeCell ref="F18:G18"/>
    <mergeCell ref="F189:G189"/>
    <mergeCell ref="F45:G45"/>
    <mergeCell ref="F42:G42"/>
    <mergeCell ref="D66:E66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  <mergeCell ref="F70:G70"/>
    <mergeCell ref="D126:E126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O317"/>
  <sheetViews>
    <sheetView workbookViewId="0">
      <pane ySplit="6" topLeftCell="A95" activePane="bottomLeft" state="frozen"/>
      <selection sqref="A1:I1"/>
      <selection pane="bottomLeft"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6.109375" style="246" customWidth="1"/>
    <col min="7" max="7" width="6" style="246" customWidth="1"/>
    <col min="8" max="8" width="11.77734375" style="246" customWidth="1"/>
    <col min="9" max="9" width="20.109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26" t="s">
        <v>514</v>
      </c>
      <c r="K1" s="38" t="s">
        <v>515</v>
      </c>
      <c r="L1" s="38" t="s">
        <v>324</v>
      </c>
      <c r="N1" s="1"/>
      <c r="O1" s="1"/>
    </row>
    <row r="2" spans="1:15" ht="34.950000000000003" customHeight="1">
      <c r="A2" s="33" t="s">
        <v>516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517</v>
      </c>
      <c r="C3" s="263"/>
      <c r="D3" s="260"/>
      <c r="E3" s="266" t="s">
        <v>11</v>
      </c>
      <c r="F3" s="263"/>
      <c r="G3" s="260"/>
      <c r="H3" s="268" t="s">
        <v>517</v>
      </c>
      <c r="I3" s="269"/>
      <c r="J3" s="19" t="str">
        <f>B3</f>
        <v xml:space="preserve">Diazepam 2mg </v>
      </c>
      <c r="K3" s="34" t="s">
        <v>518</v>
      </c>
      <c r="L3" s="5">
        <f>H7</f>
        <v>706</v>
      </c>
      <c r="M3" s="3">
        <f>SUM(C$8:C$1048576)</f>
        <v>1000</v>
      </c>
      <c r="N3" s="3">
        <f>SUM(F:F)</f>
        <v>1390</v>
      </c>
      <c r="O3" s="3">
        <f>L3+M3-N3</f>
        <v>316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519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520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19.5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95" customHeight="1">
      <c r="A7" s="196" t="s">
        <v>29</v>
      </c>
      <c r="B7" s="155" t="s">
        <v>5</v>
      </c>
      <c r="C7" s="155">
        <v>706</v>
      </c>
      <c r="D7" s="280"/>
      <c r="E7" s="260"/>
      <c r="F7" s="280"/>
      <c r="G7" s="260"/>
      <c r="H7" s="155">
        <v>706</v>
      </c>
      <c r="I7" s="210" t="s">
        <v>331</v>
      </c>
      <c r="J7" s="12"/>
      <c r="K7" s="3"/>
      <c r="L7" s="3"/>
      <c r="M7" s="3"/>
      <c r="N7" s="3"/>
      <c r="O7" s="3"/>
    </row>
    <row r="8" spans="1:15" ht="31.95" customHeight="1">
      <c r="A8" s="39" t="s">
        <v>521</v>
      </c>
      <c r="B8" s="38" t="s">
        <v>323</v>
      </c>
      <c r="C8" s="38"/>
      <c r="D8" s="279"/>
      <c r="E8" s="260"/>
      <c r="F8" s="279">
        <v>7.5</v>
      </c>
      <c r="G8" s="260"/>
      <c r="H8" s="38">
        <f t="shared" ref="H8:H51" si="0">H7-F8</f>
        <v>698.5</v>
      </c>
      <c r="I8" s="77"/>
      <c r="J8" s="12"/>
      <c r="K8" s="3"/>
      <c r="L8" s="3"/>
      <c r="M8" s="3"/>
      <c r="N8" s="3"/>
      <c r="O8" s="3"/>
    </row>
    <row r="9" spans="1:15" ht="26.7" customHeight="1">
      <c r="A9" s="39" t="s">
        <v>333</v>
      </c>
      <c r="B9" s="38" t="s">
        <v>323</v>
      </c>
      <c r="C9" s="38"/>
      <c r="D9" s="279"/>
      <c r="E9" s="260"/>
      <c r="F9" s="279">
        <v>4.5</v>
      </c>
      <c r="G9" s="260"/>
      <c r="H9" s="38">
        <f t="shared" si="0"/>
        <v>694</v>
      </c>
      <c r="I9" s="26"/>
      <c r="J9" s="12"/>
      <c r="K9" s="3"/>
      <c r="L9" s="3"/>
      <c r="M9" s="3"/>
      <c r="N9" s="3"/>
      <c r="O9" s="3"/>
    </row>
    <row r="10" spans="1:15" ht="26.7" customHeight="1">
      <c r="A10" s="39" t="s">
        <v>522</v>
      </c>
      <c r="B10" s="38" t="s">
        <v>323</v>
      </c>
      <c r="C10" s="38"/>
      <c r="D10" s="279"/>
      <c r="E10" s="260"/>
      <c r="F10" s="279">
        <v>21</v>
      </c>
      <c r="G10" s="260"/>
      <c r="H10" s="38">
        <f t="shared" si="0"/>
        <v>673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39" t="s">
        <v>334</v>
      </c>
      <c r="B11" s="38" t="s">
        <v>323</v>
      </c>
      <c r="C11" s="38"/>
      <c r="D11" s="279"/>
      <c r="E11" s="260"/>
      <c r="F11" s="279">
        <v>18</v>
      </c>
      <c r="G11" s="260"/>
      <c r="H11" s="38">
        <f t="shared" si="0"/>
        <v>655</v>
      </c>
      <c r="I11" s="26"/>
      <c r="J11" s="12"/>
      <c r="K11" s="3"/>
      <c r="L11" s="3"/>
      <c r="M11" s="3"/>
      <c r="N11" s="3"/>
      <c r="O11" s="3"/>
    </row>
    <row r="12" spans="1:15" ht="26.7" customHeight="1">
      <c r="A12" s="39" t="s">
        <v>409</v>
      </c>
      <c r="B12" s="38" t="s">
        <v>323</v>
      </c>
      <c r="C12" s="38"/>
      <c r="D12" s="279"/>
      <c r="E12" s="260"/>
      <c r="F12" s="279">
        <v>14</v>
      </c>
      <c r="G12" s="260"/>
      <c r="H12" s="38">
        <f t="shared" si="0"/>
        <v>641</v>
      </c>
      <c r="I12" s="27"/>
      <c r="J12" s="12"/>
      <c r="K12" s="3"/>
      <c r="L12" s="3"/>
      <c r="M12" s="3"/>
      <c r="N12" s="3"/>
      <c r="O12" s="3"/>
    </row>
    <row r="13" spans="1:15" ht="26.7" customHeight="1">
      <c r="A13" s="39" t="s">
        <v>335</v>
      </c>
      <c r="B13" s="38" t="s">
        <v>323</v>
      </c>
      <c r="C13" s="38"/>
      <c r="D13" s="279"/>
      <c r="E13" s="260"/>
      <c r="F13" s="279">
        <v>7.5</v>
      </c>
      <c r="G13" s="260"/>
      <c r="H13" s="38">
        <f t="shared" si="0"/>
        <v>633.5</v>
      </c>
      <c r="I13" s="26"/>
      <c r="J13" s="12"/>
      <c r="K13" s="3"/>
      <c r="L13" s="3"/>
      <c r="M13" s="3"/>
      <c r="N13" s="3"/>
      <c r="O13" s="3"/>
    </row>
    <row r="14" spans="1:15" ht="26.7" customHeight="1">
      <c r="A14" s="39" t="s">
        <v>463</v>
      </c>
      <c r="B14" s="38" t="s">
        <v>323</v>
      </c>
      <c r="C14" s="7"/>
      <c r="D14" s="259"/>
      <c r="E14" s="260"/>
      <c r="F14" s="279">
        <v>4.5</v>
      </c>
      <c r="G14" s="260"/>
      <c r="H14" s="38">
        <f t="shared" si="0"/>
        <v>629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432</v>
      </c>
      <c r="B15" s="38" t="s">
        <v>323</v>
      </c>
      <c r="C15" s="7"/>
      <c r="D15" s="259"/>
      <c r="E15" s="260"/>
      <c r="F15" s="279">
        <v>21</v>
      </c>
      <c r="G15" s="260"/>
      <c r="H15" s="38">
        <f t="shared" si="0"/>
        <v>608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39" t="s">
        <v>523</v>
      </c>
      <c r="B16" s="38" t="s">
        <v>323</v>
      </c>
      <c r="C16" s="7"/>
      <c r="D16" s="259"/>
      <c r="E16" s="260"/>
      <c r="F16" s="279">
        <v>3</v>
      </c>
      <c r="G16" s="260"/>
      <c r="H16" s="38">
        <f t="shared" si="0"/>
        <v>605</v>
      </c>
      <c r="I16" s="26"/>
      <c r="J16" s="12"/>
      <c r="K16" s="3"/>
      <c r="L16" s="3"/>
      <c r="M16" s="3"/>
      <c r="N16" s="3"/>
      <c r="O16" s="3"/>
    </row>
    <row r="17" spans="1:15" ht="26.7" customHeight="1">
      <c r="A17" s="41" t="s">
        <v>464</v>
      </c>
      <c r="B17" s="38" t="s">
        <v>323</v>
      </c>
      <c r="C17" s="7"/>
      <c r="D17" s="259"/>
      <c r="E17" s="260"/>
      <c r="F17" s="279">
        <v>9</v>
      </c>
      <c r="G17" s="260"/>
      <c r="H17" s="38">
        <f t="shared" si="0"/>
        <v>596</v>
      </c>
      <c r="I17" s="26"/>
      <c r="J17" s="12"/>
      <c r="K17" s="3"/>
      <c r="L17" s="3"/>
      <c r="M17" s="3"/>
      <c r="N17" s="3"/>
      <c r="O17" s="3"/>
    </row>
    <row r="18" spans="1:15" ht="26.7" customHeight="1">
      <c r="A18" s="39" t="s">
        <v>382</v>
      </c>
      <c r="B18" s="38" t="s">
        <v>323</v>
      </c>
      <c r="C18" s="7"/>
      <c r="D18" s="259"/>
      <c r="E18" s="260"/>
      <c r="F18" s="279">
        <v>18</v>
      </c>
      <c r="G18" s="260"/>
      <c r="H18" s="38">
        <f t="shared" si="0"/>
        <v>578</v>
      </c>
      <c r="I18" s="26"/>
      <c r="J18" s="12"/>
    </row>
    <row r="19" spans="1:15" ht="26.7" customHeight="1">
      <c r="A19" s="39" t="s">
        <v>465</v>
      </c>
      <c r="B19" s="38" t="s">
        <v>323</v>
      </c>
      <c r="C19" s="7"/>
      <c r="D19" s="259"/>
      <c r="E19" s="260"/>
      <c r="F19" s="279">
        <v>14</v>
      </c>
      <c r="G19" s="260"/>
      <c r="H19" s="38">
        <f t="shared" si="0"/>
        <v>564</v>
      </c>
      <c r="I19" s="26"/>
      <c r="J19" s="12"/>
    </row>
    <row r="20" spans="1:15" ht="26.7" customHeight="1">
      <c r="A20" s="39" t="s">
        <v>466</v>
      </c>
      <c r="B20" s="38" t="s">
        <v>323</v>
      </c>
      <c r="C20" s="7"/>
      <c r="D20" s="259"/>
      <c r="E20" s="260"/>
      <c r="F20" s="279">
        <v>24</v>
      </c>
      <c r="G20" s="260"/>
      <c r="H20" s="38">
        <f t="shared" si="0"/>
        <v>540</v>
      </c>
      <c r="I20" s="26"/>
      <c r="J20" s="12"/>
    </row>
    <row r="21" spans="1:15" ht="26.7" customHeight="1">
      <c r="A21" s="41" t="s">
        <v>524</v>
      </c>
      <c r="B21" s="38" t="s">
        <v>323</v>
      </c>
      <c r="C21" s="7"/>
      <c r="D21" s="259"/>
      <c r="E21" s="260"/>
      <c r="F21" s="279">
        <v>5</v>
      </c>
      <c r="G21" s="260"/>
      <c r="H21" s="38">
        <f t="shared" si="0"/>
        <v>535</v>
      </c>
      <c r="I21" s="26"/>
      <c r="J21" s="12"/>
    </row>
    <row r="22" spans="1:15" ht="26.7" customHeight="1">
      <c r="A22" s="39" t="s">
        <v>471</v>
      </c>
      <c r="B22" s="38" t="s">
        <v>323</v>
      </c>
      <c r="C22" s="7"/>
      <c r="D22" s="259"/>
      <c r="E22" s="260"/>
      <c r="F22" s="279">
        <v>4.5</v>
      </c>
      <c r="G22" s="260"/>
      <c r="H22" s="38">
        <f t="shared" si="0"/>
        <v>530.5</v>
      </c>
      <c r="I22" s="26"/>
      <c r="J22" s="12"/>
    </row>
    <row r="23" spans="1:15" ht="26.7" customHeight="1">
      <c r="A23" s="39" t="s">
        <v>472</v>
      </c>
      <c r="B23" s="148" t="s">
        <v>323</v>
      </c>
      <c r="C23" s="7"/>
      <c r="D23" s="259"/>
      <c r="E23" s="260"/>
      <c r="F23" s="279">
        <v>14</v>
      </c>
      <c r="G23" s="260"/>
      <c r="H23" s="38">
        <f t="shared" si="0"/>
        <v>516.5</v>
      </c>
      <c r="I23" s="26"/>
      <c r="J23" s="12"/>
    </row>
    <row r="24" spans="1:15" ht="26.7" customHeight="1">
      <c r="A24" s="39" t="s">
        <v>337</v>
      </c>
      <c r="B24" s="148" t="s">
        <v>323</v>
      </c>
      <c r="C24" s="7"/>
      <c r="D24" s="259"/>
      <c r="E24" s="260"/>
      <c r="F24" s="279">
        <v>3</v>
      </c>
      <c r="G24" s="260"/>
      <c r="H24" s="38">
        <f t="shared" si="0"/>
        <v>513.5</v>
      </c>
      <c r="I24" s="26"/>
      <c r="J24" s="12"/>
    </row>
    <row r="25" spans="1:15" ht="26.7" customHeight="1">
      <c r="A25" s="39" t="s">
        <v>383</v>
      </c>
      <c r="B25" s="38" t="s">
        <v>323</v>
      </c>
      <c r="C25" s="7"/>
      <c r="D25" s="259"/>
      <c r="E25" s="260"/>
      <c r="F25" s="279">
        <v>21</v>
      </c>
      <c r="G25" s="260"/>
      <c r="H25" s="38">
        <f t="shared" si="0"/>
        <v>492.5</v>
      </c>
      <c r="I25" s="26"/>
      <c r="J25" s="12"/>
    </row>
    <row r="26" spans="1:15" ht="26.7" customHeight="1">
      <c r="A26" s="39" t="s">
        <v>473</v>
      </c>
      <c r="B26" s="38" t="s">
        <v>323</v>
      </c>
      <c r="C26" s="7"/>
      <c r="D26" s="259"/>
      <c r="E26" s="260"/>
      <c r="F26" s="279">
        <v>3</v>
      </c>
      <c r="G26" s="260"/>
      <c r="H26" s="38">
        <f t="shared" si="0"/>
        <v>489.5</v>
      </c>
      <c r="I26" s="28"/>
      <c r="J26" s="12"/>
    </row>
    <row r="27" spans="1:15" ht="26.7" customHeight="1">
      <c r="A27" s="39" t="s">
        <v>435</v>
      </c>
      <c r="B27" s="38" t="s">
        <v>323</v>
      </c>
      <c r="C27" s="7"/>
      <c r="D27" s="259"/>
      <c r="E27" s="260"/>
      <c r="F27" s="279">
        <v>14</v>
      </c>
      <c r="G27" s="260"/>
      <c r="H27" s="38">
        <f t="shared" si="0"/>
        <v>475.5</v>
      </c>
      <c r="I27" s="26"/>
      <c r="J27" s="12"/>
    </row>
    <row r="28" spans="1:15" ht="26.7" customHeight="1">
      <c r="A28" s="39" t="s">
        <v>411</v>
      </c>
      <c r="B28" s="38" t="s">
        <v>323</v>
      </c>
      <c r="C28" s="7"/>
      <c r="D28" s="259"/>
      <c r="E28" s="260"/>
      <c r="F28" s="279">
        <v>14</v>
      </c>
      <c r="G28" s="260"/>
      <c r="H28" s="38">
        <f t="shared" si="0"/>
        <v>461.5</v>
      </c>
      <c r="I28" s="26"/>
      <c r="J28" s="12"/>
    </row>
    <row r="29" spans="1:15" ht="26.7" customHeight="1">
      <c r="A29" s="41" t="s">
        <v>525</v>
      </c>
      <c r="B29" s="38" t="s">
        <v>323</v>
      </c>
      <c r="C29" s="7"/>
      <c r="D29" s="259"/>
      <c r="E29" s="260"/>
      <c r="F29" s="279">
        <v>6</v>
      </c>
      <c r="G29" s="260"/>
      <c r="H29" s="38">
        <f t="shared" si="0"/>
        <v>455.5</v>
      </c>
      <c r="I29" s="26"/>
      <c r="J29" s="12"/>
    </row>
    <row r="30" spans="1:15" ht="26.7" customHeight="1">
      <c r="A30" s="39" t="s">
        <v>412</v>
      </c>
      <c r="B30" s="38" t="s">
        <v>323</v>
      </c>
      <c r="C30" s="7"/>
      <c r="D30" s="259"/>
      <c r="E30" s="260"/>
      <c r="F30" s="279">
        <v>21</v>
      </c>
      <c r="G30" s="260"/>
      <c r="H30" s="38">
        <f t="shared" si="0"/>
        <v>434.5</v>
      </c>
      <c r="I30" s="26"/>
      <c r="J30" s="12"/>
    </row>
    <row r="31" spans="1:15" ht="26.7" customHeight="1">
      <c r="A31" s="41" t="s">
        <v>474</v>
      </c>
      <c r="B31" s="38" t="s">
        <v>323</v>
      </c>
      <c r="C31" s="7"/>
      <c r="D31" s="259"/>
      <c r="E31" s="260"/>
      <c r="F31" s="279">
        <v>5</v>
      </c>
      <c r="G31" s="260"/>
      <c r="H31" s="38">
        <f t="shared" si="0"/>
        <v>429.5</v>
      </c>
      <c r="I31" s="26"/>
      <c r="J31" s="12"/>
    </row>
    <row r="32" spans="1:15" ht="26.7" customHeight="1">
      <c r="A32" s="39" t="s">
        <v>384</v>
      </c>
      <c r="B32" s="38" t="s">
        <v>323</v>
      </c>
      <c r="C32" s="7"/>
      <c r="D32" s="259"/>
      <c r="E32" s="260"/>
      <c r="F32" s="279">
        <v>14</v>
      </c>
      <c r="G32" s="260"/>
      <c r="H32" s="38">
        <f t="shared" si="0"/>
        <v>415.5</v>
      </c>
      <c r="I32" s="26"/>
      <c r="J32" s="12"/>
    </row>
    <row r="33" spans="1:10" ht="21" customHeight="1">
      <c r="A33" s="38" t="s">
        <v>436</v>
      </c>
      <c r="B33" s="38" t="s">
        <v>323</v>
      </c>
      <c r="C33" s="22"/>
      <c r="D33" s="288"/>
      <c r="E33" s="284"/>
      <c r="F33" s="283">
        <v>4.5</v>
      </c>
      <c r="G33" s="284"/>
      <c r="H33" s="38">
        <f t="shared" si="0"/>
        <v>411</v>
      </c>
      <c r="I33" s="22"/>
      <c r="J33" s="104"/>
    </row>
    <row r="34" spans="1:10" ht="21" customHeight="1">
      <c r="A34" s="38" t="s">
        <v>526</v>
      </c>
      <c r="B34" s="38" t="s">
        <v>323</v>
      </c>
      <c r="C34" s="7"/>
      <c r="D34" s="259"/>
      <c r="E34" s="260"/>
      <c r="F34" s="279">
        <v>21</v>
      </c>
      <c r="G34" s="260"/>
      <c r="H34" s="38">
        <f t="shared" si="0"/>
        <v>390</v>
      </c>
      <c r="I34" s="7"/>
    </row>
    <row r="35" spans="1:10" ht="21" customHeight="1">
      <c r="A35" s="39" t="s">
        <v>385</v>
      </c>
      <c r="B35" s="38" t="s">
        <v>323</v>
      </c>
      <c r="C35" s="7"/>
      <c r="D35" s="259"/>
      <c r="E35" s="260"/>
      <c r="F35" s="279">
        <v>4.5</v>
      </c>
      <c r="G35" s="260"/>
      <c r="H35" s="38">
        <f t="shared" si="0"/>
        <v>385.5</v>
      </c>
      <c r="I35" s="16"/>
    </row>
    <row r="36" spans="1:10" ht="21" customHeight="1">
      <c r="A36" s="39" t="s">
        <v>477</v>
      </c>
      <c r="B36" s="38" t="s">
        <v>323</v>
      </c>
      <c r="C36" s="7"/>
      <c r="D36" s="259"/>
      <c r="E36" s="260"/>
      <c r="F36" s="279">
        <v>21</v>
      </c>
      <c r="G36" s="260"/>
      <c r="H36" s="38">
        <f t="shared" si="0"/>
        <v>364.5</v>
      </c>
      <c r="I36" s="7"/>
    </row>
    <row r="37" spans="1:10" ht="21" customHeight="1">
      <c r="A37" s="39" t="s">
        <v>386</v>
      </c>
      <c r="B37" s="38" t="s">
        <v>323</v>
      </c>
      <c r="C37" s="7"/>
      <c r="D37" s="259"/>
      <c r="E37" s="260"/>
      <c r="F37" s="279">
        <v>14</v>
      </c>
      <c r="G37" s="260"/>
      <c r="H37" s="38">
        <f t="shared" si="0"/>
        <v>350.5</v>
      </c>
      <c r="I37" s="7"/>
    </row>
    <row r="38" spans="1:10" ht="21" customHeight="1">
      <c r="A38" s="41" t="s">
        <v>346</v>
      </c>
      <c r="B38" s="38" t="s">
        <v>323</v>
      </c>
      <c r="C38" s="3"/>
      <c r="D38" s="259"/>
      <c r="E38" s="260"/>
      <c r="F38" s="279">
        <v>14</v>
      </c>
      <c r="G38" s="260"/>
      <c r="H38" s="38">
        <f t="shared" si="0"/>
        <v>336.5</v>
      </c>
      <c r="I38" s="16"/>
    </row>
    <row r="39" spans="1:10" ht="21" customHeight="1">
      <c r="A39" s="39" t="s">
        <v>479</v>
      </c>
      <c r="B39" s="38" t="s">
        <v>323</v>
      </c>
      <c r="C39" s="3"/>
      <c r="D39" s="259"/>
      <c r="E39" s="260"/>
      <c r="F39" s="279">
        <v>9.5</v>
      </c>
      <c r="G39" s="260"/>
      <c r="H39" s="38">
        <f t="shared" si="0"/>
        <v>327</v>
      </c>
      <c r="I39" s="7"/>
    </row>
    <row r="40" spans="1:10" ht="21" customHeight="1">
      <c r="A40" s="39" t="s">
        <v>527</v>
      </c>
      <c r="B40" s="38" t="s">
        <v>323</v>
      </c>
      <c r="C40" s="3"/>
      <c r="D40" s="259"/>
      <c r="E40" s="260"/>
      <c r="F40" s="279">
        <v>21</v>
      </c>
      <c r="G40" s="260"/>
      <c r="H40" s="38">
        <f t="shared" si="0"/>
        <v>306</v>
      </c>
      <c r="I40" s="7"/>
    </row>
    <row r="41" spans="1:10" ht="21" customHeight="1">
      <c r="A41" s="39" t="s">
        <v>480</v>
      </c>
      <c r="B41" s="38" t="s">
        <v>323</v>
      </c>
      <c r="C41" s="3"/>
      <c r="D41" s="259"/>
      <c r="E41" s="260"/>
      <c r="F41" s="279">
        <v>5</v>
      </c>
      <c r="G41" s="260"/>
      <c r="H41" s="38">
        <f t="shared" si="0"/>
        <v>301</v>
      </c>
      <c r="I41" s="7"/>
    </row>
    <row r="42" spans="1:10" ht="21" customHeight="1">
      <c r="A42" s="39" t="s">
        <v>387</v>
      </c>
      <c r="B42" s="38" t="s">
        <v>323</v>
      </c>
      <c r="C42" s="38"/>
      <c r="D42" s="279"/>
      <c r="E42" s="260"/>
      <c r="F42" s="279">
        <v>9</v>
      </c>
      <c r="G42" s="260"/>
      <c r="H42" s="38">
        <f t="shared" si="0"/>
        <v>292</v>
      </c>
      <c r="I42" s="7"/>
    </row>
    <row r="43" spans="1:10" ht="21" customHeight="1">
      <c r="A43" s="39" t="s">
        <v>528</v>
      </c>
      <c r="B43" s="38" t="s">
        <v>323</v>
      </c>
      <c r="C43" s="38"/>
      <c r="D43" s="279"/>
      <c r="E43" s="260"/>
      <c r="F43" s="279">
        <v>23</v>
      </c>
      <c r="G43" s="260"/>
      <c r="H43" s="38">
        <f t="shared" si="0"/>
        <v>269</v>
      </c>
      <c r="I43" s="7"/>
    </row>
    <row r="44" spans="1:10" ht="21" customHeight="1">
      <c r="A44" s="107" t="s">
        <v>347</v>
      </c>
      <c r="B44" s="38" t="s">
        <v>323</v>
      </c>
      <c r="C44" s="38"/>
      <c r="D44" s="279"/>
      <c r="E44" s="260"/>
      <c r="F44" s="279">
        <v>21</v>
      </c>
      <c r="G44" s="260"/>
      <c r="H44" s="38">
        <f t="shared" si="0"/>
        <v>248</v>
      </c>
      <c r="I44" s="7"/>
    </row>
    <row r="45" spans="1:10" ht="21" customHeight="1">
      <c r="A45" s="39" t="s">
        <v>529</v>
      </c>
      <c r="B45" s="38" t="s">
        <v>323</v>
      </c>
      <c r="C45" s="38"/>
      <c r="D45" s="279"/>
      <c r="E45" s="260"/>
      <c r="F45" s="279">
        <v>5</v>
      </c>
      <c r="G45" s="260"/>
      <c r="H45" s="38">
        <f t="shared" si="0"/>
        <v>243</v>
      </c>
      <c r="I45" s="7"/>
    </row>
    <row r="46" spans="1:10" ht="21" customHeight="1">
      <c r="A46" s="39" t="s">
        <v>530</v>
      </c>
      <c r="B46" s="38" t="s">
        <v>323</v>
      </c>
      <c r="C46" s="38"/>
      <c r="D46" s="279"/>
      <c r="E46" s="260"/>
      <c r="F46" s="279">
        <v>13.5</v>
      </c>
      <c r="G46" s="260"/>
      <c r="H46" s="38">
        <f t="shared" si="0"/>
        <v>229.5</v>
      </c>
      <c r="I46" s="7"/>
    </row>
    <row r="47" spans="1:10" ht="21" customHeight="1">
      <c r="A47" s="39" t="s">
        <v>348</v>
      </c>
      <c r="B47" s="38" t="s">
        <v>323</v>
      </c>
      <c r="C47" s="38"/>
      <c r="D47" s="279"/>
      <c r="E47" s="260"/>
      <c r="F47" s="279">
        <v>15</v>
      </c>
      <c r="G47" s="260"/>
      <c r="H47" s="38">
        <f t="shared" si="0"/>
        <v>214.5</v>
      </c>
      <c r="I47" s="7"/>
    </row>
    <row r="48" spans="1:10" ht="21" customHeight="1">
      <c r="A48" s="39" t="s">
        <v>531</v>
      </c>
      <c r="B48" s="38" t="s">
        <v>323</v>
      </c>
      <c r="C48" s="38"/>
      <c r="D48" s="279"/>
      <c r="E48" s="260"/>
      <c r="F48" s="279">
        <v>6</v>
      </c>
      <c r="G48" s="260"/>
      <c r="H48" s="38">
        <f t="shared" si="0"/>
        <v>208.5</v>
      </c>
      <c r="I48" s="16"/>
    </row>
    <row r="49" spans="1:9">
      <c r="A49" s="39" t="s">
        <v>388</v>
      </c>
      <c r="B49" s="38" t="s">
        <v>323</v>
      </c>
      <c r="C49" s="38"/>
      <c r="D49" s="279"/>
      <c r="E49" s="260"/>
      <c r="F49" s="279">
        <v>36</v>
      </c>
      <c r="G49" s="260"/>
      <c r="H49" s="38">
        <f t="shared" si="0"/>
        <v>172.5</v>
      </c>
      <c r="I49" s="109"/>
    </row>
    <row r="50" spans="1:9" ht="21" customHeight="1">
      <c r="A50" s="39" t="s">
        <v>532</v>
      </c>
      <c r="B50" s="38" t="s">
        <v>323</v>
      </c>
      <c r="C50" s="38"/>
      <c r="D50" s="279"/>
      <c r="E50" s="260"/>
      <c r="F50" s="279">
        <v>5</v>
      </c>
      <c r="G50" s="260"/>
      <c r="H50" s="38">
        <f t="shared" si="0"/>
        <v>167.5</v>
      </c>
      <c r="I50" s="7"/>
    </row>
    <row r="51" spans="1:9" ht="21" customHeight="1">
      <c r="A51" s="39" t="s">
        <v>533</v>
      </c>
      <c r="B51" s="38" t="s">
        <v>323</v>
      </c>
      <c r="C51" s="38"/>
      <c r="D51" s="279"/>
      <c r="E51" s="260"/>
      <c r="F51" s="279">
        <v>32</v>
      </c>
      <c r="G51" s="260"/>
      <c r="H51" s="38">
        <f t="shared" si="0"/>
        <v>135.5</v>
      </c>
      <c r="I51" s="7"/>
    </row>
    <row r="52" spans="1:9" ht="21" customHeight="1">
      <c r="A52" s="39" t="s">
        <v>439</v>
      </c>
      <c r="B52" s="38" t="s">
        <v>324</v>
      </c>
      <c r="C52" s="38">
        <v>1000</v>
      </c>
      <c r="D52" s="279" t="s">
        <v>534</v>
      </c>
      <c r="E52" s="260"/>
      <c r="F52" s="279"/>
      <c r="G52" s="260"/>
      <c r="H52" s="38">
        <v>1135.5</v>
      </c>
      <c r="I52" s="7" t="s">
        <v>514</v>
      </c>
    </row>
    <row r="53" spans="1:9" ht="21" customHeight="1">
      <c r="A53" s="39" t="s">
        <v>439</v>
      </c>
      <c r="B53" s="38" t="s">
        <v>323</v>
      </c>
      <c r="C53" s="38"/>
      <c r="D53" s="279"/>
      <c r="E53" s="260"/>
      <c r="F53" s="279">
        <v>9</v>
      </c>
      <c r="G53" s="260"/>
      <c r="H53" s="38">
        <f t="shared" ref="H53:H84" si="1">H52-F53</f>
        <v>1126.5</v>
      </c>
      <c r="I53" s="7"/>
    </row>
    <row r="54" spans="1:9" ht="21" customHeight="1">
      <c r="A54" s="39" t="s">
        <v>535</v>
      </c>
      <c r="B54" s="38" t="s">
        <v>323</v>
      </c>
      <c r="C54" s="38"/>
      <c r="D54" s="279"/>
      <c r="E54" s="260"/>
      <c r="F54" s="279">
        <v>4.5</v>
      </c>
      <c r="G54" s="260"/>
      <c r="H54" s="38">
        <f t="shared" si="1"/>
        <v>1122</v>
      </c>
      <c r="I54" s="7"/>
    </row>
    <row r="55" spans="1:9" ht="21" customHeight="1">
      <c r="A55" s="39" t="s">
        <v>536</v>
      </c>
      <c r="B55" s="38" t="s">
        <v>323</v>
      </c>
      <c r="C55" s="38"/>
      <c r="D55" s="279"/>
      <c r="E55" s="260"/>
      <c r="F55" s="279">
        <v>21</v>
      </c>
      <c r="G55" s="260"/>
      <c r="H55" s="38">
        <f t="shared" si="1"/>
        <v>1101</v>
      </c>
      <c r="I55" s="7"/>
    </row>
    <row r="56" spans="1:9" ht="21" customHeight="1">
      <c r="A56" s="39" t="s">
        <v>537</v>
      </c>
      <c r="B56" s="38" t="s">
        <v>323</v>
      </c>
      <c r="C56" s="38"/>
      <c r="D56" s="279"/>
      <c r="E56" s="260"/>
      <c r="F56" s="279">
        <v>9</v>
      </c>
      <c r="G56" s="260"/>
      <c r="H56" s="38">
        <f t="shared" si="1"/>
        <v>1092</v>
      </c>
      <c r="I56" s="7"/>
    </row>
    <row r="57" spans="1:9" ht="21" customHeight="1">
      <c r="A57" s="39" t="s">
        <v>351</v>
      </c>
      <c r="B57" s="38" t="s">
        <v>323</v>
      </c>
      <c r="C57" s="38"/>
      <c r="D57" s="279"/>
      <c r="E57" s="260"/>
      <c r="F57" s="279">
        <v>28</v>
      </c>
      <c r="G57" s="260"/>
      <c r="H57" s="38">
        <f t="shared" si="1"/>
        <v>1064</v>
      </c>
      <c r="I57" s="7"/>
    </row>
    <row r="58" spans="1:9" ht="21" customHeight="1">
      <c r="A58" s="39" t="s">
        <v>538</v>
      </c>
      <c r="B58" s="38" t="s">
        <v>323</v>
      </c>
      <c r="C58" s="38"/>
      <c r="D58" s="279"/>
      <c r="E58" s="260"/>
      <c r="F58" s="279">
        <v>4.5</v>
      </c>
      <c r="G58" s="260"/>
      <c r="H58" s="38">
        <f t="shared" si="1"/>
        <v>1059.5</v>
      </c>
      <c r="I58" s="7"/>
    </row>
    <row r="59" spans="1:9" ht="21" customHeight="1">
      <c r="A59" s="39" t="s">
        <v>440</v>
      </c>
      <c r="B59" s="38" t="s">
        <v>323</v>
      </c>
      <c r="C59" s="38"/>
      <c r="D59" s="279"/>
      <c r="E59" s="260"/>
      <c r="F59" s="279">
        <v>4.5</v>
      </c>
      <c r="G59" s="260"/>
      <c r="H59" s="38">
        <f t="shared" si="1"/>
        <v>1055</v>
      </c>
      <c r="I59" s="7"/>
    </row>
    <row r="60" spans="1:9" ht="21" customHeight="1">
      <c r="A60" s="39" t="s">
        <v>484</v>
      </c>
      <c r="B60" s="38" t="s">
        <v>323</v>
      </c>
      <c r="C60" s="38"/>
      <c r="D60" s="279"/>
      <c r="E60" s="260"/>
      <c r="F60" s="279">
        <v>21</v>
      </c>
      <c r="G60" s="260"/>
      <c r="H60" s="38">
        <f t="shared" si="1"/>
        <v>1034</v>
      </c>
      <c r="I60" s="7"/>
    </row>
    <row r="61" spans="1:9" ht="21" customHeight="1">
      <c r="A61" s="39" t="s">
        <v>487</v>
      </c>
      <c r="B61" s="38" t="s">
        <v>323</v>
      </c>
      <c r="C61" s="38"/>
      <c r="D61" s="279"/>
      <c r="E61" s="260"/>
      <c r="F61" s="279">
        <v>6</v>
      </c>
      <c r="G61" s="260"/>
      <c r="H61" s="38">
        <f t="shared" si="1"/>
        <v>1028</v>
      </c>
      <c r="I61" s="7"/>
    </row>
    <row r="62" spans="1:9" ht="21" customHeight="1">
      <c r="A62" s="39" t="s">
        <v>488</v>
      </c>
      <c r="B62" s="38" t="s">
        <v>323</v>
      </c>
      <c r="C62" s="38"/>
      <c r="D62" s="279"/>
      <c r="E62" s="260"/>
      <c r="F62" s="279">
        <v>19.5</v>
      </c>
      <c r="G62" s="260"/>
      <c r="H62" s="38">
        <f t="shared" si="1"/>
        <v>1008.5</v>
      </c>
      <c r="I62" s="7"/>
    </row>
    <row r="63" spans="1:9" ht="21" customHeight="1">
      <c r="A63" s="39" t="s">
        <v>539</v>
      </c>
      <c r="B63" s="38" t="s">
        <v>323</v>
      </c>
      <c r="C63" s="38"/>
      <c r="D63" s="279"/>
      <c r="E63" s="260"/>
      <c r="F63" s="279">
        <v>5</v>
      </c>
      <c r="G63" s="260"/>
      <c r="H63" s="38">
        <f t="shared" si="1"/>
        <v>1003.5</v>
      </c>
      <c r="I63" s="7"/>
    </row>
    <row r="64" spans="1:9" ht="21" customHeight="1">
      <c r="A64" s="39" t="s">
        <v>353</v>
      </c>
      <c r="B64" s="38" t="s">
        <v>323</v>
      </c>
      <c r="C64" s="38"/>
      <c r="D64" s="279"/>
      <c r="E64" s="260"/>
      <c r="F64" s="279">
        <v>4.5</v>
      </c>
      <c r="G64" s="260"/>
      <c r="H64" s="38">
        <f t="shared" si="1"/>
        <v>999</v>
      </c>
      <c r="I64" s="7"/>
    </row>
    <row r="65" spans="1:9" ht="21" customHeight="1">
      <c r="A65" s="39" t="s">
        <v>391</v>
      </c>
      <c r="B65" s="38" t="s">
        <v>323</v>
      </c>
      <c r="C65" s="38"/>
      <c r="D65" s="279"/>
      <c r="E65" s="260"/>
      <c r="F65" s="279">
        <v>14</v>
      </c>
      <c r="G65" s="260"/>
      <c r="H65" s="38">
        <f t="shared" si="1"/>
        <v>985</v>
      </c>
      <c r="I65" s="7"/>
    </row>
    <row r="66" spans="1:9">
      <c r="A66" s="39" t="s">
        <v>392</v>
      </c>
      <c r="B66" s="38" t="s">
        <v>323</v>
      </c>
      <c r="C66" s="38"/>
      <c r="D66" s="279"/>
      <c r="E66" s="260"/>
      <c r="F66" s="279">
        <v>25.5</v>
      </c>
      <c r="G66" s="260"/>
      <c r="H66" s="38">
        <f t="shared" si="1"/>
        <v>959.5</v>
      </c>
      <c r="I66" s="109" t="s">
        <v>540</v>
      </c>
    </row>
    <row r="67" spans="1:9" ht="21" customHeight="1">
      <c r="A67" s="39" t="s">
        <v>490</v>
      </c>
      <c r="B67" s="38" t="s">
        <v>323</v>
      </c>
      <c r="C67" s="38"/>
      <c r="D67" s="279"/>
      <c r="E67" s="260"/>
      <c r="F67" s="279">
        <v>4.5</v>
      </c>
      <c r="G67" s="260"/>
      <c r="H67" s="38">
        <f t="shared" si="1"/>
        <v>955</v>
      </c>
      <c r="I67" s="7"/>
    </row>
    <row r="68" spans="1:9" ht="21" customHeight="1">
      <c r="A68" s="39" t="s">
        <v>541</v>
      </c>
      <c r="B68" s="38" t="s">
        <v>323</v>
      </c>
      <c r="C68" s="38"/>
      <c r="D68" s="279"/>
      <c r="E68" s="260"/>
      <c r="F68" s="279">
        <v>5</v>
      </c>
      <c r="G68" s="260"/>
      <c r="H68" s="38">
        <f t="shared" si="1"/>
        <v>950</v>
      </c>
      <c r="I68" s="7"/>
    </row>
    <row r="69" spans="1:9" ht="21" customHeight="1">
      <c r="A69" s="39" t="s">
        <v>491</v>
      </c>
      <c r="B69" s="38" t="s">
        <v>323</v>
      </c>
      <c r="C69" s="38"/>
      <c r="D69" s="279"/>
      <c r="E69" s="260"/>
      <c r="F69" s="279">
        <v>4.5</v>
      </c>
      <c r="G69" s="260"/>
      <c r="H69" s="38">
        <f t="shared" si="1"/>
        <v>945.5</v>
      </c>
      <c r="I69" s="7"/>
    </row>
    <row r="70" spans="1:9" ht="21" customHeight="1">
      <c r="A70" s="39" t="s">
        <v>542</v>
      </c>
      <c r="B70" s="38" t="s">
        <v>323</v>
      </c>
      <c r="C70" s="38"/>
      <c r="D70" s="279"/>
      <c r="E70" s="260"/>
      <c r="F70" s="279">
        <v>9</v>
      </c>
      <c r="G70" s="260"/>
      <c r="H70" s="38">
        <f t="shared" si="1"/>
        <v>936.5</v>
      </c>
      <c r="I70" s="7"/>
    </row>
    <row r="71" spans="1:9" ht="21" customHeight="1">
      <c r="A71" s="39" t="s">
        <v>354</v>
      </c>
      <c r="B71" s="38" t="s">
        <v>323</v>
      </c>
      <c r="C71" s="38"/>
      <c r="D71" s="279"/>
      <c r="E71" s="260"/>
      <c r="F71" s="279">
        <v>21</v>
      </c>
      <c r="G71" s="260"/>
      <c r="H71" s="38">
        <f t="shared" si="1"/>
        <v>915.5</v>
      </c>
      <c r="I71" s="7"/>
    </row>
    <row r="72" spans="1:9" ht="21" customHeight="1">
      <c r="A72" s="39" t="s">
        <v>543</v>
      </c>
      <c r="B72" s="38" t="s">
        <v>323</v>
      </c>
      <c r="C72" s="38"/>
      <c r="D72" s="279"/>
      <c r="E72" s="260"/>
      <c r="F72" s="279">
        <v>9</v>
      </c>
      <c r="G72" s="260"/>
      <c r="H72" s="38">
        <f t="shared" si="1"/>
        <v>906.5</v>
      </c>
      <c r="I72" s="7"/>
    </row>
    <row r="73" spans="1:9" ht="21" customHeight="1">
      <c r="A73" s="39" t="s">
        <v>393</v>
      </c>
      <c r="B73" s="38" t="s">
        <v>323</v>
      </c>
      <c r="C73" s="38"/>
      <c r="D73" s="279"/>
      <c r="E73" s="260"/>
      <c r="F73" s="279">
        <v>21</v>
      </c>
      <c r="G73" s="260"/>
      <c r="H73" s="38">
        <f t="shared" si="1"/>
        <v>885.5</v>
      </c>
      <c r="I73" s="7"/>
    </row>
    <row r="74" spans="1:9" ht="21" customHeight="1">
      <c r="A74" s="39" t="s">
        <v>416</v>
      </c>
      <c r="B74" s="38" t="s">
        <v>323</v>
      </c>
      <c r="C74" s="38"/>
      <c r="D74" s="279"/>
      <c r="E74" s="260"/>
      <c r="F74" s="279">
        <v>9</v>
      </c>
      <c r="G74" s="260"/>
      <c r="H74" s="38">
        <f t="shared" si="1"/>
        <v>876.5</v>
      </c>
      <c r="I74" s="7"/>
    </row>
    <row r="75" spans="1:9" ht="21" customHeight="1">
      <c r="A75" s="39" t="s">
        <v>394</v>
      </c>
      <c r="B75" s="38" t="s">
        <v>323</v>
      </c>
      <c r="C75" s="38"/>
      <c r="D75" s="279"/>
      <c r="E75" s="260"/>
      <c r="F75" s="279">
        <v>70</v>
      </c>
      <c r="G75" s="260"/>
      <c r="H75" s="38">
        <f t="shared" si="1"/>
        <v>806.5</v>
      </c>
      <c r="I75" s="7"/>
    </row>
    <row r="76" spans="1:9" ht="21" customHeight="1">
      <c r="A76" s="39" t="s">
        <v>493</v>
      </c>
      <c r="B76" s="38" t="s">
        <v>323</v>
      </c>
      <c r="C76" s="38"/>
      <c r="D76" s="279"/>
      <c r="E76" s="260"/>
      <c r="F76" s="279">
        <v>21</v>
      </c>
      <c r="G76" s="260"/>
      <c r="H76" s="38">
        <f t="shared" si="1"/>
        <v>785.5</v>
      </c>
      <c r="I76" s="11"/>
    </row>
    <row r="77" spans="1:9" ht="21" customHeight="1">
      <c r="A77" s="39" t="s">
        <v>445</v>
      </c>
      <c r="B77" s="38" t="s">
        <v>323</v>
      </c>
      <c r="C77" s="38"/>
      <c r="D77" s="279"/>
      <c r="E77" s="260"/>
      <c r="F77" s="279">
        <v>9</v>
      </c>
      <c r="G77" s="260"/>
      <c r="H77" s="38">
        <f t="shared" si="1"/>
        <v>776.5</v>
      </c>
      <c r="I77" s="7"/>
    </row>
    <row r="78" spans="1:9" ht="21" customHeight="1">
      <c r="A78" s="39" t="s">
        <v>495</v>
      </c>
      <c r="B78" s="38" t="s">
        <v>323</v>
      </c>
      <c r="C78" s="38"/>
      <c r="D78" s="279"/>
      <c r="E78" s="260"/>
      <c r="F78" s="279">
        <v>18.5</v>
      </c>
      <c r="G78" s="260"/>
      <c r="H78" s="38">
        <f t="shared" si="1"/>
        <v>758</v>
      </c>
      <c r="I78" s="7"/>
    </row>
    <row r="79" spans="1:9" ht="21" customHeight="1">
      <c r="A79" s="39" t="s">
        <v>544</v>
      </c>
      <c r="B79" s="38" t="s">
        <v>323</v>
      </c>
      <c r="C79" s="38"/>
      <c r="D79" s="279"/>
      <c r="E79" s="260"/>
      <c r="F79" s="279">
        <v>5</v>
      </c>
      <c r="G79" s="260"/>
      <c r="H79" s="38">
        <f t="shared" si="1"/>
        <v>753</v>
      </c>
      <c r="I79" s="7"/>
    </row>
    <row r="80" spans="1:9" ht="21" customHeight="1">
      <c r="A80" s="39" t="s">
        <v>496</v>
      </c>
      <c r="B80" s="38" t="s">
        <v>323</v>
      </c>
      <c r="C80" s="38"/>
      <c r="D80" s="279"/>
      <c r="E80" s="260"/>
      <c r="F80" s="279">
        <v>3</v>
      </c>
      <c r="G80" s="260"/>
      <c r="H80" s="38">
        <f t="shared" si="1"/>
        <v>750</v>
      </c>
      <c r="I80" s="7"/>
    </row>
    <row r="81" spans="1:9" ht="21" customHeight="1">
      <c r="A81" s="39" t="s">
        <v>357</v>
      </c>
      <c r="B81" s="38" t="s">
        <v>323</v>
      </c>
      <c r="C81" s="38"/>
      <c r="D81" s="279"/>
      <c r="E81" s="260"/>
      <c r="F81" s="279">
        <v>10.5</v>
      </c>
      <c r="G81" s="260"/>
      <c r="H81" s="38">
        <f t="shared" si="1"/>
        <v>739.5</v>
      </c>
      <c r="I81" s="7"/>
    </row>
    <row r="82" spans="1:9" ht="21" customHeight="1">
      <c r="A82" s="39" t="s">
        <v>447</v>
      </c>
      <c r="B82" s="38" t="s">
        <v>323</v>
      </c>
      <c r="C82" s="38"/>
      <c r="D82" s="279"/>
      <c r="E82" s="260"/>
      <c r="F82" s="279">
        <v>21</v>
      </c>
      <c r="G82" s="260"/>
      <c r="H82" s="38">
        <f t="shared" si="1"/>
        <v>718.5</v>
      </c>
      <c r="I82" s="91" t="s">
        <v>545</v>
      </c>
    </row>
    <row r="83" spans="1:9" ht="21" customHeight="1">
      <c r="A83" s="39" t="s">
        <v>497</v>
      </c>
      <c r="B83" s="38" t="s">
        <v>323</v>
      </c>
      <c r="C83" s="38"/>
      <c r="D83" s="279"/>
      <c r="E83" s="260"/>
      <c r="F83" s="279">
        <v>4.5</v>
      </c>
      <c r="G83" s="260"/>
      <c r="H83" s="38">
        <f t="shared" si="1"/>
        <v>714</v>
      </c>
      <c r="I83" s="7"/>
    </row>
    <row r="84" spans="1:9" ht="21" customHeight="1">
      <c r="A84" s="39" t="s">
        <v>546</v>
      </c>
      <c r="B84" s="38" t="s">
        <v>323</v>
      </c>
      <c r="C84" s="38"/>
      <c r="D84" s="279"/>
      <c r="E84" s="260"/>
      <c r="F84" s="279">
        <v>20</v>
      </c>
      <c r="G84" s="260"/>
      <c r="H84" s="38">
        <f t="shared" si="1"/>
        <v>694</v>
      </c>
      <c r="I84" s="7"/>
    </row>
    <row r="85" spans="1:9" ht="21" customHeight="1">
      <c r="A85" s="39" t="s">
        <v>498</v>
      </c>
      <c r="B85" s="38" t="s">
        <v>323</v>
      </c>
      <c r="C85" s="38"/>
      <c r="D85" s="279"/>
      <c r="E85" s="260"/>
      <c r="F85" s="279">
        <v>6</v>
      </c>
      <c r="G85" s="260"/>
      <c r="H85" s="38">
        <f t="shared" ref="H85:H110" si="2">H84-F85</f>
        <v>688</v>
      </c>
      <c r="I85" s="7"/>
    </row>
    <row r="86" spans="1:9" ht="21" customHeight="1">
      <c r="A86" s="39" t="s">
        <v>499</v>
      </c>
      <c r="B86" s="38" t="s">
        <v>323</v>
      </c>
      <c r="C86" s="38"/>
      <c r="D86" s="279"/>
      <c r="E86" s="260"/>
      <c r="F86" s="279">
        <v>6</v>
      </c>
      <c r="G86" s="260"/>
      <c r="H86" s="38">
        <f t="shared" si="2"/>
        <v>682</v>
      </c>
      <c r="I86" s="7"/>
    </row>
    <row r="87" spans="1:9" ht="21" customHeight="1">
      <c r="A87" s="39" t="s">
        <v>547</v>
      </c>
      <c r="B87" s="38" t="s">
        <v>323</v>
      </c>
      <c r="C87" s="38"/>
      <c r="D87" s="279"/>
      <c r="E87" s="260"/>
      <c r="F87" s="279">
        <v>25.5</v>
      </c>
      <c r="G87" s="260"/>
      <c r="H87" s="38">
        <f t="shared" si="2"/>
        <v>656.5</v>
      </c>
      <c r="I87" s="7"/>
    </row>
    <row r="88" spans="1:9" ht="21" customHeight="1">
      <c r="A88" s="39" t="s">
        <v>548</v>
      </c>
      <c r="B88" s="38" t="s">
        <v>323</v>
      </c>
      <c r="C88" s="38"/>
      <c r="D88" s="279"/>
      <c r="E88" s="260"/>
      <c r="F88" s="279">
        <v>4.5</v>
      </c>
      <c r="G88" s="260"/>
      <c r="H88" s="38">
        <f t="shared" si="2"/>
        <v>652</v>
      </c>
      <c r="I88" s="7"/>
    </row>
    <row r="89" spans="1:9" ht="21" customHeight="1">
      <c r="A89" s="39" t="s">
        <v>449</v>
      </c>
      <c r="B89" s="38" t="s">
        <v>323</v>
      </c>
      <c r="C89" s="38"/>
      <c r="D89" s="279"/>
      <c r="E89" s="260"/>
      <c r="F89" s="279">
        <v>23</v>
      </c>
      <c r="G89" s="260"/>
      <c r="H89" s="38">
        <f t="shared" si="2"/>
        <v>629</v>
      </c>
      <c r="I89" s="7"/>
    </row>
    <row r="90" spans="1:9" ht="21" customHeight="1">
      <c r="A90" s="39" t="s">
        <v>502</v>
      </c>
      <c r="B90" s="38" t="s">
        <v>323</v>
      </c>
      <c r="C90" s="38"/>
      <c r="D90" s="279"/>
      <c r="E90" s="260"/>
      <c r="F90" s="279">
        <v>4.5</v>
      </c>
      <c r="G90" s="260"/>
      <c r="H90" s="38">
        <f t="shared" si="2"/>
        <v>624.5</v>
      </c>
      <c r="I90" s="7"/>
    </row>
    <row r="91" spans="1:9" ht="22.2" customHeight="1">
      <c r="A91" s="39" t="s">
        <v>549</v>
      </c>
      <c r="B91" s="38" t="s">
        <v>323</v>
      </c>
      <c r="C91" s="38"/>
      <c r="D91" s="279"/>
      <c r="E91" s="260"/>
      <c r="F91" s="279">
        <v>42</v>
      </c>
      <c r="G91" s="260"/>
      <c r="H91" s="38">
        <f t="shared" si="2"/>
        <v>582.5</v>
      </c>
      <c r="I91" s="95"/>
    </row>
    <row r="92" spans="1:9" ht="21" customHeight="1">
      <c r="A92" s="39" t="s">
        <v>504</v>
      </c>
      <c r="B92" s="38" t="s">
        <v>323</v>
      </c>
      <c r="C92" s="38"/>
      <c r="D92" s="279"/>
      <c r="E92" s="260"/>
      <c r="F92" s="279">
        <v>14</v>
      </c>
      <c r="G92" s="260"/>
      <c r="H92" s="38">
        <f t="shared" si="2"/>
        <v>568.5</v>
      </c>
      <c r="I92" s="7"/>
    </row>
    <row r="93" spans="1:9" ht="21" customHeight="1">
      <c r="A93" s="39" t="s">
        <v>550</v>
      </c>
      <c r="B93" s="38" t="s">
        <v>323</v>
      </c>
      <c r="C93" s="38"/>
      <c r="D93" s="279"/>
      <c r="E93" s="260"/>
      <c r="F93" s="279">
        <v>4.5</v>
      </c>
      <c r="G93" s="260"/>
      <c r="H93" s="38">
        <f t="shared" si="2"/>
        <v>564</v>
      </c>
      <c r="I93" s="7"/>
    </row>
    <row r="94" spans="1:9" ht="21" customHeight="1">
      <c r="A94" s="39" t="s">
        <v>551</v>
      </c>
      <c r="B94" s="38" t="s">
        <v>323</v>
      </c>
      <c r="C94" s="38"/>
      <c r="D94" s="279"/>
      <c r="E94" s="260"/>
      <c r="F94" s="279">
        <v>4.5</v>
      </c>
      <c r="G94" s="260"/>
      <c r="H94" s="38">
        <f t="shared" si="2"/>
        <v>559.5</v>
      </c>
      <c r="I94" s="7"/>
    </row>
    <row r="95" spans="1:9" ht="21" customHeight="1">
      <c r="A95" s="39" t="s">
        <v>362</v>
      </c>
      <c r="B95" s="38" t="s">
        <v>323</v>
      </c>
      <c r="C95" s="38"/>
      <c r="D95" s="279"/>
      <c r="E95" s="260"/>
      <c r="F95" s="279">
        <v>4.5</v>
      </c>
      <c r="G95" s="260"/>
      <c r="H95" s="38">
        <f t="shared" si="2"/>
        <v>555</v>
      </c>
      <c r="I95" s="7"/>
    </row>
    <row r="96" spans="1:9" ht="21" customHeight="1">
      <c r="A96" s="39" t="s">
        <v>363</v>
      </c>
      <c r="B96" s="38" t="s">
        <v>323</v>
      </c>
      <c r="C96" s="38"/>
      <c r="D96" s="279"/>
      <c r="E96" s="260"/>
      <c r="F96" s="279">
        <v>4.5</v>
      </c>
      <c r="G96" s="260"/>
      <c r="H96" s="38">
        <f t="shared" si="2"/>
        <v>550.5</v>
      </c>
      <c r="I96" s="7"/>
    </row>
    <row r="97" spans="1:9" ht="21" customHeight="1">
      <c r="A97" s="39" t="s">
        <v>506</v>
      </c>
      <c r="B97" s="38" t="s">
        <v>323</v>
      </c>
      <c r="C97" s="38"/>
      <c r="D97" s="279"/>
      <c r="E97" s="260"/>
      <c r="F97" s="279">
        <v>35</v>
      </c>
      <c r="G97" s="260"/>
      <c r="H97" s="38">
        <f t="shared" si="2"/>
        <v>515.5</v>
      </c>
      <c r="I97" s="7"/>
    </row>
    <row r="98" spans="1:9" ht="21" customHeight="1">
      <c r="A98" s="39" t="s">
        <v>552</v>
      </c>
      <c r="B98" s="38" t="s">
        <v>323</v>
      </c>
      <c r="C98" s="38"/>
      <c r="D98" s="279"/>
      <c r="E98" s="260"/>
      <c r="F98" s="279">
        <v>4.5</v>
      </c>
      <c r="G98" s="260"/>
      <c r="H98" s="38">
        <f t="shared" si="2"/>
        <v>511</v>
      </c>
      <c r="I98" s="7"/>
    </row>
    <row r="99" spans="1:9" ht="21" customHeight="1">
      <c r="A99" s="39" t="s">
        <v>553</v>
      </c>
      <c r="B99" s="38" t="s">
        <v>323</v>
      </c>
      <c r="C99" s="38"/>
      <c r="D99" s="279"/>
      <c r="E99" s="260"/>
      <c r="F99" s="279">
        <v>9</v>
      </c>
      <c r="G99" s="260"/>
      <c r="H99" s="38">
        <f t="shared" si="2"/>
        <v>502</v>
      </c>
      <c r="I99" s="7"/>
    </row>
    <row r="100" spans="1:9" ht="21" customHeight="1">
      <c r="A100" s="39" t="s">
        <v>554</v>
      </c>
      <c r="B100" s="38" t="s">
        <v>323</v>
      </c>
      <c r="C100" s="38"/>
      <c r="D100" s="279"/>
      <c r="E100" s="260"/>
      <c r="F100" s="279">
        <v>4.5</v>
      </c>
      <c r="G100" s="260"/>
      <c r="H100" s="38">
        <f t="shared" si="2"/>
        <v>497.5</v>
      </c>
      <c r="I100" s="7"/>
    </row>
    <row r="101" spans="1:9" ht="21" customHeight="1">
      <c r="A101" s="39" t="s">
        <v>452</v>
      </c>
      <c r="B101" s="38" t="s">
        <v>323</v>
      </c>
      <c r="C101" s="38"/>
      <c r="D101" s="279"/>
      <c r="E101" s="260"/>
      <c r="F101" s="279">
        <v>21</v>
      </c>
      <c r="G101" s="260"/>
      <c r="H101" s="38">
        <f t="shared" si="2"/>
        <v>476.5</v>
      </c>
      <c r="I101" s="7"/>
    </row>
    <row r="102" spans="1:9" ht="21" customHeight="1">
      <c r="A102" s="39" t="s">
        <v>365</v>
      </c>
      <c r="B102" s="38" t="s">
        <v>323</v>
      </c>
      <c r="C102" s="38"/>
      <c r="D102" s="279"/>
      <c r="E102" s="260"/>
      <c r="F102" s="279">
        <v>9</v>
      </c>
      <c r="G102" s="260"/>
      <c r="H102" s="38">
        <f t="shared" si="2"/>
        <v>467.5</v>
      </c>
      <c r="I102" s="7"/>
    </row>
    <row r="103" spans="1:9" ht="21" customHeight="1">
      <c r="A103" s="39" t="s">
        <v>456</v>
      </c>
      <c r="B103" s="38" t="s">
        <v>323</v>
      </c>
      <c r="C103" s="38"/>
      <c r="D103" s="279"/>
      <c r="E103" s="260"/>
      <c r="F103" s="279">
        <v>14</v>
      </c>
      <c r="G103" s="260"/>
      <c r="H103" s="38">
        <f t="shared" si="2"/>
        <v>453.5</v>
      </c>
      <c r="I103" s="7"/>
    </row>
    <row r="104" spans="1:9" ht="21" customHeight="1">
      <c r="A104" s="39" t="s">
        <v>507</v>
      </c>
      <c r="B104" s="38" t="s">
        <v>323</v>
      </c>
      <c r="C104" s="38"/>
      <c r="D104" s="279"/>
      <c r="E104" s="260"/>
      <c r="F104" s="279">
        <v>28.5</v>
      </c>
      <c r="G104" s="260"/>
      <c r="H104" s="38">
        <f t="shared" si="2"/>
        <v>425</v>
      </c>
      <c r="I104" s="7"/>
    </row>
    <row r="105" spans="1:9" ht="21" customHeight="1">
      <c r="A105" s="39" t="s">
        <v>511</v>
      </c>
      <c r="B105" s="38" t="s">
        <v>323</v>
      </c>
      <c r="C105" s="38"/>
      <c r="D105" s="279"/>
      <c r="E105" s="260"/>
      <c r="F105" s="279">
        <v>4.5</v>
      </c>
      <c r="G105" s="260"/>
      <c r="H105" s="38">
        <f t="shared" si="2"/>
        <v>420.5</v>
      </c>
      <c r="I105" s="7"/>
    </row>
    <row r="106" spans="1:9" ht="21" customHeight="1">
      <c r="A106" s="39" t="s">
        <v>366</v>
      </c>
      <c r="B106" s="38" t="s">
        <v>323</v>
      </c>
      <c r="C106" s="38"/>
      <c r="D106" s="279"/>
      <c r="E106" s="260"/>
      <c r="F106" s="279">
        <v>23</v>
      </c>
      <c r="G106" s="260"/>
      <c r="H106" s="38">
        <f t="shared" si="2"/>
        <v>397.5</v>
      </c>
      <c r="I106" s="7"/>
    </row>
    <row r="107" spans="1:9" ht="21" customHeight="1">
      <c r="A107" s="39" t="s">
        <v>367</v>
      </c>
      <c r="B107" s="38" t="s">
        <v>323</v>
      </c>
      <c r="C107" s="38"/>
      <c r="D107" s="279"/>
      <c r="E107" s="260"/>
      <c r="F107" s="279">
        <v>25.5</v>
      </c>
      <c r="G107" s="260"/>
      <c r="H107" s="38">
        <f t="shared" si="2"/>
        <v>372</v>
      </c>
      <c r="I107" s="7"/>
    </row>
    <row r="108" spans="1:9" ht="21" customHeight="1">
      <c r="A108" s="39" t="s">
        <v>368</v>
      </c>
      <c r="B108" s="38" t="s">
        <v>323</v>
      </c>
      <c r="C108" s="38"/>
      <c r="D108" s="279"/>
      <c r="E108" s="260"/>
      <c r="F108" s="279">
        <v>21</v>
      </c>
      <c r="G108" s="260"/>
      <c r="H108" s="38">
        <f t="shared" si="2"/>
        <v>351</v>
      </c>
      <c r="I108" s="7"/>
    </row>
    <row r="109" spans="1:9" ht="21" customHeight="1">
      <c r="A109" s="39" t="s">
        <v>369</v>
      </c>
      <c r="B109" s="38" t="s">
        <v>323</v>
      </c>
      <c r="C109" s="38"/>
      <c r="D109" s="279"/>
      <c r="E109" s="260"/>
      <c r="F109" s="279">
        <v>21</v>
      </c>
      <c r="G109" s="260"/>
      <c r="H109" s="38">
        <f t="shared" si="2"/>
        <v>330</v>
      </c>
      <c r="I109" s="7"/>
    </row>
    <row r="110" spans="1:9" ht="21" customHeight="1">
      <c r="A110" s="39" t="s">
        <v>421</v>
      </c>
      <c r="B110" s="38" t="s">
        <v>323</v>
      </c>
      <c r="C110" s="38"/>
      <c r="D110" s="279"/>
      <c r="E110" s="260"/>
      <c r="F110" s="279">
        <v>14</v>
      </c>
      <c r="G110" s="260"/>
      <c r="H110" s="38">
        <f t="shared" si="2"/>
        <v>316</v>
      </c>
      <c r="I110" s="7"/>
    </row>
    <row r="111" spans="1:9" ht="21" customHeight="1">
      <c r="A111" s="39"/>
      <c r="B111" s="38"/>
      <c r="C111" s="38"/>
      <c r="D111" s="279"/>
      <c r="E111" s="260"/>
      <c r="F111" s="279"/>
      <c r="G111" s="260"/>
      <c r="H111" s="38"/>
      <c r="I111" s="7"/>
    </row>
    <row r="112" spans="1:9" ht="21" customHeight="1">
      <c r="A112" s="39"/>
      <c r="B112" s="38"/>
      <c r="C112" s="38"/>
      <c r="D112" s="279"/>
      <c r="E112" s="260"/>
      <c r="F112" s="279"/>
      <c r="G112" s="260"/>
      <c r="H112" s="38"/>
      <c r="I112" s="7"/>
    </row>
    <row r="113" spans="1:9" ht="21" customHeight="1">
      <c r="A113" s="39"/>
      <c r="B113" s="38"/>
      <c r="C113" s="38"/>
      <c r="D113" s="279"/>
      <c r="E113" s="260"/>
      <c r="F113" s="279"/>
      <c r="G113" s="260"/>
      <c r="H113" s="38"/>
      <c r="I113" s="7"/>
    </row>
    <row r="114" spans="1:9" ht="21" customHeight="1">
      <c r="A114" s="39"/>
      <c r="B114" s="38"/>
      <c r="C114" s="38"/>
      <c r="D114" s="279"/>
      <c r="E114" s="260"/>
      <c r="F114" s="279"/>
      <c r="G114" s="260"/>
      <c r="H114" s="38"/>
      <c r="I114" s="7"/>
    </row>
    <row r="115" spans="1:9" ht="21" customHeight="1">
      <c r="A115" s="39"/>
      <c r="B115" s="38"/>
      <c r="C115" s="38"/>
      <c r="D115" s="279"/>
      <c r="E115" s="260"/>
      <c r="F115" s="279"/>
      <c r="G115" s="260"/>
      <c r="H115" s="38"/>
      <c r="I115" s="7"/>
    </row>
    <row r="116" spans="1:9" ht="21" customHeight="1">
      <c r="A116" s="39"/>
      <c r="B116" s="38"/>
      <c r="C116" s="38"/>
      <c r="D116" s="279"/>
      <c r="E116" s="260"/>
      <c r="F116" s="279"/>
      <c r="G116" s="260"/>
      <c r="H116" s="38"/>
      <c r="I116" s="7"/>
    </row>
    <row r="117" spans="1:9" ht="21" customHeight="1">
      <c r="A117" s="39"/>
      <c r="B117" s="38"/>
      <c r="C117" s="38"/>
      <c r="D117" s="279"/>
      <c r="E117" s="260"/>
      <c r="F117" s="279"/>
      <c r="G117" s="260"/>
      <c r="H117" s="38"/>
      <c r="I117" s="7"/>
    </row>
    <row r="118" spans="1:9" ht="21" customHeight="1">
      <c r="A118" s="39"/>
      <c r="B118" s="38"/>
      <c r="C118" s="38"/>
      <c r="D118" s="279"/>
      <c r="E118" s="260"/>
      <c r="F118" s="279"/>
      <c r="G118" s="260"/>
      <c r="H118" s="38"/>
      <c r="I118" s="7"/>
    </row>
    <row r="119" spans="1:9" ht="21" customHeight="1">
      <c r="A119" s="39"/>
      <c r="B119" s="38"/>
      <c r="C119" s="38"/>
      <c r="D119" s="279"/>
      <c r="E119" s="260"/>
      <c r="F119" s="279"/>
      <c r="G119" s="260"/>
      <c r="H119" s="38"/>
      <c r="I119" s="7"/>
    </row>
    <row r="120" spans="1:9" ht="21" customHeight="1">
      <c r="A120" s="39"/>
      <c r="B120" s="38"/>
      <c r="C120" s="38"/>
      <c r="D120" s="279"/>
      <c r="E120" s="260"/>
      <c r="F120" s="279"/>
      <c r="G120" s="260"/>
      <c r="H120" s="38"/>
      <c r="I120" s="7"/>
    </row>
    <row r="121" spans="1:9" ht="21" customHeight="1">
      <c r="A121" s="39"/>
      <c r="B121" s="38"/>
      <c r="C121" s="38"/>
      <c r="D121" s="279"/>
      <c r="E121" s="260"/>
      <c r="F121" s="279"/>
      <c r="G121" s="260"/>
      <c r="H121" s="38"/>
      <c r="I121" s="7"/>
    </row>
    <row r="122" spans="1:9" ht="21" customHeight="1">
      <c r="A122" s="39"/>
      <c r="B122" s="38"/>
      <c r="C122" s="38"/>
      <c r="D122" s="279"/>
      <c r="E122" s="260"/>
      <c r="F122" s="279"/>
      <c r="G122" s="260"/>
      <c r="H122" s="38"/>
      <c r="I122" s="7"/>
    </row>
    <row r="123" spans="1:9" ht="21" customHeight="1">
      <c r="A123" s="39"/>
      <c r="B123" s="38"/>
      <c r="C123" s="38"/>
      <c r="D123" s="279"/>
      <c r="E123" s="260"/>
      <c r="F123" s="279"/>
      <c r="G123" s="260"/>
      <c r="H123" s="38"/>
      <c r="I123" s="7"/>
    </row>
    <row r="124" spans="1:9" ht="21" customHeight="1">
      <c r="A124" s="39"/>
      <c r="B124" s="38"/>
      <c r="C124" s="38"/>
      <c r="D124" s="279"/>
      <c r="E124" s="260"/>
      <c r="F124" s="279"/>
      <c r="G124" s="260"/>
      <c r="H124" s="38"/>
      <c r="I124" s="7"/>
    </row>
    <row r="125" spans="1:9" ht="21" customHeight="1">
      <c r="A125" s="39"/>
      <c r="B125" s="38"/>
      <c r="C125" s="38"/>
      <c r="D125" s="279"/>
      <c r="E125" s="260"/>
      <c r="F125" s="279"/>
      <c r="G125" s="260"/>
      <c r="H125" s="38"/>
      <c r="I125" s="7"/>
    </row>
    <row r="126" spans="1:9" ht="21" customHeight="1">
      <c r="A126" s="39"/>
      <c r="B126" s="38"/>
      <c r="C126" s="38"/>
      <c r="D126" s="279"/>
      <c r="E126" s="260"/>
      <c r="F126" s="279"/>
      <c r="G126" s="260"/>
      <c r="H126" s="38"/>
      <c r="I126" s="7"/>
    </row>
    <row r="127" spans="1:9" ht="21" customHeight="1">
      <c r="A127" s="39"/>
      <c r="B127" s="38"/>
      <c r="C127" s="38"/>
      <c r="D127" s="279"/>
      <c r="E127" s="260"/>
      <c r="F127" s="279"/>
      <c r="G127" s="260"/>
      <c r="H127" s="38"/>
      <c r="I127" s="7"/>
    </row>
    <row r="128" spans="1:9" ht="21" customHeight="1">
      <c r="A128" s="39"/>
      <c r="B128" s="38"/>
      <c r="C128" s="38"/>
      <c r="D128" s="279"/>
      <c r="E128" s="260"/>
      <c r="F128" s="279"/>
      <c r="G128" s="260"/>
      <c r="H128" s="38"/>
      <c r="I128" s="7"/>
    </row>
    <row r="129" spans="1:9" ht="21" customHeight="1">
      <c r="A129" s="39"/>
      <c r="B129" s="38"/>
      <c r="C129" s="38"/>
      <c r="D129" s="279"/>
      <c r="E129" s="260"/>
      <c r="F129" s="279"/>
      <c r="G129" s="260"/>
      <c r="H129" s="38"/>
      <c r="I129" s="7"/>
    </row>
    <row r="130" spans="1:9" ht="21" customHeight="1">
      <c r="A130" s="39"/>
      <c r="B130" s="38"/>
      <c r="C130" s="38"/>
      <c r="D130" s="279"/>
      <c r="E130" s="260"/>
      <c r="F130" s="279"/>
      <c r="G130" s="260"/>
      <c r="H130" s="38"/>
      <c r="I130" s="7"/>
    </row>
    <row r="131" spans="1:9" ht="21" customHeight="1">
      <c r="A131" s="39"/>
      <c r="B131" s="38"/>
      <c r="C131" s="38"/>
      <c r="D131" s="279"/>
      <c r="E131" s="260"/>
      <c r="F131" s="279"/>
      <c r="G131" s="260"/>
      <c r="H131" s="38"/>
      <c r="I131" s="7"/>
    </row>
    <row r="132" spans="1:9" ht="21" customHeight="1">
      <c r="A132" s="39"/>
      <c r="B132" s="38"/>
      <c r="C132" s="38"/>
      <c r="D132" s="279"/>
      <c r="E132" s="260"/>
      <c r="F132" s="279"/>
      <c r="G132" s="260"/>
      <c r="H132" s="38"/>
      <c r="I132" s="7"/>
    </row>
    <row r="133" spans="1:9" ht="21" customHeight="1">
      <c r="A133" s="39"/>
      <c r="B133" s="38"/>
      <c r="C133" s="38"/>
      <c r="D133" s="279"/>
      <c r="E133" s="260"/>
      <c r="F133" s="279"/>
      <c r="G133" s="260"/>
      <c r="H133" s="38"/>
      <c r="I133" s="7"/>
    </row>
    <row r="134" spans="1:9" ht="21" customHeight="1">
      <c r="A134" s="39"/>
      <c r="B134" s="38"/>
      <c r="C134" s="38"/>
      <c r="D134" s="279"/>
      <c r="E134" s="260"/>
      <c r="F134" s="279"/>
      <c r="G134" s="260"/>
      <c r="H134" s="38"/>
      <c r="I134" s="7"/>
    </row>
    <row r="135" spans="1:9" ht="21" customHeight="1">
      <c r="A135" s="39"/>
      <c r="B135" s="38"/>
      <c r="C135" s="38"/>
      <c r="D135" s="279"/>
      <c r="E135" s="260"/>
      <c r="F135" s="279"/>
      <c r="G135" s="260"/>
      <c r="H135" s="38"/>
      <c r="I135" s="7"/>
    </row>
    <row r="136" spans="1:9" ht="21" customHeight="1">
      <c r="A136" s="39"/>
      <c r="B136" s="38"/>
      <c r="C136" s="38"/>
      <c r="D136" s="279"/>
      <c r="E136" s="260"/>
      <c r="F136" s="279"/>
      <c r="G136" s="260"/>
      <c r="H136" s="38"/>
      <c r="I136" s="7"/>
    </row>
    <row r="137" spans="1:9" ht="21" customHeight="1">
      <c r="A137" s="39"/>
      <c r="B137" s="38"/>
      <c r="C137" s="38"/>
      <c r="D137" s="279"/>
      <c r="E137" s="260"/>
      <c r="F137" s="279"/>
      <c r="G137" s="260"/>
      <c r="H137" s="38"/>
      <c r="I137" s="7"/>
    </row>
    <row r="138" spans="1:9" ht="21" customHeight="1">
      <c r="A138" s="39"/>
      <c r="B138" s="38"/>
      <c r="C138" s="38"/>
      <c r="D138" s="279"/>
      <c r="E138" s="260"/>
      <c r="F138" s="279"/>
      <c r="G138" s="260"/>
      <c r="H138" s="38"/>
      <c r="I138" s="7"/>
    </row>
    <row r="139" spans="1:9" ht="21" customHeight="1">
      <c r="A139" s="39"/>
      <c r="B139" s="38"/>
      <c r="C139" s="38"/>
      <c r="D139" s="279"/>
      <c r="E139" s="260"/>
      <c r="F139" s="279"/>
      <c r="G139" s="260"/>
      <c r="H139" s="38"/>
      <c r="I139" s="7"/>
    </row>
    <row r="140" spans="1:9" ht="21" customHeight="1">
      <c r="A140" s="39"/>
      <c r="B140" s="38"/>
      <c r="C140" s="38"/>
      <c r="D140" s="279"/>
      <c r="E140" s="260"/>
      <c r="F140" s="279"/>
      <c r="G140" s="260"/>
      <c r="H140" s="38"/>
      <c r="I140" s="7"/>
    </row>
    <row r="141" spans="1:9" ht="21" customHeight="1">
      <c r="A141" s="39"/>
      <c r="B141" s="38"/>
      <c r="C141" s="38"/>
      <c r="D141" s="279"/>
      <c r="E141" s="260"/>
      <c r="F141" s="279"/>
      <c r="G141" s="260"/>
      <c r="H141" s="38"/>
      <c r="I141" s="7"/>
    </row>
    <row r="142" spans="1:9" ht="21" customHeight="1">
      <c r="A142" s="39"/>
      <c r="B142" s="38"/>
      <c r="C142" s="38"/>
      <c r="D142" s="279"/>
      <c r="E142" s="260"/>
      <c r="F142" s="279"/>
      <c r="G142" s="260"/>
      <c r="H142" s="38"/>
      <c r="I142" s="7"/>
    </row>
    <row r="143" spans="1:9" ht="21" customHeight="1">
      <c r="A143" s="39"/>
      <c r="B143" s="38"/>
      <c r="C143" s="38"/>
      <c r="D143" s="279"/>
      <c r="E143" s="260"/>
      <c r="F143" s="279"/>
      <c r="G143" s="260"/>
      <c r="H143" s="38"/>
      <c r="I143" s="7"/>
    </row>
    <row r="144" spans="1:9" ht="21" customHeight="1">
      <c r="A144" s="39"/>
      <c r="B144" s="38"/>
      <c r="C144" s="38"/>
      <c r="D144" s="279"/>
      <c r="E144" s="260"/>
      <c r="F144" s="279"/>
      <c r="G144" s="260"/>
      <c r="H144" s="38"/>
      <c r="I144" s="7"/>
    </row>
    <row r="145" spans="1:9" ht="21" customHeight="1">
      <c r="A145" s="39"/>
      <c r="B145" s="38"/>
      <c r="C145" s="38"/>
      <c r="D145" s="279"/>
      <c r="E145" s="260"/>
      <c r="F145" s="279"/>
      <c r="G145" s="260"/>
      <c r="H145" s="38"/>
      <c r="I145" s="7"/>
    </row>
    <row r="146" spans="1:9" ht="21" customHeight="1">
      <c r="A146" s="39"/>
      <c r="B146" s="38"/>
      <c r="C146" s="38"/>
      <c r="D146" s="279"/>
      <c r="E146" s="260"/>
      <c r="F146" s="279"/>
      <c r="G146" s="260"/>
      <c r="H146" s="38"/>
      <c r="I146" s="7"/>
    </row>
    <row r="147" spans="1:9" ht="21" customHeight="1">
      <c r="A147" s="39"/>
      <c r="B147" s="38"/>
      <c r="C147" s="38"/>
      <c r="D147" s="279"/>
      <c r="E147" s="260"/>
      <c r="F147" s="279"/>
      <c r="G147" s="260"/>
      <c r="H147" s="38"/>
      <c r="I147" s="7"/>
    </row>
    <row r="148" spans="1:9" ht="21" customHeight="1">
      <c r="A148" s="39"/>
      <c r="B148" s="38"/>
      <c r="C148" s="38"/>
      <c r="D148" s="279"/>
      <c r="E148" s="260"/>
      <c r="F148" s="279"/>
      <c r="G148" s="260"/>
      <c r="H148" s="38"/>
      <c r="I148" s="7"/>
    </row>
    <row r="149" spans="1:9" ht="21" customHeight="1">
      <c r="A149" s="39"/>
      <c r="B149" s="38"/>
      <c r="C149" s="38"/>
      <c r="D149" s="279"/>
      <c r="E149" s="260"/>
      <c r="F149" s="279"/>
      <c r="G149" s="260"/>
      <c r="H149" s="38"/>
      <c r="I149" s="7"/>
    </row>
    <row r="150" spans="1:9" ht="21" customHeight="1">
      <c r="A150" s="39"/>
      <c r="B150" s="38"/>
      <c r="C150" s="38"/>
      <c r="D150" s="279"/>
      <c r="E150" s="260"/>
      <c r="F150" s="279"/>
      <c r="G150" s="260"/>
      <c r="H150" s="38"/>
      <c r="I150" s="7"/>
    </row>
    <row r="151" spans="1:9" ht="21" customHeight="1">
      <c r="A151" s="39"/>
      <c r="B151" s="38"/>
      <c r="C151" s="38"/>
      <c r="D151" s="279"/>
      <c r="E151" s="260"/>
      <c r="F151" s="279"/>
      <c r="G151" s="260"/>
      <c r="H151" s="38"/>
      <c r="I151" s="7"/>
    </row>
    <row r="152" spans="1:9" ht="21" customHeight="1">
      <c r="A152" s="39"/>
      <c r="B152" s="38"/>
      <c r="C152" s="38"/>
      <c r="D152" s="279"/>
      <c r="E152" s="260"/>
      <c r="F152" s="279"/>
      <c r="G152" s="260"/>
      <c r="H152" s="38"/>
      <c r="I152" s="7"/>
    </row>
    <row r="153" spans="1:9" ht="21" customHeight="1">
      <c r="A153" s="39"/>
      <c r="B153" s="38"/>
      <c r="C153" s="38"/>
      <c r="D153" s="279"/>
      <c r="E153" s="260"/>
      <c r="F153" s="279"/>
      <c r="G153" s="260"/>
      <c r="H153" s="38"/>
      <c r="I153" s="7"/>
    </row>
    <row r="154" spans="1:9" ht="21" customHeight="1">
      <c r="A154" s="39"/>
      <c r="B154" s="38"/>
      <c r="C154" s="38"/>
      <c r="D154" s="279"/>
      <c r="E154" s="260"/>
      <c r="F154" s="279"/>
      <c r="G154" s="260"/>
      <c r="H154" s="38"/>
      <c r="I154" s="7"/>
    </row>
    <row r="155" spans="1:9" ht="21" customHeight="1">
      <c r="A155" s="39"/>
      <c r="B155" s="38"/>
      <c r="C155" s="38"/>
      <c r="D155" s="279"/>
      <c r="E155" s="260"/>
      <c r="F155" s="279"/>
      <c r="G155" s="260"/>
      <c r="H155" s="38"/>
      <c r="I155" s="7"/>
    </row>
    <row r="156" spans="1:9" ht="21" customHeight="1">
      <c r="A156" s="39"/>
      <c r="B156" s="38"/>
      <c r="C156" s="38"/>
      <c r="D156" s="279"/>
      <c r="E156" s="260"/>
      <c r="F156" s="279"/>
      <c r="G156" s="260"/>
      <c r="H156" s="38"/>
      <c r="I156" s="7"/>
    </row>
    <row r="157" spans="1:9" ht="21" customHeight="1">
      <c r="A157" s="39"/>
      <c r="B157" s="38"/>
      <c r="C157" s="38"/>
      <c r="D157" s="279"/>
      <c r="E157" s="260"/>
      <c r="F157" s="279"/>
      <c r="G157" s="260"/>
      <c r="H157" s="38"/>
      <c r="I157" s="7"/>
    </row>
    <row r="158" spans="1:9" ht="21" customHeight="1">
      <c r="A158" s="39"/>
      <c r="B158" s="38"/>
      <c r="C158" s="38"/>
      <c r="D158" s="279"/>
      <c r="E158" s="260"/>
      <c r="F158" s="279"/>
      <c r="G158" s="260"/>
      <c r="H158" s="38"/>
      <c r="I158" s="7"/>
    </row>
    <row r="159" spans="1:9" ht="21" customHeight="1">
      <c r="A159" s="39"/>
      <c r="B159" s="38"/>
      <c r="C159" s="38"/>
      <c r="D159" s="279"/>
      <c r="E159" s="260"/>
      <c r="F159" s="279"/>
      <c r="G159" s="260"/>
      <c r="H159" s="38"/>
      <c r="I159" s="7"/>
    </row>
    <row r="160" spans="1:9" ht="21" customHeight="1">
      <c r="A160" s="39"/>
      <c r="B160" s="38"/>
      <c r="C160" s="38"/>
      <c r="D160" s="279"/>
      <c r="E160" s="260"/>
      <c r="F160" s="279"/>
      <c r="G160" s="260"/>
      <c r="H160" s="38"/>
      <c r="I160" s="7"/>
    </row>
    <row r="161" spans="1:9" ht="21" customHeight="1">
      <c r="A161" s="39"/>
      <c r="B161" s="38"/>
      <c r="C161" s="38"/>
      <c r="D161" s="279"/>
      <c r="E161" s="260"/>
      <c r="F161" s="279"/>
      <c r="G161" s="260"/>
      <c r="H161" s="38"/>
      <c r="I161" s="7"/>
    </row>
    <row r="162" spans="1:9" ht="21" customHeight="1">
      <c r="A162" s="39"/>
      <c r="B162" s="38"/>
      <c r="C162" s="38"/>
      <c r="D162" s="279"/>
      <c r="E162" s="260"/>
      <c r="F162" s="279"/>
      <c r="G162" s="260"/>
      <c r="H162" s="38"/>
      <c r="I162" s="7"/>
    </row>
    <row r="163" spans="1:9" ht="21" customHeight="1">
      <c r="A163" s="39"/>
      <c r="B163" s="38"/>
      <c r="C163" s="38"/>
      <c r="D163" s="279"/>
      <c r="E163" s="260"/>
      <c r="F163" s="279"/>
      <c r="G163" s="260"/>
      <c r="H163" s="38"/>
      <c r="I163" s="7"/>
    </row>
    <row r="164" spans="1:9" ht="21" customHeight="1">
      <c r="A164" s="39"/>
      <c r="B164" s="38"/>
      <c r="C164" s="38"/>
      <c r="D164" s="279"/>
      <c r="E164" s="260"/>
      <c r="F164" s="279"/>
      <c r="G164" s="260"/>
      <c r="H164" s="38"/>
      <c r="I164" s="7"/>
    </row>
    <row r="165" spans="1:9" ht="21" customHeight="1">
      <c r="A165" s="39"/>
      <c r="B165" s="38"/>
      <c r="C165" s="38"/>
      <c r="D165" s="279"/>
      <c r="E165" s="260"/>
      <c r="F165" s="279"/>
      <c r="G165" s="260"/>
      <c r="H165" s="38"/>
      <c r="I165" s="7"/>
    </row>
    <row r="166" spans="1:9" ht="21" customHeight="1">
      <c r="A166" s="39"/>
      <c r="B166" s="38"/>
      <c r="C166" s="38"/>
      <c r="D166" s="279"/>
      <c r="E166" s="260"/>
      <c r="F166" s="279"/>
      <c r="G166" s="260"/>
      <c r="H166" s="38"/>
      <c r="I166" s="7"/>
    </row>
    <row r="167" spans="1:9" ht="21" customHeight="1">
      <c r="A167" s="39"/>
      <c r="B167" s="38"/>
      <c r="C167" s="38"/>
      <c r="D167" s="279"/>
      <c r="E167" s="260"/>
      <c r="F167" s="279"/>
      <c r="G167" s="260"/>
      <c r="H167" s="38"/>
      <c r="I167" s="7"/>
    </row>
    <row r="168" spans="1:9" ht="21" customHeight="1">
      <c r="A168" s="41"/>
      <c r="B168" s="38"/>
      <c r="C168" s="38"/>
      <c r="D168" s="279"/>
      <c r="E168" s="260"/>
      <c r="F168" s="279"/>
      <c r="G168" s="260"/>
      <c r="H168" s="38"/>
      <c r="I168" s="7"/>
    </row>
    <row r="169" spans="1:9" ht="21" customHeight="1">
      <c r="A169" s="39"/>
      <c r="B169" s="38"/>
      <c r="C169" s="38"/>
      <c r="D169" s="279"/>
      <c r="E169" s="260"/>
      <c r="F169" s="279"/>
      <c r="G169" s="260"/>
      <c r="H169" s="38"/>
      <c r="I169" s="7"/>
    </row>
    <row r="170" spans="1:9" ht="21" customHeight="1">
      <c r="A170" s="39"/>
      <c r="B170" s="38"/>
      <c r="C170" s="38"/>
      <c r="D170" s="279"/>
      <c r="E170" s="260"/>
      <c r="F170" s="279"/>
      <c r="G170" s="260"/>
      <c r="H170" s="38"/>
      <c r="I170" s="7"/>
    </row>
    <row r="171" spans="1:9" ht="21" customHeight="1">
      <c r="A171" s="41"/>
      <c r="B171" s="38"/>
      <c r="C171" s="38"/>
      <c r="D171" s="279"/>
      <c r="E171" s="260"/>
      <c r="F171" s="279"/>
      <c r="G171" s="260"/>
      <c r="H171" s="38"/>
      <c r="I171" s="7"/>
    </row>
    <row r="172" spans="1:9" ht="21" customHeight="1">
      <c r="A172" s="39"/>
      <c r="B172" s="38"/>
      <c r="C172" s="38"/>
      <c r="D172" s="279"/>
      <c r="E172" s="260"/>
      <c r="F172" s="279"/>
      <c r="G172" s="260"/>
      <c r="H172" s="38"/>
      <c r="I172" s="7"/>
    </row>
    <row r="173" spans="1:9" ht="21" customHeight="1">
      <c r="A173" s="39"/>
      <c r="B173" s="38"/>
      <c r="C173" s="38"/>
      <c r="D173" s="279"/>
      <c r="E173" s="260"/>
      <c r="F173" s="279"/>
      <c r="G173" s="260"/>
      <c r="H173" s="38"/>
      <c r="I173" s="7"/>
    </row>
    <row r="174" spans="1:9" ht="21" customHeight="1">
      <c r="A174" s="39"/>
      <c r="B174" s="38"/>
      <c r="C174" s="38"/>
      <c r="D174" s="279"/>
      <c r="E174" s="260"/>
      <c r="F174" s="279"/>
      <c r="G174" s="260"/>
      <c r="H174" s="38"/>
      <c r="I174" s="7"/>
    </row>
    <row r="175" spans="1:9" ht="21" customHeight="1">
      <c r="A175" s="39"/>
      <c r="B175" s="38"/>
      <c r="C175" s="38"/>
      <c r="D175" s="279"/>
      <c r="E175" s="260"/>
      <c r="F175" s="279"/>
      <c r="G175" s="260"/>
      <c r="H175" s="38"/>
      <c r="I175" s="7"/>
    </row>
    <row r="176" spans="1:9" ht="21" customHeight="1">
      <c r="A176" s="39"/>
      <c r="B176" s="38"/>
      <c r="C176" s="38"/>
      <c r="D176" s="279"/>
      <c r="E176" s="260"/>
      <c r="F176" s="279"/>
      <c r="G176" s="260"/>
      <c r="H176" s="38"/>
      <c r="I176" s="7"/>
    </row>
    <row r="177" spans="1:9" ht="21" customHeight="1">
      <c r="A177" s="39"/>
      <c r="B177" s="38"/>
      <c r="C177" s="38"/>
      <c r="D177" s="279"/>
      <c r="E177" s="260"/>
      <c r="F177" s="279"/>
      <c r="G177" s="260"/>
      <c r="H177" s="38"/>
      <c r="I177" s="7"/>
    </row>
    <row r="178" spans="1:9" ht="21" customHeight="1">
      <c r="A178" s="39"/>
      <c r="B178" s="38"/>
      <c r="C178" s="38"/>
      <c r="D178" s="279"/>
      <c r="E178" s="260"/>
      <c r="F178" s="279"/>
      <c r="G178" s="260"/>
      <c r="H178" s="38"/>
      <c r="I178" s="7"/>
    </row>
    <row r="179" spans="1:9" ht="21" customHeight="1">
      <c r="A179" s="39"/>
      <c r="B179" s="38"/>
      <c r="C179" s="38"/>
      <c r="D179" s="279"/>
      <c r="E179" s="260"/>
      <c r="F179" s="279"/>
      <c r="G179" s="260"/>
      <c r="H179" s="38"/>
      <c r="I179" s="7"/>
    </row>
    <row r="180" spans="1:9" ht="21" customHeight="1">
      <c r="A180" s="39"/>
      <c r="B180" s="38"/>
      <c r="C180" s="38"/>
      <c r="D180" s="279"/>
      <c r="E180" s="260"/>
      <c r="F180" s="279"/>
      <c r="G180" s="260"/>
      <c r="H180" s="38"/>
      <c r="I180" s="7"/>
    </row>
    <row r="181" spans="1:9" ht="21" customHeight="1">
      <c r="A181" s="39"/>
      <c r="B181" s="38"/>
      <c r="C181" s="38"/>
      <c r="D181" s="279"/>
      <c r="E181" s="260"/>
      <c r="F181" s="279"/>
      <c r="G181" s="260"/>
      <c r="H181" s="38"/>
      <c r="I181" s="7"/>
    </row>
    <row r="182" spans="1:9" ht="21" customHeight="1">
      <c r="A182" s="39"/>
      <c r="B182" s="38"/>
      <c r="C182" s="38"/>
      <c r="D182" s="279"/>
      <c r="E182" s="260"/>
      <c r="F182" s="279"/>
      <c r="G182" s="260"/>
      <c r="H182" s="38"/>
      <c r="I182" s="7"/>
    </row>
    <row r="183" spans="1:9" ht="21" customHeight="1">
      <c r="A183" s="39"/>
      <c r="B183" s="38"/>
      <c r="C183" s="38"/>
      <c r="D183" s="279"/>
      <c r="E183" s="260"/>
      <c r="F183" s="279"/>
      <c r="G183" s="260"/>
      <c r="H183" s="38"/>
      <c r="I183" s="7"/>
    </row>
    <row r="184" spans="1:9" ht="21" customHeight="1">
      <c r="A184" s="39"/>
      <c r="B184" s="38"/>
      <c r="C184" s="38"/>
      <c r="D184" s="279"/>
      <c r="E184" s="260"/>
      <c r="F184" s="279"/>
      <c r="G184" s="260"/>
      <c r="H184" s="38"/>
      <c r="I184" s="7"/>
    </row>
    <row r="185" spans="1:9" ht="21" customHeight="1">
      <c r="A185" s="39"/>
      <c r="B185" s="38"/>
      <c r="C185" s="38"/>
      <c r="D185" s="279"/>
      <c r="E185" s="260"/>
      <c r="F185" s="279"/>
      <c r="G185" s="260"/>
      <c r="H185" s="38"/>
      <c r="I185" s="7"/>
    </row>
    <row r="186" spans="1:9" ht="21" customHeight="1">
      <c r="A186" s="39"/>
      <c r="B186" s="38"/>
      <c r="C186" s="38"/>
      <c r="D186" s="279"/>
      <c r="E186" s="260"/>
      <c r="F186" s="279"/>
      <c r="G186" s="260"/>
      <c r="H186" s="38"/>
      <c r="I186" s="7"/>
    </row>
    <row r="187" spans="1:9" ht="21" customHeight="1">
      <c r="A187" s="39"/>
      <c r="B187" s="38"/>
      <c r="C187" s="38"/>
      <c r="D187" s="279"/>
      <c r="E187" s="260"/>
      <c r="F187" s="279"/>
      <c r="G187" s="260"/>
      <c r="H187" s="38"/>
      <c r="I187" s="7"/>
    </row>
    <row r="188" spans="1:9" ht="21" customHeight="1">
      <c r="A188" s="39"/>
      <c r="B188" s="38"/>
      <c r="C188" s="38"/>
      <c r="D188" s="279"/>
      <c r="E188" s="260"/>
      <c r="F188" s="279"/>
      <c r="G188" s="260"/>
      <c r="H188" s="38"/>
      <c r="I188" s="7"/>
    </row>
    <row r="189" spans="1:9" ht="21" customHeight="1">
      <c r="A189" s="39"/>
      <c r="B189" s="38"/>
      <c r="C189" s="38"/>
      <c r="D189" s="279"/>
      <c r="E189" s="260"/>
      <c r="F189" s="279"/>
      <c r="G189" s="260"/>
      <c r="H189" s="38"/>
      <c r="I189" s="7"/>
    </row>
    <row r="190" spans="1:9" ht="21" customHeight="1">
      <c r="A190" s="38"/>
      <c r="B190" s="38"/>
      <c r="C190" s="38"/>
      <c r="D190" s="279"/>
      <c r="E190" s="260"/>
      <c r="F190" s="279"/>
      <c r="G190" s="260"/>
      <c r="H190" s="38"/>
      <c r="I190" s="7"/>
    </row>
    <row r="191" spans="1:9" ht="21" customHeight="1">
      <c r="A191" s="39"/>
      <c r="B191" s="38"/>
      <c r="C191" s="38"/>
      <c r="D191" s="279"/>
      <c r="E191" s="260"/>
      <c r="F191" s="279"/>
      <c r="G191" s="260"/>
      <c r="H191" s="38"/>
      <c r="I191" s="7"/>
    </row>
    <row r="192" spans="1:9" ht="21" customHeight="1">
      <c r="A192" s="39"/>
      <c r="B192" s="38"/>
      <c r="C192" s="38"/>
      <c r="D192" s="279"/>
      <c r="E192" s="260"/>
      <c r="F192" s="279"/>
      <c r="G192" s="260"/>
      <c r="H192" s="38"/>
      <c r="I192" s="7"/>
    </row>
    <row r="193" spans="1:9" ht="21" customHeight="1">
      <c r="A193" s="39"/>
      <c r="B193" s="38"/>
      <c r="C193" s="38"/>
      <c r="D193" s="279"/>
      <c r="E193" s="260"/>
      <c r="F193" s="279"/>
      <c r="G193" s="260"/>
      <c r="H193" s="38"/>
      <c r="I193" s="7"/>
    </row>
    <row r="194" spans="1:9" ht="21" customHeight="1">
      <c r="A194" s="39"/>
      <c r="B194" s="38"/>
      <c r="C194" s="38"/>
      <c r="D194" s="279"/>
      <c r="E194" s="260"/>
      <c r="F194" s="279"/>
      <c r="G194" s="260"/>
      <c r="H194" s="38"/>
      <c r="I194" s="7"/>
    </row>
    <row r="195" spans="1:9" ht="21" customHeight="1">
      <c r="A195" s="39"/>
      <c r="B195" s="38"/>
      <c r="C195" s="38"/>
      <c r="D195" s="279"/>
      <c r="E195" s="260"/>
      <c r="F195" s="279"/>
      <c r="G195" s="260"/>
      <c r="H195" s="38"/>
      <c r="I195" s="7"/>
    </row>
    <row r="196" spans="1:9" ht="21" customHeight="1">
      <c r="A196" s="39"/>
      <c r="B196" s="38"/>
      <c r="C196" s="38"/>
      <c r="D196" s="279"/>
      <c r="E196" s="260"/>
      <c r="F196" s="279"/>
      <c r="G196" s="260"/>
      <c r="H196" s="38"/>
      <c r="I196" s="7"/>
    </row>
    <row r="197" spans="1:9" ht="21" customHeight="1">
      <c r="A197" s="39"/>
      <c r="B197" s="38"/>
      <c r="C197" s="38"/>
      <c r="D197" s="279"/>
      <c r="E197" s="260"/>
      <c r="F197" s="279"/>
      <c r="G197" s="260"/>
      <c r="H197" s="38"/>
      <c r="I197" s="7"/>
    </row>
    <row r="198" spans="1:9" ht="21" customHeight="1">
      <c r="A198" s="39"/>
      <c r="B198" s="38"/>
      <c r="C198" s="38"/>
      <c r="D198" s="279"/>
      <c r="E198" s="260"/>
      <c r="F198" s="279"/>
      <c r="G198" s="260"/>
      <c r="H198" s="38"/>
      <c r="I198" s="7"/>
    </row>
    <row r="199" spans="1:9" ht="21" customHeight="1">
      <c r="A199" s="39"/>
      <c r="B199" s="38"/>
      <c r="C199" s="38"/>
      <c r="D199" s="279"/>
      <c r="E199" s="260"/>
      <c r="F199" s="279"/>
      <c r="G199" s="260"/>
      <c r="H199" s="38"/>
      <c r="I199" s="7"/>
    </row>
    <row r="200" spans="1:9" ht="21" customHeight="1">
      <c r="A200" s="39"/>
      <c r="B200" s="38"/>
      <c r="C200" s="38"/>
      <c r="D200" s="279"/>
      <c r="E200" s="260"/>
      <c r="F200" s="279"/>
      <c r="G200" s="260"/>
      <c r="H200" s="38"/>
      <c r="I200" s="7"/>
    </row>
    <row r="201" spans="1:9" ht="21" customHeight="1">
      <c r="A201" s="41"/>
      <c r="B201" s="38"/>
      <c r="C201" s="38"/>
      <c r="D201" s="279"/>
      <c r="E201" s="260"/>
      <c r="F201" s="279"/>
      <c r="G201" s="260"/>
      <c r="H201" s="38"/>
      <c r="I201" s="7"/>
    </row>
    <row r="202" spans="1:9" ht="21" customHeight="1">
      <c r="A202" s="39"/>
      <c r="B202" s="38"/>
      <c r="C202" s="38"/>
      <c r="D202" s="279"/>
      <c r="E202" s="260"/>
      <c r="F202" s="279"/>
      <c r="G202" s="260"/>
      <c r="H202" s="38"/>
      <c r="I202" s="7"/>
    </row>
    <row r="203" spans="1:9" ht="21" customHeight="1">
      <c r="A203" s="39"/>
      <c r="B203" s="38"/>
      <c r="C203" s="38"/>
      <c r="D203" s="279"/>
      <c r="E203" s="260"/>
      <c r="F203" s="279"/>
      <c r="G203" s="260"/>
      <c r="H203" s="38"/>
      <c r="I203" s="7"/>
    </row>
    <row r="204" spans="1:9" ht="21" customHeight="1">
      <c r="A204" s="39"/>
      <c r="B204" s="38"/>
      <c r="C204" s="38"/>
      <c r="D204" s="279"/>
      <c r="E204" s="260"/>
      <c r="F204" s="279"/>
      <c r="G204" s="260"/>
      <c r="H204" s="38"/>
      <c r="I204" s="7"/>
    </row>
    <row r="205" spans="1:9" ht="21" customHeight="1">
      <c r="A205" s="39"/>
      <c r="B205" s="38"/>
      <c r="C205" s="38"/>
      <c r="D205" s="279"/>
      <c r="E205" s="260"/>
      <c r="F205" s="279"/>
      <c r="G205" s="260"/>
      <c r="H205" s="38"/>
      <c r="I205" s="7"/>
    </row>
    <row r="206" spans="1:9" ht="21" customHeight="1">
      <c r="A206" s="39"/>
      <c r="B206" s="38"/>
      <c r="C206" s="38"/>
      <c r="D206" s="279"/>
      <c r="E206" s="260"/>
      <c r="F206" s="279"/>
      <c r="G206" s="260"/>
      <c r="H206" s="38"/>
      <c r="I206" s="7"/>
    </row>
    <row r="207" spans="1:9" ht="21" customHeight="1">
      <c r="A207" s="39"/>
      <c r="B207" s="38"/>
      <c r="C207" s="38"/>
      <c r="D207" s="279"/>
      <c r="E207" s="260"/>
      <c r="F207" s="279"/>
      <c r="G207" s="260"/>
      <c r="H207" s="38"/>
      <c r="I207" s="7"/>
    </row>
    <row r="208" spans="1:9" ht="21" customHeight="1">
      <c r="A208" s="39"/>
      <c r="B208" s="38"/>
      <c r="C208" s="38"/>
      <c r="D208" s="279"/>
      <c r="E208" s="260"/>
      <c r="F208" s="279"/>
      <c r="G208" s="260"/>
      <c r="H208" s="38"/>
      <c r="I208" s="7"/>
    </row>
    <row r="209" spans="1:9" ht="21" customHeight="1">
      <c r="A209" s="39"/>
      <c r="B209" s="38"/>
      <c r="C209" s="38"/>
      <c r="D209" s="279"/>
      <c r="E209" s="260"/>
      <c r="F209" s="279"/>
      <c r="G209" s="260"/>
      <c r="H209" s="38"/>
      <c r="I209" s="7"/>
    </row>
    <row r="210" spans="1:9" ht="21" customHeight="1">
      <c r="A210" s="39"/>
      <c r="B210" s="38"/>
      <c r="C210" s="38"/>
      <c r="D210" s="279"/>
      <c r="E210" s="260"/>
      <c r="F210" s="279"/>
      <c r="G210" s="260"/>
      <c r="H210" s="38"/>
      <c r="I210" s="7"/>
    </row>
    <row r="211" spans="1:9" ht="21" customHeight="1">
      <c r="A211" s="39"/>
      <c r="B211" s="38"/>
      <c r="C211" s="38"/>
      <c r="D211" s="279"/>
      <c r="E211" s="260"/>
      <c r="F211" s="279"/>
      <c r="G211" s="260"/>
      <c r="H211" s="38"/>
      <c r="I211" s="7"/>
    </row>
    <row r="212" spans="1:9" ht="21" customHeight="1">
      <c r="A212" s="39"/>
      <c r="B212" s="38"/>
      <c r="C212" s="38"/>
      <c r="D212" s="279"/>
      <c r="E212" s="260"/>
      <c r="F212" s="279"/>
      <c r="G212" s="260"/>
      <c r="H212" s="38"/>
      <c r="I212" s="7"/>
    </row>
    <row r="213" spans="1:9" ht="21" customHeight="1">
      <c r="A213" s="39"/>
      <c r="B213" s="38"/>
      <c r="C213" s="38"/>
      <c r="D213" s="279"/>
      <c r="E213" s="260"/>
      <c r="F213" s="279"/>
      <c r="G213" s="260"/>
      <c r="H213" s="38"/>
      <c r="I213" s="7"/>
    </row>
    <row r="214" spans="1:9" ht="21" customHeight="1">
      <c r="A214" s="39"/>
      <c r="B214" s="38"/>
      <c r="C214" s="38"/>
      <c r="D214" s="279"/>
      <c r="E214" s="260"/>
      <c r="F214" s="279"/>
      <c r="G214" s="260"/>
      <c r="H214" s="38"/>
      <c r="I214" s="7"/>
    </row>
    <row r="215" spans="1:9" ht="21" customHeight="1">
      <c r="A215" s="39"/>
      <c r="B215" s="38"/>
      <c r="C215" s="38"/>
      <c r="D215" s="279"/>
      <c r="E215" s="260"/>
      <c r="F215" s="279"/>
      <c r="G215" s="260"/>
      <c r="H215" s="38"/>
      <c r="I215" s="7"/>
    </row>
    <row r="216" spans="1:9" ht="21" customHeight="1">
      <c r="A216" s="39"/>
      <c r="B216" s="38"/>
      <c r="C216" s="38"/>
      <c r="D216" s="279"/>
      <c r="E216" s="260"/>
      <c r="F216" s="279"/>
      <c r="G216" s="260"/>
      <c r="H216" s="38"/>
      <c r="I216" s="7"/>
    </row>
    <row r="217" spans="1:9" ht="21" customHeight="1">
      <c r="A217" s="39"/>
      <c r="B217" s="38"/>
      <c r="C217" s="38"/>
      <c r="D217" s="279"/>
      <c r="E217" s="260"/>
      <c r="F217" s="279"/>
      <c r="G217" s="260"/>
      <c r="H217" s="38"/>
      <c r="I217" s="7"/>
    </row>
    <row r="218" spans="1:9" ht="21" customHeight="1">
      <c r="A218" s="39"/>
      <c r="B218" s="38"/>
      <c r="C218" s="38"/>
      <c r="D218" s="279"/>
      <c r="E218" s="260"/>
      <c r="F218" s="279"/>
      <c r="G218" s="260"/>
      <c r="H218" s="38"/>
      <c r="I218" s="7"/>
    </row>
    <row r="219" spans="1:9" ht="21" customHeight="1">
      <c r="A219" s="39"/>
      <c r="B219" s="38"/>
      <c r="C219" s="38"/>
      <c r="D219" s="279"/>
      <c r="E219" s="260"/>
      <c r="F219" s="279"/>
      <c r="G219" s="260"/>
      <c r="H219" s="38"/>
      <c r="I219" s="7"/>
    </row>
    <row r="220" spans="1:9" ht="21" customHeight="1">
      <c r="A220" s="39"/>
      <c r="B220" s="38"/>
      <c r="C220" s="38"/>
      <c r="D220" s="279"/>
      <c r="E220" s="260"/>
      <c r="F220" s="279"/>
      <c r="G220" s="260"/>
      <c r="H220" s="38"/>
      <c r="I220" s="7"/>
    </row>
    <row r="221" spans="1:9" ht="21" customHeight="1">
      <c r="A221" s="39"/>
      <c r="B221" s="38"/>
      <c r="C221" s="38"/>
      <c r="D221" s="279"/>
      <c r="E221" s="260"/>
      <c r="F221" s="279"/>
      <c r="G221" s="260"/>
      <c r="H221" s="38"/>
      <c r="I221" s="7"/>
    </row>
    <row r="222" spans="1:9" ht="21" customHeight="1">
      <c r="A222" s="39"/>
      <c r="B222" s="38"/>
      <c r="C222" s="38"/>
      <c r="D222" s="279"/>
      <c r="E222" s="260"/>
      <c r="F222" s="279"/>
      <c r="G222" s="260"/>
      <c r="H222" s="38"/>
      <c r="I222" s="7"/>
    </row>
    <row r="223" spans="1:9" ht="21" customHeight="1">
      <c r="A223" s="39"/>
      <c r="B223" s="38"/>
      <c r="C223" s="38"/>
      <c r="D223" s="279"/>
      <c r="E223" s="260"/>
      <c r="F223" s="279"/>
      <c r="G223" s="260"/>
      <c r="H223" s="38"/>
      <c r="I223" s="7"/>
    </row>
    <row r="224" spans="1:9" ht="21" customHeight="1">
      <c r="A224" s="39"/>
      <c r="B224" s="38"/>
      <c r="C224" s="38"/>
      <c r="D224" s="279"/>
      <c r="E224" s="260"/>
      <c r="F224" s="279"/>
      <c r="G224" s="260"/>
      <c r="H224" s="38"/>
      <c r="I224" s="7"/>
    </row>
    <row r="225" spans="1:9" ht="21" customHeight="1">
      <c r="A225" s="39"/>
      <c r="B225" s="38"/>
      <c r="C225" s="38"/>
      <c r="D225" s="279"/>
      <c r="E225" s="260"/>
      <c r="F225" s="279"/>
      <c r="G225" s="260"/>
      <c r="H225" s="38"/>
      <c r="I225" s="7"/>
    </row>
    <row r="226" spans="1:9" ht="21" customHeight="1">
      <c r="A226" s="39"/>
      <c r="B226" s="38"/>
      <c r="C226" s="38"/>
      <c r="D226" s="279"/>
      <c r="E226" s="260"/>
      <c r="F226" s="279"/>
      <c r="G226" s="260"/>
      <c r="H226" s="38"/>
      <c r="I226" s="7"/>
    </row>
    <row r="227" spans="1:9" ht="21" customHeight="1">
      <c r="A227" s="39"/>
      <c r="B227" s="38"/>
      <c r="C227" s="38"/>
      <c r="D227" s="279"/>
      <c r="E227" s="260"/>
      <c r="F227" s="279"/>
      <c r="G227" s="260"/>
      <c r="H227" s="38"/>
      <c r="I227" s="7"/>
    </row>
    <row r="228" spans="1:9" ht="21" customHeight="1">
      <c r="A228" s="39"/>
      <c r="B228" s="38"/>
      <c r="C228" s="38"/>
      <c r="D228" s="279"/>
      <c r="E228" s="260"/>
      <c r="F228" s="279"/>
      <c r="G228" s="260"/>
      <c r="H228" s="38"/>
      <c r="I228" s="7"/>
    </row>
    <row r="229" spans="1:9" ht="21" customHeight="1">
      <c r="A229" s="39"/>
      <c r="B229" s="38"/>
      <c r="C229" s="38"/>
      <c r="D229" s="279"/>
      <c r="E229" s="260"/>
      <c r="F229" s="279"/>
      <c r="G229" s="260"/>
      <c r="H229" s="38"/>
      <c r="I229" s="7"/>
    </row>
    <row r="230" spans="1:9" ht="21" customHeight="1">
      <c r="A230" s="39"/>
      <c r="B230" s="38"/>
      <c r="C230" s="38"/>
      <c r="D230" s="279"/>
      <c r="E230" s="260"/>
      <c r="F230" s="279"/>
      <c r="G230" s="260"/>
      <c r="H230" s="38"/>
      <c r="I230" s="7"/>
    </row>
    <row r="231" spans="1:9" ht="21" customHeight="1">
      <c r="A231" s="39"/>
      <c r="B231" s="38"/>
      <c r="C231" s="38"/>
      <c r="D231" s="279"/>
      <c r="E231" s="260"/>
      <c r="F231" s="279"/>
      <c r="G231" s="260"/>
      <c r="H231" s="38"/>
      <c r="I231" s="7"/>
    </row>
    <row r="232" spans="1:9" ht="21" customHeight="1">
      <c r="A232" s="39"/>
      <c r="B232" s="38"/>
      <c r="C232" s="38"/>
      <c r="D232" s="279"/>
      <c r="E232" s="260"/>
      <c r="F232" s="279"/>
      <c r="G232" s="260"/>
      <c r="H232" s="38"/>
      <c r="I232" s="7"/>
    </row>
    <row r="233" spans="1:9" ht="21" customHeight="1">
      <c r="A233" s="39"/>
      <c r="B233" s="38"/>
      <c r="C233" s="38"/>
      <c r="D233" s="279"/>
      <c r="E233" s="260"/>
      <c r="F233" s="279"/>
      <c r="G233" s="260"/>
      <c r="H233" s="38"/>
      <c r="I233" s="7"/>
    </row>
    <row r="234" spans="1:9" ht="21" customHeight="1">
      <c r="A234" s="39"/>
      <c r="B234" s="38"/>
      <c r="C234" s="38"/>
      <c r="D234" s="279"/>
      <c r="E234" s="260"/>
      <c r="F234" s="279"/>
      <c r="G234" s="260"/>
      <c r="H234" s="38"/>
      <c r="I234" s="7"/>
    </row>
    <row r="235" spans="1:9" ht="21" customHeight="1">
      <c r="A235" s="39"/>
      <c r="B235" s="38"/>
      <c r="C235" s="38"/>
      <c r="D235" s="279"/>
      <c r="E235" s="260"/>
      <c r="F235" s="279"/>
      <c r="G235" s="260"/>
      <c r="H235" s="38"/>
      <c r="I235" s="7"/>
    </row>
    <row r="236" spans="1:9" ht="21" customHeight="1">
      <c r="A236" s="39"/>
      <c r="B236" s="38"/>
      <c r="C236" s="38"/>
      <c r="D236" s="279"/>
      <c r="E236" s="260"/>
      <c r="F236" s="279"/>
      <c r="G236" s="260"/>
      <c r="H236" s="38"/>
      <c r="I236" s="7"/>
    </row>
    <row r="237" spans="1:9" ht="21" customHeight="1">
      <c r="A237" s="39"/>
      <c r="B237" s="38"/>
      <c r="C237" s="38"/>
      <c r="D237" s="279"/>
      <c r="E237" s="260"/>
      <c r="F237" s="279"/>
      <c r="G237" s="260"/>
      <c r="H237" s="38"/>
      <c r="I237" s="7"/>
    </row>
    <row r="238" spans="1:9" ht="21" customHeight="1">
      <c r="A238" s="39"/>
      <c r="B238" s="38"/>
      <c r="C238" s="38"/>
      <c r="D238" s="279"/>
      <c r="E238" s="260"/>
      <c r="F238" s="279"/>
      <c r="G238" s="260"/>
      <c r="H238" s="38"/>
      <c r="I238" s="7"/>
    </row>
    <row r="239" spans="1:9" ht="21" customHeight="1">
      <c r="A239" s="39"/>
      <c r="B239" s="38"/>
      <c r="C239" s="38"/>
      <c r="D239" s="279"/>
      <c r="E239" s="260"/>
      <c r="F239" s="279"/>
      <c r="G239" s="260"/>
      <c r="H239" s="38"/>
      <c r="I239" s="7"/>
    </row>
    <row r="240" spans="1:9" ht="21" customHeight="1">
      <c r="A240" s="39"/>
      <c r="B240" s="38"/>
      <c r="C240" s="38"/>
      <c r="D240" s="279"/>
      <c r="E240" s="260"/>
      <c r="F240" s="279"/>
      <c r="G240" s="260"/>
      <c r="H240" s="38"/>
      <c r="I240" s="7"/>
    </row>
    <row r="241" spans="1:9" ht="21" customHeight="1">
      <c r="A241" s="39"/>
      <c r="B241" s="38"/>
      <c r="C241" s="38"/>
      <c r="D241" s="279"/>
      <c r="E241" s="260"/>
      <c r="F241" s="279"/>
      <c r="G241" s="260"/>
      <c r="H241" s="38"/>
      <c r="I241" s="7"/>
    </row>
    <row r="242" spans="1:9" ht="21" customHeight="1">
      <c r="A242" s="39"/>
      <c r="B242" s="38"/>
      <c r="C242" s="38"/>
      <c r="D242" s="279"/>
      <c r="E242" s="260"/>
      <c r="F242" s="279"/>
      <c r="G242" s="260"/>
      <c r="H242" s="38"/>
      <c r="I242" s="7"/>
    </row>
    <row r="243" spans="1:9" ht="21" customHeight="1">
      <c r="A243" s="39"/>
      <c r="B243" s="38"/>
      <c r="C243" s="38"/>
      <c r="D243" s="279"/>
      <c r="E243" s="260"/>
      <c r="F243" s="279"/>
      <c r="G243" s="260"/>
      <c r="H243" s="38"/>
      <c r="I243" s="7"/>
    </row>
    <row r="244" spans="1:9" ht="21" customHeight="1">
      <c r="A244" s="39"/>
      <c r="B244" s="38"/>
      <c r="C244" s="38"/>
      <c r="D244" s="279"/>
      <c r="E244" s="260"/>
      <c r="F244" s="279"/>
      <c r="G244" s="260"/>
      <c r="H244" s="38"/>
      <c r="I244" s="7"/>
    </row>
    <row r="245" spans="1:9" ht="21" customHeight="1">
      <c r="A245" s="39"/>
      <c r="B245" s="38"/>
      <c r="C245" s="38"/>
      <c r="D245" s="279"/>
      <c r="E245" s="260"/>
      <c r="F245" s="279"/>
      <c r="G245" s="260"/>
      <c r="H245" s="38"/>
      <c r="I245" s="7"/>
    </row>
    <row r="246" spans="1:9" ht="21" customHeight="1">
      <c r="A246" s="39"/>
      <c r="B246" s="38"/>
      <c r="C246" s="38"/>
      <c r="D246" s="279"/>
      <c r="E246" s="260"/>
      <c r="F246" s="279"/>
      <c r="G246" s="260"/>
      <c r="H246" s="38"/>
      <c r="I246" s="7"/>
    </row>
    <row r="247" spans="1:9" ht="21" customHeight="1">
      <c r="A247" s="39"/>
      <c r="B247" s="38"/>
      <c r="C247" s="38"/>
      <c r="D247" s="279"/>
      <c r="E247" s="260"/>
      <c r="F247" s="279"/>
      <c r="G247" s="260"/>
      <c r="H247" s="38"/>
      <c r="I247" s="7"/>
    </row>
    <row r="248" spans="1:9" ht="21" customHeight="1">
      <c r="A248" s="39"/>
      <c r="B248" s="38"/>
      <c r="C248" s="38"/>
      <c r="D248" s="279"/>
      <c r="E248" s="260"/>
      <c r="F248" s="279"/>
      <c r="G248" s="260"/>
      <c r="H248" s="38"/>
      <c r="I248" s="7"/>
    </row>
    <row r="249" spans="1:9" ht="21" customHeight="1">
      <c r="A249" s="39"/>
      <c r="B249" s="38"/>
      <c r="C249" s="38"/>
      <c r="D249" s="279"/>
      <c r="E249" s="260"/>
      <c r="F249" s="279"/>
      <c r="G249" s="260"/>
      <c r="H249" s="38"/>
      <c r="I249" s="7"/>
    </row>
    <row r="250" spans="1:9" ht="21" customHeight="1">
      <c r="A250" s="39"/>
      <c r="B250" s="38"/>
      <c r="C250" s="38"/>
      <c r="D250" s="279"/>
      <c r="E250" s="260"/>
      <c r="F250" s="279"/>
      <c r="G250" s="260"/>
      <c r="H250" s="38"/>
      <c r="I250" s="7"/>
    </row>
    <row r="251" spans="1:9" ht="21" customHeight="1">
      <c r="A251" s="39"/>
      <c r="B251" s="38"/>
      <c r="C251" s="38"/>
      <c r="D251" s="279"/>
      <c r="E251" s="260"/>
      <c r="F251" s="279"/>
      <c r="G251" s="260"/>
      <c r="H251" s="38"/>
      <c r="I251" s="7"/>
    </row>
    <row r="252" spans="1:9" ht="21" customHeight="1">
      <c r="A252" s="39"/>
      <c r="B252" s="38"/>
      <c r="C252" s="38"/>
      <c r="D252" s="279"/>
      <c r="E252" s="260"/>
      <c r="F252" s="279"/>
      <c r="G252" s="260"/>
      <c r="H252" s="38"/>
      <c r="I252" s="7"/>
    </row>
    <row r="253" spans="1:9" ht="21" customHeight="1">
      <c r="A253" s="39"/>
      <c r="B253" s="38"/>
      <c r="C253" s="38"/>
      <c r="D253" s="279"/>
      <c r="E253" s="260"/>
      <c r="F253" s="279"/>
      <c r="G253" s="260"/>
      <c r="H253" s="38"/>
      <c r="I253" s="7"/>
    </row>
    <row r="254" spans="1:9" ht="21" customHeight="1">
      <c r="A254" s="39"/>
      <c r="B254" s="38"/>
      <c r="C254" s="38"/>
      <c r="D254" s="279"/>
      <c r="E254" s="260"/>
      <c r="F254" s="279"/>
      <c r="G254" s="260"/>
      <c r="H254" s="38"/>
      <c r="I254" s="7"/>
    </row>
    <row r="255" spans="1:9" ht="21" customHeight="1">
      <c r="A255" s="39"/>
      <c r="B255" s="38"/>
      <c r="C255" s="38"/>
      <c r="D255" s="279"/>
      <c r="E255" s="260"/>
      <c r="F255" s="279"/>
      <c r="G255" s="260"/>
      <c r="H255" s="38"/>
      <c r="I255" s="7"/>
    </row>
    <row r="256" spans="1:9" ht="21" customHeight="1">
      <c r="A256" s="39"/>
      <c r="B256" s="38"/>
      <c r="C256" s="38"/>
      <c r="D256" s="279"/>
      <c r="E256" s="260"/>
      <c r="F256" s="279"/>
      <c r="G256" s="260"/>
      <c r="H256" s="38"/>
      <c r="I256" s="7"/>
    </row>
    <row r="257" spans="1:9" ht="21" customHeight="1">
      <c r="A257" s="39"/>
      <c r="B257" s="38"/>
      <c r="C257" s="38"/>
      <c r="D257" s="279"/>
      <c r="E257" s="260"/>
      <c r="F257" s="279"/>
      <c r="G257" s="260"/>
      <c r="H257" s="38"/>
      <c r="I257" s="7"/>
    </row>
    <row r="258" spans="1:9" ht="21" customHeight="1">
      <c r="A258" s="39"/>
      <c r="B258" s="38"/>
      <c r="C258" s="38"/>
      <c r="D258" s="279"/>
      <c r="E258" s="260"/>
      <c r="F258" s="279"/>
      <c r="G258" s="260"/>
      <c r="H258" s="38"/>
      <c r="I258" s="7"/>
    </row>
    <row r="259" spans="1:9" ht="21" customHeight="1">
      <c r="A259" s="39"/>
      <c r="B259" s="38"/>
      <c r="C259" s="38"/>
      <c r="D259" s="279"/>
      <c r="E259" s="260"/>
      <c r="F259" s="279"/>
      <c r="G259" s="260"/>
      <c r="H259" s="38"/>
      <c r="I259" s="7"/>
    </row>
    <row r="260" spans="1:9" ht="21" customHeight="1">
      <c r="A260" s="39"/>
      <c r="B260" s="38"/>
      <c r="C260" s="38"/>
      <c r="D260" s="279"/>
      <c r="E260" s="260"/>
      <c r="F260" s="279"/>
      <c r="G260" s="260"/>
      <c r="H260" s="38"/>
      <c r="I260" s="7"/>
    </row>
    <row r="261" spans="1:9" ht="21" customHeight="1">
      <c r="A261" s="39"/>
      <c r="B261" s="38"/>
      <c r="C261" s="38"/>
      <c r="D261" s="279"/>
      <c r="E261" s="260"/>
      <c r="F261" s="279"/>
      <c r="G261" s="260"/>
      <c r="H261" s="38"/>
      <c r="I261" s="7"/>
    </row>
    <row r="262" spans="1:9" ht="21" customHeight="1">
      <c r="A262" s="39"/>
      <c r="B262" s="38"/>
      <c r="C262" s="38"/>
      <c r="D262" s="279"/>
      <c r="E262" s="260"/>
      <c r="F262" s="279"/>
      <c r="G262" s="260"/>
      <c r="H262" s="38"/>
      <c r="I262" s="7"/>
    </row>
    <row r="263" spans="1:9" ht="21" customHeight="1">
      <c r="A263" s="39"/>
      <c r="B263" s="38"/>
      <c r="C263" s="38"/>
      <c r="D263" s="279"/>
      <c r="E263" s="260"/>
      <c r="F263" s="279"/>
      <c r="G263" s="260"/>
      <c r="H263" s="38"/>
      <c r="I263" s="7"/>
    </row>
    <row r="264" spans="1:9" ht="21" customHeight="1">
      <c r="A264" s="39"/>
      <c r="B264" s="38"/>
      <c r="C264" s="38"/>
      <c r="D264" s="279"/>
      <c r="E264" s="260"/>
      <c r="F264" s="279"/>
      <c r="G264" s="260"/>
      <c r="H264" s="38"/>
      <c r="I264" s="7"/>
    </row>
    <row r="265" spans="1:9" ht="21" customHeight="1">
      <c r="A265" s="39"/>
      <c r="B265" s="38"/>
      <c r="C265" s="38"/>
      <c r="D265" s="279"/>
      <c r="E265" s="260"/>
      <c r="F265" s="279"/>
      <c r="G265" s="260"/>
      <c r="H265" s="38"/>
      <c r="I265" s="7"/>
    </row>
    <row r="266" spans="1:9" ht="21" customHeight="1">
      <c r="A266" s="39"/>
      <c r="B266" s="38"/>
      <c r="C266" s="38"/>
      <c r="D266" s="279"/>
      <c r="E266" s="260"/>
      <c r="F266" s="279"/>
      <c r="G266" s="260"/>
      <c r="H266" s="38"/>
      <c r="I266" s="7"/>
    </row>
    <row r="267" spans="1:9" ht="21" customHeight="1">
      <c r="A267" s="39"/>
      <c r="B267" s="38"/>
      <c r="C267" s="38"/>
      <c r="D267" s="279"/>
      <c r="E267" s="260"/>
      <c r="F267" s="279"/>
      <c r="G267" s="260"/>
      <c r="H267" s="38"/>
      <c r="I267" s="7"/>
    </row>
    <row r="268" spans="1:9" ht="21" customHeight="1">
      <c r="A268" s="39"/>
      <c r="B268" s="38"/>
      <c r="C268" s="38"/>
      <c r="D268" s="279"/>
      <c r="E268" s="260"/>
      <c r="F268" s="279"/>
      <c r="G268" s="260"/>
      <c r="H268" s="38"/>
      <c r="I268" s="7"/>
    </row>
    <row r="269" spans="1:9" ht="21" customHeight="1">
      <c r="A269" s="39"/>
      <c r="B269" s="38"/>
      <c r="C269" s="38"/>
      <c r="D269" s="279"/>
      <c r="E269" s="260"/>
      <c r="F269" s="279"/>
      <c r="G269" s="260"/>
      <c r="H269" s="38"/>
      <c r="I269" s="7"/>
    </row>
    <row r="270" spans="1:9" ht="21" customHeight="1">
      <c r="A270" s="39"/>
      <c r="B270" s="38"/>
      <c r="C270" s="38"/>
      <c r="D270" s="279"/>
      <c r="E270" s="260"/>
      <c r="F270" s="279"/>
      <c r="G270" s="260"/>
      <c r="H270" s="38"/>
      <c r="I270" s="7"/>
    </row>
    <row r="271" spans="1:9" ht="21" customHeight="1">
      <c r="A271" s="39"/>
      <c r="B271" s="38"/>
      <c r="C271" s="38"/>
      <c r="D271" s="279"/>
      <c r="E271" s="260"/>
      <c r="F271" s="279"/>
      <c r="G271" s="260"/>
      <c r="H271" s="38"/>
      <c r="I271" s="7"/>
    </row>
    <row r="272" spans="1:9" ht="21" customHeight="1">
      <c r="A272" s="39"/>
      <c r="B272" s="38"/>
      <c r="C272" s="38"/>
      <c r="D272" s="279"/>
      <c r="E272" s="260"/>
      <c r="F272" s="279"/>
      <c r="G272" s="260"/>
      <c r="H272" s="38"/>
      <c r="I272" s="7"/>
    </row>
    <row r="273" spans="1:9" ht="21" customHeight="1">
      <c r="A273" s="39"/>
      <c r="B273" s="38"/>
      <c r="C273" s="38"/>
      <c r="D273" s="279"/>
      <c r="E273" s="260"/>
      <c r="F273" s="279"/>
      <c r="G273" s="260"/>
      <c r="H273" s="38"/>
      <c r="I273" s="7"/>
    </row>
    <row r="274" spans="1:9" ht="21" customHeight="1">
      <c r="A274" s="39"/>
      <c r="B274" s="38"/>
      <c r="C274" s="38"/>
      <c r="D274" s="279"/>
      <c r="E274" s="260"/>
      <c r="F274" s="279"/>
      <c r="G274" s="260"/>
      <c r="H274" s="38"/>
      <c r="I274" s="7"/>
    </row>
    <row r="275" spans="1:9" ht="21" customHeight="1">
      <c r="A275" s="39"/>
      <c r="B275" s="38"/>
      <c r="C275" s="38"/>
      <c r="D275" s="279"/>
      <c r="E275" s="260"/>
      <c r="F275" s="279"/>
      <c r="G275" s="260"/>
      <c r="H275" s="38"/>
      <c r="I275" s="7"/>
    </row>
    <row r="276" spans="1:9" ht="21" customHeight="1">
      <c r="A276" s="39"/>
      <c r="B276" s="38"/>
      <c r="C276" s="38"/>
      <c r="D276" s="279"/>
      <c r="E276" s="260"/>
      <c r="F276" s="279"/>
      <c r="G276" s="260"/>
      <c r="H276" s="38"/>
      <c r="I276" s="7"/>
    </row>
    <row r="277" spans="1:9" ht="21" customHeight="1">
      <c r="A277" s="39"/>
      <c r="B277" s="38"/>
      <c r="C277" s="38"/>
      <c r="D277" s="279"/>
      <c r="E277" s="260"/>
      <c r="F277" s="279"/>
      <c r="G277" s="260"/>
      <c r="H277" s="38"/>
      <c r="I277" s="7"/>
    </row>
    <row r="278" spans="1:9" ht="21" customHeight="1">
      <c r="A278" s="39"/>
      <c r="B278" s="38"/>
      <c r="C278" s="38"/>
      <c r="D278" s="279"/>
      <c r="E278" s="260"/>
      <c r="F278" s="279"/>
      <c r="G278" s="260"/>
      <c r="H278" s="38"/>
      <c r="I278" s="7"/>
    </row>
    <row r="279" spans="1:9" ht="21" customHeight="1">
      <c r="A279" s="39"/>
      <c r="B279" s="38"/>
      <c r="C279" s="38"/>
      <c r="D279" s="279"/>
      <c r="E279" s="260"/>
      <c r="F279" s="279"/>
      <c r="G279" s="260"/>
      <c r="H279" s="38"/>
      <c r="I279" s="7"/>
    </row>
    <row r="280" spans="1:9" ht="21" customHeight="1">
      <c r="A280" s="39"/>
      <c r="B280" s="38"/>
      <c r="C280" s="38"/>
      <c r="D280" s="279"/>
      <c r="E280" s="260"/>
      <c r="F280" s="279"/>
      <c r="G280" s="260"/>
      <c r="H280" s="38"/>
      <c r="I280" s="7"/>
    </row>
    <row r="281" spans="1:9" ht="21" customHeight="1">
      <c r="A281" s="39"/>
      <c r="B281" s="38"/>
      <c r="C281" s="38"/>
      <c r="D281" s="279"/>
      <c r="E281" s="260"/>
      <c r="F281" s="279"/>
      <c r="G281" s="260"/>
      <c r="H281" s="38"/>
      <c r="I281" s="7"/>
    </row>
    <row r="282" spans="1:9" ht="21" customHeight="1">
      <c r="A282" s="39"/>
      <c r="B282" s="38"/>
      <c r="C282" s="38"/>
      <c r="D282" s="279"/>
      <c r="E282" s="260"/>
      <c r="F282" s="279"/>
      <c r="G282" s="260"/>
      <c r="H282" s="38"/>
      <c r="I282" s="7"/>
    </row>
    <row r="283" spans="1:9" ht="21" customHeight="1">
      <c r="A283" s="39"/>
      <c r="B283" s="38"/>
      <c r="C283" s="38"/>
      <c r="D283" s="279"/>
      <c r="E283" s="260"/>
      <c r="F283" s="279"/>
      <c r="G283" s="260"/>
      <c r="H283" s="38"/>
      <c r="I283" s="7"/>
    </row>
    <row r="284" spans="1:9" ht="21" customHeight="1">
      <c r="A284" s="39"/>
      <c r="B284" s="38"/>
      <c r="C284" s="38"/>
      <c r="D284" s="279"/>
      <c r="E284" s="260"/>
      <c r="F284" s="279"/>
      <c r="G284" s="260"/>
      <c r="H284" s="38"/>
      <c r="I284" s="7"/>
    </row>
    <row r="285" spans="1:9" ht="21" customHeight="1">
      <c r="A285" s="39"/>
      <c r="B285" s="38"/>
      <c r="C285" s="38"/>
      <c r="D285" s="279"/>
      <c r="E285" s="260"/>
      <c r="F285" s="279"/>
      <c r="G285" s="260"/>
      <c r="H285" s="38"/>
      <c r="I285" s="7"/>
    </row>
    <row r="286" spans="1:9" ht="21" customHeight="1">
      <c r="A286" s="39"/>
      <c r="B286" s="38"/>
      <c r="C286" s="38"/>
      <c r="D286" s="279"/>
      <c r="E286" s="260"/>
      <c r="F286" s="279"/>
      <c r="G286" s="260"/>
      <c r="H286" s="38"/>
      <c r="I286" s="7"/>
    </row>
    <row r="287" spans="1:9" ht="21" customHeight="1">
      <c r="A287" s="39"/>
      <c r="B287" s="38"/>
      <c r="C287" s="38"/>
      <c r="D287" s="279"/>
      <c r="E287" s="260"/>
      <c r="F287" s="279"/>
      <c r="G287" s="260"/>
      <c r="H287" s="38"/>
      <c r="I287" s="7"/>
    </row>
    <row r="288" spans="1:9" ht="21" customHeight="1">
      <c r="A288" s="39"/>
      <c r="B288" s="38"/>
      <c r="C288" s="38"/>
      <c r="D288" s="279"/>
      <c r="E288" s="260"/>
      <c r="F288" s="279"/>
      <c r="G288" s="260"/>
      <c r="H288" s="38"/>
      <c r="I288" s="7"/>
    </row>
    <row r="289" spans="1:9" ht="21" customHeight="1">
      <c r="A289" s="39"/>
      <c r="B289" s="38"/>
      <c r="C289" s="38"/>
      <c r="D289" s="279"/>
      <c r="E289" s="260"/>
      <c r="F289" s="279"/>
      <c r="G289" s="260"/>
      <c r="H289" s="38"/>
      <c r="I289" s="7"/>
    </row>
    <row r="290" spans="1:9" ht="21" customHeight="1">
      <c r="A290" s="39"/>
      <c r="B290" s="38"/>
      <c r="C290" s="38"/>
      <c r="D290" s="279"/>
      <c r="E290" s="260"/>
      <c r="F290" s="279"/>
      <c r="G290" s="260"/>
      <c r="H290" s="38"/>
      <c r="I290" s="7"/>
    </row>
    <row r="291" spans="1:9" ht="21" customHeight="1">
      <c r="A291" s="39"/>
      <c r="B291" s="38"/>
      <c r="C291" s="38"/>
      <c r="D291" s="279"/>
      <c r="E291" s="260"/>
      <c r="F291" s="279"/>
      <c r="G291" s="260"/>
      <c r="H291" s="38"/>
      <c r="I291" s="7"/>
    </row>
    <row r="292" spans="1:9" ht="21" customHeight="1">
      <c r="A292" s="39"/>
      <c r="B292" s="38"/>
      <c r="C292" s="38"/>
      <c r="D292" s="279"/>
      <c r="E292" s="260"/>
      <c r="F292" s="279"/>
      <c r="G292" s="260"/>
      <c r="H292" s="38"/>
      <c r="I292" s="7"/>
    </row>
    <row r="293" spans="1:9" ht="21" customHeight="1">
      <c r="A293" s="39"/>
      <c r="B293" s="38"/>
      <c r="C293" s="38"/>
      <c r="D293" s="279"/>
      <c r="E293" s="260"/>
      <c r="F293" s="279"/>
      <c r="G293" s="260"/>
      <c r="H293" s="38"/>
      <c r="I293" s="7"/>
    </row>
    <row r="294" spans="1:9" ht="21" customHeight="1">
      <c r="A294" s="39"/>
      <c r="B294" s="38"/>
      <c r="C294" s="38"/>
      <c r="D294" s="279"/>
      <c r="E294" s="260"/>
      <c r="F294" s="279"/>
      <c r="G294" s="260"/>
      <c r="H294" s="38"/>
      <c r="I294" s="7"/>
    </row>
    <row r="295" spans="1:9" ht="21" customHeight="1">
      <c r="A295" s="39"/>
      <c r="B295" s="38"/>
      <c r="C295" s="38"/>
      <c r="D295" s="279"/>
      <c r="E295" s="260"/>
      <c r="F295" s="279"/>
      <c r="G295" s="260"/>
      <c r="H295" s="38"/>
      <c r="I295" s="7"/>
    </row>
    <row r="296" spans="1:9" ht="21" customHeight="1">
      <c r="A296" s="39"/>
      <c r="B296" s="38"/>
      <c r="C296" s="38"/>
      <c r="D296" s="279"/>
      <c r="E296" s="260"/>
      <c r="F296" s="279"/>
      <c r="G296" s="260"/>
      <c r="H296" s="38"/>
      <c r="I296" s="7"/>
    </row>
    <row r="297" spans="1:9" ht="21" customHeight="1">
      <c r="A297" s="39"/>
      <c r="B297" s="38"/>
      <c r="C297" s="38"/>
      <c r="D297" s="279"/>
      <c r="E297" s="260"/>
      <c r="F297" s="279"/>
      <c r="G297" s="260"/>
      <c r="H297" s="38"/>
      <c r="I297" s="7"/>
    </row>
    <row r="298" spans="1:9" ht="21" customHeight="1">
      <c r="A298" s="39"/>
      <c r="B298" s="38"/>
      <c r="C298" s="38"/>
      <c r="D298" s="279"/>
      <c r="E298" s="260"/>
      <c r="F298" s="279"/>
      <c r="G298" s="260"/>
      <c r="H298" s="38"/>
      <c r="I298" s="7"/>
    </row>
    <row r="299" spans="1:9" ht="21" customHeight="1">
      <c r="A299" s="39"/>
      <c r="B299" s="38"/>
      <c r="C299" s="38"/>
      <c r="D299" s="279"/>
      <c r="E299" s="260"/>
      <c r="F299" s="279"/>
      <c r="G299" s="260"/>
      <c r="H299" s="38"/>
      <c r="I299" s="7"/>
    </row>
    <row r="300" spans="1:9" ht="21" customHeight="1">
      <c r="A300" s="39"/>
      <c r="B300" s="38"/>
      <c r="C300" s="38"/>
      <c r="D300" s="279"/>
      <c r="E300" s="260"/>
      <c r="F300" s="279"/>
      <c r="G300" s="260"/>
      <c r="H300" s="38"/>
      <c r="I300" s="7"/>
    </row>
    <row r="301" spans="1:9" ht="21" customHeight="1">
      <c r="A301" s="39"/>
      <c r="B301" s="38"/>
      <c r="C301" s="38"/>
      <c r="D301" s="279"/>
      <c r="E301" s="260"/>
      <c r="F301" s="279"/>
      <c r="G301" s="260"/>
      <c r="H301" s="38"/>
      <c r="I301" s="7"/>
    </row>
    <row r="302" spans="1:9" ht="21" customHeight="1">
      <c r="A302" s="39"/>
      <c r="B302" s="38"/>
      <c r="C302" s="38"/>
      <c r="D302" s="279"/>
      <c r="E302" s="260"/>
      <c r="F302" s="279"/>
      <c r="G302" s="260"/>
      <c r="H302" s="38"/>
      <c r="I302" s="7"/>
    </row>
    <row r="303" spans="1:9" ht="21" customHeight="1">
      <c r="A303" s="39"/>
      <c r="B303" s="38"/>
      <c r="C303" s="38"/>
      <c r="D303" s="279"/>
      <c r="E303" s="260"/>
      <c r="F303" s="279"/>
      <c r="G303" s="260"/>
      <c r="H303" s="38"/>
      <c r="I303" s="7"/>
    </row>
    <row r="304" spans="1:9" ht="21" customHeight="1">
      <c r="A304" s="39"/>
      <c r="B304" s="38"/>
      <c r="C304" s="38"/>
      <c r="D304" s="279"/>
      <c r="E304" s="260"/>
      <c r="F304" s="279"/>
      <c r="G304" s="260"/>
      <c r="H304" s="38"/>
      <c r="I304" s="7"/>
    </row>
    <row r="305" spans="1:9" ht="21" customHeight="1">
      <c r="A305" s="39"/>
      <c r="B305" s="38"/>
      <c r="C305" s="38"/>
      <c r="D305" s="279"/>
      <c r="E305" s="260"/>
      <c r="F305" s="279"/>
      <c r="G305" s="260"/>
      <c r="H305" s="38"/>
      <c r="I305" s="7"/>
    </row>
    <row r="306" spans="1:9" ht="21" customHeight="1">
      <c r="A306" s="39"/>
      <c r="B306" s="38"/>
      <c r="C306" s="38"/>
      <c r="D306" s="279"/>
      <c r="E306" s="260"/>
      <c r="F306" s="279"/>
      <c r="G306" s="260"/>
      <c r="H306" s="38"/>
      <c r="I306" s="7"/>
    </row>
    <row r="307" spans="1:9" ht="21" customHeight="1">
      <c r="A307" s="39"/>
      <c r="B307" s="38"/>
      <c r="C307" s="38"/>
      <c r="D307" s="279"/>
      <c r="E307" s="260"/>
      <c r="F307" s="279"/>
      <c r="G307" s="260"/>
      <c r="H307" s="38"/>
      <c r="I307" s="7"/>
    </row>
    <row r="308" spans="1:9" ht="21" customHeight="1">
      <c r="A308" s="39"/>
      <c r="B308" s="38"/>
      <c r="C308" s="38"/>
      <c r="D308" s="279"/>
      <c r="E308" s="260"/>
      <c r="F308" s="279"/>
      <c r="G308" s="260"/>
      <c r="H308" s="38"/>
      <c r="I308" s="7"/>
    </row>
    <row r="309" spans="1:9" ht="21" customHeight="1">
      <c r="A309" s="39"/>
      <c r="B309" s="38"/>
      <c r="C309" s="38"/>
      <c r="D309" s="279"/>
      <c r="E309" s="260"/>
      <c r="F309" s="279"/>
      <c r="G309" s="260"/>
      <c r="H309" s="38"/>
      <c r="I309" s="7"/>
    </row>
    <row r="310" spans="1:9" ht="21" customHeight="1">
      <c r="A310" s="39"/>
      <c r="B310" s="38"/>
      <c r="C310" s="38"/>
      <c r="D310" s="279"/>
      <c r="E310" s="260"/>
      <c r="F310" s="279"/>
      <c r="G310" s="260"/>
      <c r="H310" s="38"/>
      <c r="I310" s="7"/>
    </row>
    <row r="311" spans="1:9" ht="21" customHeight="1">
      <c r="A311" s="39"/>
      <c r="B311" s="38"/>
      <c r="C311" s="38"/>
      <c r="D311" s="279"/>
      <c r="E311" s="260"/>
      <c r="F311" s="279"/>
      <c r="G311" s="260"/>
      <c r="H311" s="38"/>
      <c r="I311" s="7"/>
    </row>
    <row r="312" spans="1:9" ht="21" customHeight="1">
      <c r="A312" s="39"/>
      <c r="B312" s="38"/>
      <c r="C312" s="38"/>
      <c r="D312" s="279"/>
      <c r="E312" s="260"/>
      <c r="F312" s="279"/>
      <c r="G312" s="260"/>
      <c r="H312" s="38"/>
      <c r="I312" s="7"/>
    </row>
    <row r="313" spans="1:9" ht="21" customHeight="1">
      <c r="A313" s="39"/>
      <c r="B313" s="38"/>
      <c r="C313" s="38"/>
      <c r="D313" s="279"/>
      <c r="E313" s="260"/>
      <c r="F313" s="279"/>
      <c r="G313" s="260"/>
      <c r="H313" s="38"/>
      <c r="I313" s="7"/>
    </row>
    <row r="314" spans="1:9" ht="21" customHeight="1">
      <c r="A314" s="39"/>
      <c r="B314" s="38"/>
      <c r="C314" s="38"/>
      <c r="D314" s="279"/>
      <c r="E314" s="260"/>
      <c r="F314" s="279"/>
      <c r="G314" s="260"/>
      <c r="H314" s="38"/>
      <c r="I314" s="7"/>
    </row>
    <row r="315" spans="1:9" ht="21" customHeight="1">
      <c r="A315" s="39"/>
      <c r="B315" s="38"/>
      <c r="C315" s="38"/>
      <c r="D315" s="279"/>
      <c r="E315" s="260"/>
      <c r="F315" s="279"/>
      <c r="G315" s="260"/>
      <c r="H315" s="38"/>
      <c r="I315" s="7"/>
    </row>
    <row r="316" spans="1:9" ht="21" customHeight="1">
      <c r="A316" s="39"/>
      <c r="B316" s="38"/>
      <c r="C316" s="38"/>
      <c r="D316" s="279"/>
      <c r="E316" s="260"/>
      <c r="F316" s="279"/>
      <c r="G316" s="260"/>
      <c r="H316" s="38"/>
      <c r="I316" s="7"/>
    </row>
    <row r="317" spans="1:9" ht="21" customHeight="1">
      <c r="A317" s="39"/>
      <c r="B317" s="38"/>
      <c r="C317" s="38"/>
      <c r="D317" s="279"/>
      <c r="E317" s="260"/>
      <c r="F317" s="279"/>
      <c r="G317" s="260"/>
      <c r="H317" s="38"/>
      <c r="I317" s="7"/>
    </row>
  </sheetData>
  <mergeCells count="634">
    <mergeCell ref="B2:I2"/>
    <mergeCell ref="F282:G282"/>
    <mergeCell ref="F113:G113"/>
    <mergeCell ref="D293:E293"/>
    <mergeCell ref="D32:E32"/>
    <mergeCell ref="F232:G232"/>
    <mergeCell ref="F32:G32"/>
    <mergeCell ref="D97:E97"/>
    <mergeCell ref="F159:G159"/>
    <mergeCell ref="D268:E268"/>
    <mergeCell ref="F97:G97"/>
    <mergeCell ref="F219:G219"/>
    <mergeCell ref="F26:G26"/>
    <mergeCell ref="F268:G268"/>
    <mergeCell ref="F90:G90"/>
    <mergeCell ref="D184:E184"/>
    <mergeCell ref="F184:G184"/>
    <mergeCell ref="E3:G3"/>
    <mergeCell ref="F27:G27"/>
    <mergeCell ref="D121:E121"/>
    <mergeCell ref="D192:E192"/>
    <mergeCell ref="D42:E42"/>
    <mergeCell ref="D173:E173"/>
    <mergeCell ref="D123:E123"/>
    <mergeCell ref="F316:G316"/>
    <mergeCell ref="F59:G59"/>
    <mergeCell ref="D239:E239"/>
    <mergeCell ref="F301:G301"/>
    <mergeCell ref="D95:E95"/>
    <mergeCell ref="F24:G24"/>
    <mergeCell ref="D266:E266"/>
    <mergeCell ref="F295:G295"/>
    <mergeCell ref="F95:G95"/>
    <mergeCell ref="D57:E57"/>
    <mergeCell ref="D250:E250"/>
    <mergeCell ref="F179:G179"/>
    <mergeCell ref="F250:G250"/>
    <mergeCell ref="D44:E44"/>
    <mergeCell ref="D286:E286"/>
    <mergeCell ref="F44:G44"/>
    <mergeCell ref="F311:G311"/>
    <mergeCell ref="F115:G115"/>
    <mergeCell ref="F308:G308"/>
    <mergeCell ref="D102:E102"/>
    <mergeCell ref="F102:G102"/>
    <mergeCell ref="F229:G229"/>
    <mergeCell ref="D25:E25"/>
    <mergeCell ref="D196:E196"/>
    <mergeCell ref="F77:G77"/>
    <mergeCell ref="F166:G166"/>
    <mergeCell ref="D133:E133"/>
    <mergeCell ref="D54:E54"/>
    <mergeCell ref="D271:E271"/>
    <mergeCell ref="D191:E191"/>
    <mergeCell ref="D262:E262"/>
    <mergeCell ref="F191:G191"/>
    <mergeCell ref="D237:E237"/>
    <mergeCell ref="F255:G255"/>
    <mergeCell ref="D291:E291"/>
    <mergeCell ref="F309:G309"/>
    <mergeCell ref="D249:E249"/>
    <mergeCell ref="F7:G7"/>
    <mergeCell ref="D276:E276"/>
    <mergeCell ref="D105:E105"/>
    <mergeCell ref="F305:G305"/>
    <mergeCell ref="D170:E170"/>
    <mergeCell ref="D49:E49"/>
    <mergeCell ref="D120:E120"/>
    <mergeCell ref="D242:E242"/>
    <mergeCell ref="F242:G242"/>
    <mergeCell ref="D107:E107"/>
    <mergeCell ref="F36:G36"/>
    <mergeCell ref="D278:E278"/>
    <mergeCell ref="F307:G307"/>
    <mergeCell ref="D234:E234"/>
    <mergeCell ref="F163:G163"/>
    <mergeCell ref="F101:G101"/>
    <mergeCell ref="D163:E163"/>
    <mergeCell ref="F8:G8"/>
    <mergeCell ref="D244:E244"/>
    <mergeCell ref="F244:G244"/>
    <mergeCell ref="D171:E171"/>
    <mergeCell ref="F100:G100"/>
    <mergeCell ref="F216:G216"/>
    <mergeCell ref="D252:E252"/>
    <mergeCell ref="F281:G281"/>
    <mergeCell ref="F87:G87"/>
    <mergeCell ref="D218:E218"/>
    <mergeCell ref="F280:G280"/>
    <mergeCell ref="F147:G147"/>
    <mergeCell ref="F218:G218"/>
    <mergeCell ref="D247:E247"/>
    <mergeCell ref="F89:G89"/>
    <mergeCell ref="F165:G165"/>
    <mergeCell ref="D10:E10"/>
    <mergeCell ref="F10:G10"/>
    <mergeCell ref="D34:E34"/>
    <mergeCell ref="D305:E305"/>
    <mergeCell ref="F63:G63"/>
    <mergeCell ref="F34:G34"/>
    <mergeCell ref="D243:E243"/>
    <mergeCell ref="D99:E99"/>
    <mergeCell ref="D270:E270"/>
    <mergeCell ref="F99:G99"/>
    <mergeCell ref="F292:G292"/>
    <mergeCell ref="F286:G286"/>
    <mergeCell ref="F74:G74"/>
    <mergeCell ref="D101:E101"/>
    <mergeCell ref="F30:G30"/>
    <mergeCell ref="D76:E76"/>
    <mergeCell ref="F138:G138"/>
    <mergeCell ref="F76:G76"/>
    <mergeCell ref="F94:G94"/>
    <mergeCell ref="D175:E175"/>
    <mergeCell ref="D221:E221"/>
    <mergeCell ref="F150:G150"/>
    <mergeCell ref="D165:E165"/>
    <mergeCell ref="D152:E152"/>
    <mergeCell ref="D215:E215"/>
    <mergeCell ref="F315:G315"/>
    <mergeCell ref="F144:G144"/>
    <mergeCell ref="F215:G215"/>
    <mergeCell ref="F81:G81"/>
    <mergeCell ref="F210:G210"/>
    <mergeCell ref="D177:E177"/>
    <mergeCell ref="D33:E33"/>
    <mergeCell ref="D226:E226"/>
    <mergeCell ref="D164:E164"/>
    <mergeCell ref="F226:G226"/>
    <mergeCell ref="D241:E241"/>
    <mergeCell ref="F241:G241"/>
    <mergeCell ref="D35:E35"/>
    <mergeCell ref="D228:E228"/>
    <mergeCell ref="F284:G284"/>
    <mergeCell ref="D310:E310"/>
    <mergeCell ref="F310:G310"/>
    <mergeCell ref="D223:E223"/>
    <mergeCell ref="D279:E279"/>
    <mergeCell ref="F152:G152"/>
    <mergeCell ref="F279:G279"/>
    <mergeCell ref="D216:E216"/>
    <mergeCell ref="D265:E265"/>
    <mergeCell ref="F15:G15"/>
    <mergeCell ref="F86:G86"/>
    <mergeCell ref="D13:E13"/>
    <mergeCell ref="F142:G142"/>
    <mergeCell ref="D151:E151"/>
    <mergeCell ref="F213:G213"/>
    <mergeCell ref="D213:E213"/>
    <mergeCell ref="F80:G80"/>
    <mergeCell ref="D150:E150"/>
    <mergeCell ref="F79:G79"/>
    <mergeCell ref="D29:E29"/>
    <mergeCell ref="D23:E23"/>
    <mergeCell ref="F258:G258"/>
    <mergeCell ref="F58:G58"/>
    <mergeCell ref="D294:E294"/>
    <mergeCell ref="F52:G52"/>
    <mergeCell ref="F294:G294"/>
    <mergeCell ref="D8:E8"/>
    <mergeCell ref="F37:G37"/>
    <mergeCell ref="F195:G195"/>
    <mergeCell ref="D231:E231"/>
    <mergeCell ref="F260:G260"/>
    <mergeCell ref="F60:G60"/>
    <mergeCell ref="F66:G66"/>
    <mergeCell ref="F197:G197"/>
    <mergeCell ref="F53:G53"/>
    <mergeCell ref="D20:E20"/>
    <mergeCell ref="F289:G289"/>
    <mergeCell ref="F68:G68"/>
    <mergeCell ref="D84:E84"/>
    <mergeCell ref="D22:E22"/>
    <mergeCell ref="F84:G84"/>
    <mergeCell ref="D155:E155"/>
    <mergeCell ref="D149:E149"/>
    <mergeCell ref="D257:E257"/>
    <mergeCell ref="D86:E86"/>
    <mergeCell ref="D317:E317"/>
    <mergeCell ref="D146:E146"/>
    <mergeCell ref="F141:G141"/>
    <mergeCell ref="D304:E304"/>
    <mergeCell ref="D12:E12"/>
    <mergeCell ref="D83:E83"/>
    <mergeCell ref="D143:E143"/>
    <mergeCell ref="F270:G270"/>
    <mergeCell ref="F245:G245"/>
    <mergeCell ref="F49:G49"/>
    <mergeCell ref="D14:E14"/>
    <mergeCell ref="D85:E85"/>
    <mergeCell ref="F14:G14"/>
    <mergeCell ref="D207:E207"/>
    <mergeCell ref="D256:E256"/>
    <mergeCell ref="D299:E299"/>
    <mergeCell ref="F299:G299"/>
    <mergeCell ref="D222:E222"/>
    <mergeCell ref="F78:G78"/>
    <mergeCell ref="D314:E314"/>
    <mergeCell ref="F205:G205"/>
    <mergeCell ref="F265:G265"/>
    <mergeCell ref="F65:G65"/>
    <mergeCell ref="F314:G314"/>
    <mergeCell ref="H3:I3"/>
    <mergeCell ref="D39:E39"/>
    <mergeCell ref="F239:G239"/>
    <mergeCell ref="F39:G39"/>
    <mergeCell ref="A1:I1"/>
    <mergeCell ref="D89:E89"/>
    <mergeCell ref="F64:G64"/>
    <mergeCell ref="F257:G257"/>
    <mergeCell ref="D153:E153"/>
    <mergeCell ref="F178:G178"/>
    <mergeCell ref="D128:E128"/>
    <mergeCell ref="D199:E199"/>
    <mergeCell ref="F128:G128"/>
    <mergeCell ref="D186:E186"/>
    <mergeCell ref="D217:E217"/>
    <mergeCell ref="F217:G217"/>
    <mergeCell ref="D65:E65"/>
    <mergeCell ref="F21:G21"/>
    <mergeCell ref="F192:G192"/>
    <mergeCell ref="F252:G252"/>
    <mergeCell ref="D194:E194"/>
    <mergeCell ref="F194:G194"/>
    <mergeCell ref="F50:G50"/>
    <mergeCell ref="F110:G110"/>
    <mergeCell ref="F313:G313"/>
    <mergeCell ref="D51:E51"/>
    <mergeCell ref="F278:G278"/>
    <mergeCell ref="F107:G107"/>
    <mergeCell ref="F57:G57"/>
    <mergeCell ref="F171:G171"/>
    <mergeCell ref="D138:E138"/>
    <mergeCell ref="D203:E203"/>
    <mergeCell ref="D140:E140"/>
    <mergeCell ref="D267:E267"/>
    <mergeCell ref="F267:G267"/>
    <mergeCell ref="D204:E204"/>
    <mergeCell ref="D198:E198"/>
    <mergeCell ref="F204:G204"/>
    <mergeCell ref="D269:E269"/>
    <mergeCell ref="F198:G198"/>
    <mergeCell ref="D296:E296"/>
    <mergeCell ref="D75:E75"/>
    <mergeCell ref="F75:G75"/>
    <mergeCell ref="D206:E206"/>
    <mergeCell ref="F231:G231"/>
    <mergeCell ref="F262:G262"/>
    <mergeCell ref="F62:G62"/>
    <mergeCell ref="D298:E298"/>
    <mergeCell ref="F312:G312"/>
    <mergeCell ref="B4:D4"/>
    <mergeCell ref="D62:E62"/>
    <mergeCell ref="D56:E56"/>
    <mergeCell ref="F13:G13"/>
    <mergeCell ref="D127:E127"/>
    <mergeCell ref="F56:G56"/>
    <mergeCell ref="D193:E193"/>
    <mergeCell ref="F249:G249"/>
    <mergeCell ref="D176:E176"/>
    <mergeCell ref="F105:G105"/>
    <mergeCell ref="D114:E114"/>
    <mergeCell ref="F43:G43"/>
    <mergeCell ref="F176:G176"/>
    <mergeCell ref="D285:E285"/>
    <mergeCell ref="F170:G170"/>
    <mergeCell ref="D64:E64"/>
    <mergeCell ref="F120:G120"/>
    <mergeCell ref="D11:E11"/>
    <mergeCell ref="F33:G33"/>
    <mergeCell ref="D181:E181"/>
    <mergeCell ref="D273:E273"/>
    <mergeCell ref="F31:G31"/>
    <mergeCell ref="F273:G273"/>
    <mergeCell ref="F302:G302"/>
    <mergeCell ref="F106:G106"/>
    <mergeCell ref="D43:E43"/>
    <mergeCell ref="F243:G243"/>
    <mergeCell ref="D137:E137"/>
    <mergeCell ref="B3:D3"/>
    <mergeCell ref="D130:E130"/>
    <mergeCell ref="D74:E74"/>
    <mergeCell ref="D68:E68"/>
    <mergeCell ref="F130:G130"/>
    <mergeCell ref="D201:E201"/>
    <mergeCell ref="D188:E188"/>
    <mergeCell ref="D132:E132"/>
    <mergeCell ref="F157:G157"/>
    <mergeCell ref="F132:G132"/>
    <mergeCell ref="D59:E59"/>
    <mergeCell ref="D295:E295"/>
    <mergeCell ref="D178:E178"/>
    <mergeCell ref="D172:E172"/>
    <mergeCell ref="F234:G234"/>
    <mergeCell ref="F172:G172"/>
    <mergeCell ref="F221:G221"/>
    <mergeCell ref="F25:G25"/>
    <mergeCell ref="F196:G196"/>
    <mergeCell ref="H4:I4"/>
    <mergeCell ref="D40:E40"/>
    <mergeCell ref="D282:E282"/>
    <mergeCell ref="D111:E111"/>
    <mergeCell ref="F40:G40"/>
    <mergeCell ref="F233:G233"/>
    <mergeCell ref="D233:E233"/>
    <mergeCell ref="D183:E183"/>
    <mergeCell ref="F12:G12"/>
    <mergeCell ref="D248:E248"/>
    <mergeCell ref="D219:E219"/>
    <mergeCell ref="F177:G177"/>
    <mergeCell ref="D104:E104"/>
    <mergeCell ref="F248:G248"/>
    <mergeCell ref="F104:G104"/>
    <mergeCell ref="D275:E275"/>
    <mergeCell ref="F235:G235"/>
    <mergeCell ref="D185:E185"/>
    <mergeCell ref="D41:E41"/>
    <mergeCell ref="F41:G41"/>
    <mergeCell ref="D277:E277"/>
    <mergeCell ref="F35:G35"/>
    <mergeCell ref="C5:G5"/>
    <mergeCell ref="F123:G123"/>
    <mergeCell ref="E4:G4"/>
    <mergeCell ref="D182:E182"/>
    <mergeCell ref="F11:G11"/>
    <mergeCell ref="D109:E109"/>
    <mergeCell ref="F182:G182"/>
    <mergeCell ref="D280:E280"/>
    <mergeCell ref="F296:G296"/>
    <mergeCell ref="D119:E119"/>
    <mergeCell ref="D190:E190"/>
    <mergeCell ref="D246:E246"/>
    <mergeCell ref="D46:E46"/>
    <mergeCell ref="F246:G246"/>
    <mergeCell ref="D36:E36"/>
    <mergeCell ref="F236:G236"/>
    <mergeCell ref="F223:G223"/>
    <mergeCell ref="F173:G173"/>
    <mergeCell ref="F287:G287"/>
    <mergeCell ref="D61:E61"/>
    <mergeCell ref="D254:E254"/>
    <mergeCell ref="D48:E48"/>
    <mergeCell ref="D125:E125"/>
    <mergeCell ref="F125:G125"/>
    <mergeCell ref="F247:G247"/>
    <mergeCell ref="F185:G185"/>
    <mergeCell ref="A5:B5"/>
    <mergeCell ref="D93:E93"/>
    <mergeCell ref="F22:G22"/>
    <mergeCell ref="F155:G155"/>
    <mergeCell ref="F93:G93"/>
    <mergeCell ref="F149:G149"/>
    <mergeCell ref="D220:E220"/>
    <mergeCell ref="F220:G220"/>
    <mergeCell ref="D264:E264"/>
    <mergeCell ref="F264:G264"/>
    <mergeCell ref="D157:E157"/>
    <mergeCell ref="F151:G151"/>
    <mergeCell ref="F222:G222"/>
    <mergeCell ref="D251:E251"/>
    <mergeCell ref="D112:E112"/>
    <mergeCell ref="F28:G28"/>
    <mergeCell ref="D17:E17"/>
    <mergeCell ref="F181:G181"/>
    <mergeCell ref="D212:E212"/>
    <mergeCell ref="D159:E159"/>
    <mergeCell ref="D80:E80"/>
    <mergeCell ref="F55:G55"/>
    <mergeCell ref="F169:G169"/>
    <mergeCell ref="D136:E136"/>
    <mergeCell ref="F283:G283"/>
    <mergeCell ref="D52:E52"/>
    <mergeCell ref="D27:E27"/>
    <mergeCell ref="F298:G298"/>
    <mergeCell ref="F154:G154"/>
    <mergeCell ref="D116:E116"/>
    <mergeCell ref="D91:E91"/>
    <mergeCell ref="F291:G291"/>
    <mergeCell ref="F91:G91"/>
    <mergeCell ref="D162:E162"/>
    <mergeCell ref="D156:E156"/>
    <mergeCell ref="F156:G156"/>
    <mergeCell ref="F180:G180"/>
    <mergeCell ref="D106:E106"/>
    <mergeCell ref="F297:G297"/>
    <mergeCell ref="D283:E283"/>
    <mergeCell ref="D288:E288"/>
    <mergeCell ref="D154:E154"/>
    <mergeCell ref="D225:E225"/>
    <mergeCell ref="D200:E200"/>
    <mergeCell ref="F129:G129"/>
    <mergeCell ref="F200:G200"/>
    <mergeCell ref="D292:E292"/>
    <mergeCell ref="D227:E227"/>
    <mergeCell ref="D309:E309"/>
    <mergeCell ref="D113:E113"/>
    <mergeCell ref="D88:E88"/>
    <mergeCell ref="D26:E26"/>
    <mergeCell ref="D148:E148"/>
    <mergeCell ref="F88:G88"/>
    <mergeCell ref="F148:G148"/>
    <mergeCell ref="F275:G275"/>
    <mergeCell ref="D311:E311"/>
    <mergeCell ref="D115:E115"/>
    <mergeCell ref="F54:G54"/>
    <mergeCell ref="D90:E90"/>
    <mergeCell ref="D261:E261"/>
    <mergeCell ref="F212:G212"/>
    <mergeCell ref="F146:G146"/>
    <mergeCell ref="F277:G277"/>
    <mergeCell ref="F304:G304"/>
    <mergeCell ref="F83:G83"/>
    <mergeCell ref="F276:G276"/>
    <mergeCell ref="F214:G214"/>
    <mergeCell ref="F306:G306"/>
    <mergeCell ref="F85:G85"/>
    <mergeCell ref="D179:E179"/>
    <mergeCell ref="D166:E166"/>
    <mergeCell ref="D306:E306"/>
    <mergeCell ref="D135:E135"/>
    <mergeCell ref="F135:G135"/>
    <mergeCell ref="F122:G122"/>
    <mergeCell ref="F153:G153"/>
    <mergeCell ref="F224:G224"/>
    <mergeCell ref="D72:E72"/>
    <mergeCell ref="F72:G72"/>
    <mergeCell ref="F199:G199"/>
    <mergeCell ref="D235:E235"/>
    <mergeCell ref="D255:E255"/>
    <mergeCell ref="F293:G293"/>
    <mergeCell ref="D260:E260"/>
    <mergeCell ref="D103:E103"/>
    <mergeCell ref="F303:G303"/>
    <mergeCell ref="D230:E230"/>
    <mergeCell ref="D168:E168"/>
    <mergeCell ref="F230:G230"/>
    <mergeCell ref="D180:E180"/>
    <mergeCell ref="D118:E118"/>
    <mergeCell ref="D167:E167"/>
    <mergeCell ref="F167:G167"/>
    <mergeCell ref="D161:E161"/>
    <mergeCell ref="D232:E232"/>
    <mergeCell ref="F300:G300"/>
    <mergeCell ref="D50:E50"/>
    <mergeCell ref="D31:E31"/>
    <mergeCell ref="D158:E158"/>
    <mergeCell ref="D229:E229"/>
    <mergeCell ref="F158:G158"/>
    <mergeCell ref="D6:E6"/>
    <mergeCell ref="D77:E77"/>
    <mergeCell ref="D108:E108"/>
    <mergeCell ref="F133:G133"/>
    <mergeCell ref="D160:E160"/>
    <mergeCell ref="F160:G160"/>
    <mergeCell ref="D141:E141"/>
    <mergeCell ref="D24:E24"/>
    <mergeCell ref="D19:E19"/>
    <mergeCell ref="F19:G19"/>
    <mergeCell ref="F6:G6"/>
    <mergeCell ref="F20:G20"/>
    <mergeCell ref="D37:E37"/>
    <mergeCell ref="D9:E9"/>
    <mergeCell ref="F9:G9"/>
    <mergeCell ref="F161:G161"/>
    <mergeCell ref="F288:G288"/>
    <mergeCell ref="F136:G136"/>
    <mergeCell ref="D316:E316"/>
    <mergeCell ref="D145:E145"/>
    <mergeCell ref="F145:G145"/>
    <mergeCell ref="D272:E272"/>
    <mergeCell ref="D210:E210"/>
    <mergeCell ref="F272:G272"/>
    <mergeCell ref="D308:E308"/>
    <mergeCell ref="D16:E16"/>
    <mergeCell ref="D209:E209"/>
    <mergeCell ref="D87:E87"/>
    <mergeCell ref="D147:E147"/>
    <mergeCell ref="F38:G38"/>
    <mergeCell ref="F209:G209"/>
    <mergeCell ref="D274:E274"/>
    <mergeCell ref="D245:E245"/>
    <mergeCell ref="D301:E301"/>
    <mergeCell ref="F274:G274"/>
    <mergeCell ref="D122:E122"/>
    <mergeCell ref="D224:E224"/>
    <mergeCell ref="D18:E18"/>
    <mergeCell ref="D211:E211"/>
    <mergeCell ref="F140:G140"/>
    <mergeCell ref="F211:G211"/>
    <mergeCell ref="F67:G67"/>
    <mergeCell ref="D290:E290"/>
    <mergeCell ref="D94:E94"/>
    <mergeCell ref="F290:G290"/>
    <mergeCell ref="F119:G119"/>
    <mergeCell ref="D69:E69"/>
    <mergeCell ref="F69:G69"/>
    <mergeCell ref="F256:G256"/>
    <mergeCell ref="F112:G112"/>
    <mergeCell ref="F183:G183"/>
    <mergeCell ref="F193:G193"/>
    <mergeCell ref="F127:G127"/>
    <mergeCell ref="F285:G285"/>
    <mergeCell ref="F186:G186"/>
    <mergeCell ref="D82:E82"/>
    <mergeCell ref="F82:G82"/>
    <mergeCell ref="D240:E240"/>
    <mergeCell ref="F269:G269"/>
    <mergeCell ref="F206:G206"/>
    <mergeCell ref="D100:E100"/>
    <mergeCell ref="F207:G207"/>
    <mergeCell ref="D169:E169"/>
    <mergeCell ref="F225:G225"/>
    <mergeCell ref="F271:G271"/>
    <mergeCell ref="F227:G227"/>
    <mergeCell ref="D15:E15"/>
    <mergeCell ref="D142:E142"/>
    <mergeCell ref="D129:E129"/>
    <mergeCell ref="D79:E79"/>
    <mergeCell ref="D315:E315"/>
    <mergeCell ref="F73:G73"/>
    <mergeCell ref="D144:E144"/>
    <mergeCell ref="F266:G266"/>
    <mergeCell ref="D302:E302"/>
    <mergeCell ref="D81:E81"/>
    <mergeCell ref="D208:E208"/>
    <mergeCell ref="F137:G137"/>
    <mergeCell ref="F208:G208"/>
    <mergeCell ref="D300:E300"/>
    <mergeCell ref="F124:G124"/>
    <mergeCell ref="D139:E139"/>
    <mergeCell ref="F201:G201"/>
    <mergeCell ref="F164:G164"/>
    <mergeCell ref="F139:G139"/>
    <mergeCell ref="F114:G114"/>
    <mergeCell ref="F228:G228"/>
    <mergeCell ref="F203:G203"/>
    <mergeCell ref="D214:E214"/>
    <mergeCell ref="D284:E284"/>
    <mergeCell ref="D289:E289"/>
    <mergeCell ref="F47:G47"/>
    <mergeCell ref="D53:E53"/>
    <mergeCell ref="F240:G240"/>
    <mergeCell ref="F190:G190"/>
    <mergeCell ref="F46:G46"/>
    <mergeCell ref="F317:G317"/>
    <mergeCell ref="F111:G111"/>
    <mergeCell ref="F61:G61"/>
    <mergeCell ref="D110:E110"/>
    <mergeCell ref="F48:G48"/>
    <mergeCell ref="D259:E259"/>
    <mergeCell ref="F259:G259"/>
    <mergeCell ref="D313:E313"/>
    <mergeCell ref="D236:E236"/>
    <mergeCell ref="D117:E117"/>
    <mergeCell ref="F261:G261"/>
    <mergeCell ref="D92:E92"/>
    <mergeCell ref="F117:G117"/>
    <mergeCell ref="F92:G92"/>
    <mergeCell ref="D55:E55"/>
    <mergeCell ref="D67:E67"/>
    <mergeCell ref="D303:E303"/>
    <mergeCell ref="F254:G254"/>
    <mergeCell ref="D258:E258"/>
    <mergeCell ref="D124:E124"/>
    <mergeCell ref="D195:E195"/>
    <mergeCell ref="D189:E189"/>
    <mergeCell ref="F251:G251"/>
    <mergeCell ref="F18:G18"/>
    <mergeCell ref="D287:E287"/>
    <mergeCell ref="F45:G45"/>
    <mergeCell ref="F189:G189"/>
    <mergeCell ref="F238:G238"/>
    <mergeCell ref="F42:G42"/>
    <mergeCell ref="D66:E66"/>
    <mergeCell ref="D126:E126"/>
    <mergeCell ref="F188:G188"/>
    <mergeCell ref="D197:E197"/>
    <mergeCell ref="D253:E253"/>
    <mergeCell ref="F126:G126"/>
    <mergeCell ref="F253:G253"/>
    <mergeCell ref="D47:E47"/>
    <mergeCell ref="F109:G109"/>
    <mergeCell ref="D28:E28"/>
    <mergeCell ref="D30:E30"/>
    <mergeCell ref="D21:E21"/>
    <mergeCell ref="F51:G51"/>
    <mergeCell ref="D281:E281"/>
    <mergeCell ref="D297:E297"/>
    <mergeCell ref="D70:E70"/>
    <mergeCell ref="D312:E312"/>
    <mergeCell ref="D263:E263"/>
    <mergeCell ref="F70:G70"/>
    <mergeCell ref="F263:G263"/>
    <mergeCell ref="D238:E238"/>
    <mergeCell ref="D7:E7"/>
    <mergeCell ref="D78:E78"/>
    <mergeCell ref="D134:E134"/>
    <mergeCell ref="D205:E205"/>
    <mergeCell ref="F134:G134"/>
    <mergeCell ref="F23:G23"/>
    <mergeCell ref="F121:G121"/>
    <mergeCell ref="D71:E71"/>
    <mergeCell ref="F96:G96"/>
    <mergeCell ref="F71:G71"/>
    <mergeCell ref="D307:E307"/>
    <mergeCell ref="D98:E98"/>
    <mergeCell ref="D73:E73"/>
    <mergeCell ref="F98:G98"/>
    <mergeCell ref="F175:G175"/>
    <mergeCell ref="F162:G162"/>
    <mergeCell ref="F237:G237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131:E131"/>
    <mergeCell ref="F17:G17"/>
    <mergeCell ref="F29:G29"/>
    <mergeCell ref="D38:E38"/>
    <mergeCell ref="D63:E63"/>
    <mergeCell ref="F202:G202"/>
    <mergeCell ref="D96:E96"/>
    <mergeCell ref="D202:E202"/>
    <mergeCell ref="F131:G131"/>
    <mergeCell ref="D58:E5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555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556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Zolpidem 10mg</v>
      </c>
      <c r="K3" s="34" t="s">
        <v>557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558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559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2" tint="-0.499984740745262"/>
  </sheetPr>
  <dimension ref="A1:O87"/>
  <sheetViews>
    <sheetView topLeftCell="A4" workbookViewId="0">
      <selection activeCell="A21" sqref="A2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560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82" t="s">
        <v>561</v>
      </c>
      <c r="C3" s="263"/>
      <c r="D3" s="260"/>
      <c r="E3" s="266" t="s">
        <v>11</v>
      </c>
      <c r="F3" s="263"/>
      <c r="G3" s="260"/>
      <c r="H3" s="268" t="s">
        <v>562</v>
      </c>
      <c r="I3" s="269"/>
      <c r="J3" s="19" t="str">
        <f>B3</f>
        <v>Zodenox 10mg</v>
      </c>
      <c r="K3" s="34" t="s">
        <v>563</v>
      </c>
      <c r="L3" s="5">
        <f>H7</f>
        <v>32</v>
      </c>
      <c r="M3" s="3">
        <f>SUM(C$8:C$1048576)</f>
        <v>360</v>
      </c>
      <c r="N3" s="3">
        <f>SUM(F:F)</f>
        <v>252</v>
      </c>
      <c r="O3" s="3">
        <f>L3+M3-N3</f>
        <v>140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519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564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32</v>
      </c>
      <c r="D7" s="279"/>
      <c r="E7" s="260"/>
      <c r="F7" s="279"/>
      <c r="G7" s="260"/>
      <c r="H7" s="38">
        <v>32</v>
      </c>
      <c r="I7" s="35" t="s">
        <v>414</v>
      </c>
      <c r="J7" s="12"/>
      <c r="K7" s="3"/>
      <c r="L7" s="3"/>
      <c r="M7" s="3"/>
      <c r="N7" s="3"/>
      <c r="O7" s="3"/>
    </row>
    <row r="8" spans="1:15" ht="26.7" customHeight="1">
      <c r="A8" s="39" t="s">
        <v>335</v>
      </c>
      <c r="B8" s="38" t="s">
        <v>323</v>
      </c>
      <c r="C8" s="38"/>
      <c r="D8" s="259"/>
      <c r="E8" s="260"/>
      <c r="F8" s="279">
        <v>28</v>
      </c>
      <c r="G8" s="260"/>
      <c r="H8" s="38">
        <f>H7-F8</f>
        <v>4</v>
      </c>
      <c r="I8" s="28"/>
      <c r="J8" s="12"/>
    </row>
    <row r="9" spans="1:15" ht="26.7" customHeight="1">
      <c r="A9" s="39" t="s">
        <v>386</v>
      </c>
      <c r="B9" s="38" t="s">
        <v>324</v>
      </c>
      <c r="C9" s="38">
        <v>100</v>
      </c>
      <c r="D9" s="259" t="s">
        <v>565</v>
      </c>
      <c r="E9" s="260"/>
      <c r="F9" s="279"/>
      <c r="G9" s="260"/>
      <c r="H9" s="38">
        <v>104</v>
      </c>
      <c r="I9" s="26" t="s">
        <v>566</v>
      </c>
      <c r="J9" s="12"/>
    </row>
    <row r="10" spans="1:15" ht="26.7" customHeight="1">
      <c r="A10" s="39" t="s">
        <v>341</v>
      </c>
      <c r="B10" s="38" t="s">
        <v>323</v>
      </c>
      <c r="C10" s="38"/>
      <c r="D10" s="259"/>
      <c r="E10" s="260"/>
      <c r="F10" s="279">
        <v>28</v>
      </c>
      <c r="G10" s="260"/>
      <c r="H10" s="38">
        <f>H9-F10</f>
        <v>76</v>
      </c>
      <c r="I10" s="26"/>
      <c r="J10" s="12"/>
    </row>
    <row r="11" spans="1:15" ht="26.7" customHeight="1">
      <c r="A11" s="39" t="s">
        <v>439</v>
      </c>
      <c r="B11" s="38" t="s">
        <v>323</v>
      </c>
      <c r="C11" s="38"/>
      <c r="D11" s="259"/>
      <c r="E11" s="260"/>
      <c r="F11" s="279">
        <v>28</v>
      </c>
      <c r="G11" s="260"/>
      <c r="H11" s="38">
        <f>H10-F11</f>
        <v>48</v>
      </c>
      <c r="I11" s="26"/>
      <c r="J11" s="12"/>
    </row>
    <row r="12" spans="1:15" ht="26.7" customHeight="1">
      <c r="A12" s="39" t="s">
        <v>484</v>
      </c>
      <c r="B12" s="38" t="s">
        <v>323</v>
      </c>
      <c r="C12" s="38"/>
      <c r="D12" s="259"/>
      <c r="E12" s="260"/>
      <c r="F12" s="279">
        <v>28</v>
      </c>
      <c r="G12" s="260"/>
      <c r="H12" s="38">
        <f>H11-F12</f>
        <v>20</v>
      </c>
      <c r="I12" s="26"/>
      <c r="J12" s="12"/>
    </row>
    <row r="13" spans="1:15" ht="26.7" customHeight="1">
      <c r="A13" s="39" t="s">
        <v>441</v>
      </c>
      <c r="B13" s="38" t="s">
        <v>324</v>
      </c>
      <c r="C13" s="38">
        <v>200</v>
      </c>
      <c r="D13" s="259" t="s">
        <v>565</v>
      </c>
      <c r="E13" s="260"/>
      <c r="F13" s="279"/>
      <c r="G13" s="260"/>
      <c r="H13" s="38">
        <v>220</v>
      </c>
      <c r="I13" s="108" t="s">
        <v>437</v>
      </c>
      <c r="J13" s="12"/>
    </row>
    <row r="14" spans="1:15" ht="26.7" customHeight="1" thickBot="1">
      <c r="A14" s="39" t="s">
        <v>542</v>
      </c>
      <c r="B14" s="38" t="s">
        <v>323</v>
      </c>
      <c r="C14" s="38"/>
      <c r="D14" s="264"/>
      <c r="E14" s="265"/>
      <c r="F14" s="267">
        <v>28</v>
      </c>
      <c r="G14" s="265"/>
      <c r="H14" s="38">
        <f>H13-F14</f>
        <v>192</v>
      </c>
      <c r="I14" s="32"/>
      <c r="J14" s="12"/>
    </row>
    <row r="15" spans="1:15" ht="21" customHeight="1">
      <c r="A15" s="39" t="s">
        <v>355</v>
      </c>
      <c r="B15" s="38" t="s">
        <v>324</v>
      </c>
      <c r="C15" s="38">
        <v>60</v>
      </c>
      <c r="D15" s="259" t="s">
        <v>567</v>
      </c>
      <c r="E15" s="260"/>
      <c r="F15" s="278"/>
      <c r="G15" s="277"/>
      <c r="H15" s="38">
        <v>252</v>
      </c>
      <c r="I15" s="108" t="s">
        <v>437</v>
      </c>
      <c r="J15" s="3"/>
    </row>
    <row r="16" spans="1:15" ht="21" customHeight="1">
      <c r="A16" s="39" t="s">
        <v>496</v>
      </c>
      <c r="B16" s="38" t="s">
        <v>323</v>
      </c>
      <c r="C16" s="38"/>
      <c r="D16" s="259"/>
      <c r="E16" s="260"/>
      <c r="F16" s="261">
        <v>28</v>
      </c>
      <c r="G16" s="260"/>
      <c r="H16" s="38">
        <f>H15-F16</f>
        <v>224</v>
      </c>
      <c r="I16" s="7"/>
    </row>
    <row r="17" spans="1:9" ht="21" customHeight="1">
      <c r="A17" s="39" t="s">
        <v>363</v>
      </c>
      <c r="B17" s="38" t="s">
        <v>323</v>
      </c>
      <c r="C17" s="38"/>
      <c r="D17" s="259"/>
      <c r="E17" s="260"/>
      <c r="F17" s="261">
        <v>28</v>
      </c>
      <c r="G17" s="260"/>
      <c r="H17" s="38">
        <f>H16-F17</f>
        <v>196</v>
      </c>
      <c r="I17" s="16"/>
    </row>
    <row r="18" spans="1:9" ht="21" customHeight="1">
      <c r="A18" s="39" t="s">
        <v>568</v>
      </c>
      <c r="B18" s="38" t="s">
        <v>323</v>
      </c>
      <c r="C18" s="38"/>
      <c r="D18" s="259"/>
      <c r="E18" s="260"/>
      <c r="F18" s="261">
        <v>28</v>
      </c>
      <c r="G18" s="260"/>
      <c r="H18" s="38">
        <f>H17-F18</f>
        <v>168</v>
      </c>
      <c r="I18" s="7"/>
    </row>
    <row r="19" spans="1:9" ht="21" customHeight="1">
      <c r="A19" s="39" t="s">
        <v>368</v>
      </c>
      <c r="B19" s="6" t="s">
        <v>323</v>
      </c>
      <c r="C19" s="38"/>
      <c r="D19" s="259"/>
      <c r="E19" s="260"/>
      <c r="F19" s="261">
        <v>28</v>
      </c>
      <c r="G19" s="260"/>
      <c r="H19" s="38">
        <f>H18-F19</f>
        <v>140</v>
      </c>
      <c r="I19" s="7"/>
    </row>
    <row r="20" spans="1:9" ht="21" customHeight="1">
      <c r="A20" s="39"/>
      <c r="B20" s="6"/>
      <c r="C20" s="38"/>
      <c r="D20" s="259"/>
      <c r="E20" s="260"/>
      <c r="F20" s="261"/>
      <c r="G20" s="260"/>
      <c r="H20" s="38"/>
      <c r="I20" s="16"/>
    </row>
    <row r="21" spans="1:9" ht="21" customHeight="1">
      <c r="A21" s="39"/>
      <c r="B21" s="6"/>
      <c r="C21" s="38"/>
      <c r="D21" s="259"/>
      <c r="E21" s="260"/>
      <c r="F21" s="261"/>
      <c r="G21" s="260"/>
      <c r="H21" s="38"/>
      <c r="I21" s="7"/>
    </row>
    <row r="22" spans="1:9" ht="21" customHeight="1">
      <c r="A22" s="39"/>
      <c r="B22" s="6"/>
      <c r="C22" s="38"/>
      <c r="D22" s="259"/>
      <c r="E22" s="260"/>
      <c r="F22" s="261"/>
      <c r="G22" s="260"/>
      <c r="H22" s="38"/>
      <c r="I22" s="7"/>
    </row>
    <row r="23" spans="1:9" ht="21" customHeight="1">
      <c r="A23" s="39"/>
      <c r="B23" s="6"/>
      <c r="C23" s="38"/>
      <c r="D23" s="259"/>
      <c r="E23" s="260"/>
      <c r="F23" s="261"/>
      <c r="G23" s="260"/>
      <c r="H23" s="38"/>
      <c r="I23" s="7"/>
    </row>
    <row r="24" spans="1:9" ht="21" customHeight="1">
      <c r="A24" s="39"/>
      <c r="B24" s="6"/>
      <c r="C24" s="38"/>
      <c r="D24" s="259"/>
      <c r="E24" s="260"/>
      <c r="F24" s="261"/>
      <c r="G24" s="260"/>
      <c r="H24" s="38"/>
      <c r="I24" s="7"/>
    </row>
    <row r="25" spans="1:9" ht="21" customHeight="1">
      <c r="A25" s="39"/>
      <c r="B25" s="6"/>
      <c r="C25" s="38"/>
      <c r="D25" s="259"/>
      <c r="E25" s="260"/>
      <c r="F25" s="261"/>
      <c r="G25" s="260"/>
      <c r="H25" s="38"/>
      <c r="I25" s="7"/>
    </row>
    <row r="26" spans="1:9" ht="21" customHeight="1">
      <c r="A26" s="39"/>
      <c r="B26" s="6"/>
      <c r="C26" s="38"/>
      <c r="D26" s="259"/>
      <c r="E26" s="260"/>
      <c r="F26" s="261"/>
      <c r="G26" s="260"/>
      <c r="H26" s="38"/>
      <c r="I26" s="7"/>
    </row>
    <row r="27" spans="1:9" ht="21" customHeight="1">
      <c r="A27" s="39"/>
      <c r="B27" s="6"/>
      <c r="C27" s="38"/>
      <c r="D27" s="259"/>
      <c r="E27" s="260"/>
      <c r="F27" s="261"/>
      <c r="G27" s="260"/>
      <c r="H27" s="38"/>
      <c r="I27" s="7"/>
    </row>
    <row r="28" spans="1:9" ht="21" customHeight="1">
      <c r="A28" s="39"/>
      <c r="B28" s="6"/>
      <c r="C28" s="38"/>
      <c r="D28" s="259"/>
      <c r="E28" s="260"/>
      <c r="F28" s="261"/>
      <c r="G28" s="260"/>
      <c r="H28" s="38"/>
      <c r="I28" s="7"/>
    </row>
    <row r="29" spans="1:9" ht="21" customHeight="1">
      <c r="A29" s="39"/>
      <c r="B29" s="6"/>
      <c r="C29" s="38"/>
      <c r="D29" s="259"/>
      <c r="E29" s="260"/>
      <c r="F29" s="261"/>
      <c r="G29" s="260"/>
      <c r="H29" s="38"/>
      <c r="I29" s="7"/>
    </row>
    <row r="30" spans="1:9" ht="21" customHeight="1">
      <c r="A30" s="39"/>
      <c r="B30" s="6"/>
      <c r="C30" s="38"/>
      <c r="D30" s="259"/>
      <c r="E30" s="260"/>
      <c r="F30" s="261"/>
      <c r="G30" s="260"/>
      <c r="H30" s="38"/>
      <c r="I30" s="7"/>
    </row>
    <row r="31" spans="1:9" ht="21" customHeight="1">
      <c r="A31" s="39"/>
      <c r="B31" s="6"/>
      <c r="C31" s="38"/>
      <c r="D31" s="259"/>
      <c r="E31" s="260"/>
      <c r="F31" s="261"/>
      <c r="G31" s="260"/>
      <c r="H31" s="38"/>
      <c r="I31" s="7"/>
    </row>
    <row r="32" spans="1:9" ht="21" customHeight="1">
      <c r="A32" s="39"/>
      <c r="B32" s="8"/>
      <c r="C32" s="38"/>
      <c r="D32" s="259"/>
      <c r="E32" s="260"/>
      <c r="F32" s="261"/>
      <c r="G32" s="260"/>
      <c r="H32" s="38"/>
      <c r="I32" s="11"/>
    </row>
    <row r="33" spans="1:9" ht="21" customHeight="1">
      <c r="A33" s="39"/>
      <c r="B33" s="6"/>
      <c r="C33" s="38"/>
      <c r="D33" s="259"/>
      <c r="E33" s="260"/>
      <c r="F33" s="261"/>
      <c r="G33" s="260"/>
      <c r="H33" s="38"/>
      <c r="I33" s="7"/>
    </row>
    <row r="34" spans="1:9" ht="21" customHeight="1">
      <c r="A34" s="39"/>
      <c r="B34" s="6"/>
      <c r="C34" s="38"/>
      <c r="D34" s="259"/>
      <c r="E34" s="260"/>
      <c r="F34" s="261"/>
      <c r="G34" s="260"/>
      <c r="H34" s="38"/>
      <c r="I34" s="7"/>
    </row>
    <row r="35" spans="1:9" ht="21" customHeight="1">
      <c r="A35" s="39"/>
      <c r="B35" s="6"/>
      <c r="C35" s="38"/>
      <c r="D35" s="259"/>
      <c r="E35" s="260"/>
      <c r="F35" s="261"/>
      <c r="G35" s="260"/>
      <c r="H35" s="38"/>
      <c r="I35" s="7"/>
    </row>
    <row r="36" spans="1:9" ht="21" customHeight="1">
      <c r="A36" s="39"/>
      <c r="B36" s="6"/>
      <c r="C36" s="38"/>
      <c r="D36" s="259"/>
      <c r="E36" s="260"/>
      <c r="F36" s="261"/>
      <c r="G36" s="260"/>
      <c r="H36" s="38"/>
      <c r="I36" s="7"/>
    </row>
    <row r="37" spans="1:9" ht="21" customHeight="1">
      <c r="A37" s="39"/>
      <c r="B37" s="6"/>
      <c r="C37" s="38"/>
      <c r="D37" s="259"/>
      <c r="E37" s="260"/>
      <c r="F37" s="261"/>
      <c r="G37" s="260"/>
      <c r="H37" s="38"/>
      <c r="I37" s="7"/>
    </row>
    <row r="38" spans="1:9" ht="21" customHeight="1">
      <c r="A38" s="39"/>
      <c r="B38" s="6"/>
      <c r="C38" s="38"/>
      <c r="D38" s="259"/>
      <c r="E38" s="260"/>
      <c r="F38" s="261"/>
      <c r="G38" s="260"/>
      <c r="H38" s="7"/>
      <c r="I38" s="7"/>
    </row>
    <row r="39" spans="1:9" ht="21" customHeight="1">
      <c r="A39" s="39"/>
      <c r="B39" s="6"/>
      <c r="C39" s="38"/>
      <c r="D39" s="259"/>
      <c r="E39" s="260"/>
      <c r="F39" s="261"/>
      <c r="G39" s="260"/>
      <c r="H39" s="7"/>
      <c r="I39" s="16"/>
    </row>
    <row r="40" spans="1:9" ht="21" customHeight="1">
      <c r="A40" s="39"/>
      <c r="B40" s="6"/>
      <c r="C40" s="38"/>
      <c r="D40" s="259"/>
      <c r="E40" s="260"/>
      <c r="F40" s="261"/>
      <c r="G40" s="260"/>
      <c r="H40" s="7"/>
      <c r="I40" s="7"/>
    </row>
    <row r="41" spans="1:9" ht="21" customHeight="1">
      <c r="A41" s="39"/>
      <c r="B41" s="6"/>
      <c r="C41" s="38"/>
      <c r="D41" s="259"/>
      <c r="E41" s="260"/>
      <c r="F41" s="261"/>
      <c r="G41" s="260"/>
      <c r="H41" s="7"/>
      <c r="I41" s="7"/>
    </row>
    <row r="42" spans="1:9" ht="21" customHeight="1">
      <c r="A42" s="39"/>
      <c r="B42" s="6"/>
      <c r="C42" s="38"/>
      <c r="D42" s="259"/>
      <c r="E42" s="260"/>
      <c r="F42" s="261"/>
      <c r="G42" s="260"/>
      <c r="H42" s="7"/>
      <c r="I42" s="7"/>
    </row>
    <row r="43" spans="1:9" ht="21" customHeight="1">
      <c r="A43" s="39"/>
      <c r="B43" s="6"/>
      <c r="C43" s="38"/>
      <c r="D43" s="259"/>
      <c r="E43" s="260"/>
      <c r="F43" s="261"/>
      <c r="G43" s="260"/>
      <c r="H43" s="7"/>
      <c r="I43" s="7"/>
    </row>
    <row r="44" spans="1:9" ht="21" customHeight="1">
      <c r="A44" s="39"/>
      <c r="B44" s="6"/>
      <c r="C44" s="38"/>
      <c r="D44" s="259"/>
      <c r="E44" s="260"/>
      <c r="F44" s="261"/>
      <c r="G44" s="260"/>
      <c r="H44" s="7"/>
      <c r="I44" s="7"/>
    </row>
    <row r="45" spans="1:9" ht="21" customHeight="1">
      <c r="A45" s="39"/>
      <c r="B45" s="6"/>
      <c r="C45" s="38"/>
      <c r="D45" s="259"/>
      <c r="E45" s="260"/>
      <c r="F45" s="261"/>
      <c r="G45" s="260"/>
      <c r="H45" s="7"/>
      <c r="I45" s="7"/>
    </row>
    <row r="46" spans="1:9" ht="21" customHeight="1">
      <c r="A46" s="39"/>
      <c r="B46" s="6"/>
      <c r="C46" s="38"/>
      <c r="D46" s="259"/>
      <c r="E46" s="260"/>
      <c r="F46" s="261"/>
      <c r="G46" s="260"/>
      <c r="H46" s="7"/>
      <c r="I46" s="7"/>
    </row>
    <row r="47" spans="1:9" ht="21" customHeight="1">
      <c r="A47" s="39"/>
      <c r="B47" s="6"/>
      <c r="C47" s="38"/>
      <c r="D47" s="259"/>
      <c r="E47" s="260"/>
      <c r="F47" s="261"/>
      <c r="G47" s="260"/>
      <c r="H47" s="7"/>
      <c r="I47" s="7"/>
    </row>
    <row r="48" spans="1:9" ht="21" customHeight="1">
      <c r="A48" s="39"/>
      <c r="B48" s="6"/>
      <c r="C48" s="38"/>
      <c r="D48" s="259"/>
      <c r="E48" s="260"/>
      <c r="F48" s="261"/>
      <c r="G48" s="260"/>
      <c r="H48" s="7"/>
      <c r="I48" s="7"/>
    </row>
    <row r="49" spans="1:9" ht="21" customHeight="1">
      <c r="A49" s="39"/>
      <c r="B49" s="6"/>
      <c r="C49" s="38"/>
      <c r="D49" s="259"/>
      <c r="E49" s="260"/>
      <c r="F49" s="261"/>
      <c r="G49" s="260"/>
      <c r="H49" s="7"/>
      <c r="I49" s="7"/>
    </row>
    <row r="50" spans="1:9" ht="21" customHeight="1">
      <c r="A50" s="39"/>
      <c r="B50" s="6"/>
      <c r="C50" s="38"/>
      <c r="D50" s="259"/>
      <c r="E50" s="260"/>
      <c r="F50" s="261"/>
      <c r="G50" s="260"/>
      <c r="H50" s="7"/>
      <c r="I50" s="7"/>
    </row>
    <row r="51" spans="1:9" ht="21" customHeight="1">
      <c r="A51" s="39"/>
      <c r="B51" s="6"/>
      <c r="C51" s="38"/>
      <c r="D51" s="259"/>
      <c r="E51" s="260"/>
      <c r="F51" s="261"/>
      <c r="G51" s="260"/>
      <c r="H51" s="7"/>
      <c r="I51" s="7"/>
    </row>
    <row r="52" spans="1:9" ht="21" customHeight="1">
      <c r="A52" s="39"/>
      <c r="B52" s="6"/>
      <c r="C52" s="38"/>
      <c r="D52" s="259"/>
      <c r="E52" s="260"/>
      <c r="F52" s="261"/>
      <c r="G52" s="260"/>
      <c r="H52" s="7"/>
      <c r="I52" s="7"/>
    </row>
    <row r="53" spans="1:9" ht="21" customHeight="1">
      <c r="A53" s="39"/>
      <c r="B53" s="6"/>
      <c r="C53" s="38"/>
      <c r="D53" s="259"/>
      <c r="E53" s="260"/>
      <c r="F53" s="261"/>
      <c r="G53" s="260"/>
      <c r="H53" s="7"/>
      <c r="I53" s="7"/>
    </row>
    <row r="54" spans="1:9" ht="21" customHeight="1">
      <c r="A54" s="39"/>
      <c r="B54" s="6"/>
      <c r="C54" s="38"/>
      <c r="D54" s="259"/>
      <c r="E54" s="260"/>
      <c r="F54" s="261"/>
      <c r="G54" s="260"/>
      <c r="H54" s="7"/>
      <c r="I54" s="7"/>
    </row>
    <row r="55" spans="1:9" ht="21" customHeight="1">
      <c r="A55" s="39"/>
      <c r="B55" s="6"/>
      <c r="C55" s="38"/>
      <c r="D55" s="259"/>
      <c r="E55" s="260"/>
      <c r="F55" s="261"/>
      <c r="G55" s="260"/>
      <c r="H55" s="7"/>
      <c r="I55" s="7"/>
    </row>
    <row r="56" spans="1:9" ht="21" customHeight="1">
      <c r="A56" s="39"/>
      <c r="B56" s="6"/>
      <c r="C56" s="38"/>
      <c r="D56" s="259"/>
      <c r="E56" s="260"/>
      <c r="F56" s="261"/>
      <c r="G56" s="260"/>
      <c r="H56" s="7"/>
      <c r="I56" s="7"/>
    </row>
    <row r="57" spans="1:9" ht="21" customHeight="1">
      <c r="A57" s="39"/>
      <c r="B57" s="6"/>
      <c r="C57" s="38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8"/>
      <c r="C65" s="9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8"/>
      <c r="C67" s="9"/>
      <c r="D67" s="259"/>
      <c r="E67" s="260"/>
      <c r="F67" s="261"/>
      <c r="G67" s="260"/>
      <c r="H67" s="7"/>
      <c r="I67" s="11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9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</sheetData>
  <mergeCells count="174">
    <mergeCell ref="D87:E87"/>
    <mergeCell ref="F38:G38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D74:E74"/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87:G87"/>
    <mergeCell ref="D63:E63"/>
    <mergeCell ref="D81:E81"/>
    <mergeCell ref="D65:E65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D28:E28"/>
    <mergeCell ref="F22:G22"/>
    <mergeCell ref="D12:E12"/>
    <mergeCell ref="D83:E83"/>
    <mergeCell ref="D25:E25"/>
    <mergeCell ref="F77:G77"/>
    <mergeCell ref="D55:E55"/>
    <mergeCell ref="D30:E30"/>
    <mergeCell ref="D67:E67"/>
    <mergeCell ref="F49:G49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A5:B5"/>
    <mergeCell ref="D14:E14"/>
    <mergeCell ref="E4:G4"/>
    <mergeCell ref="F14:G14"/>
    <mergeCell ref="D54:E54"/>
    <mergeCell ref="F11:G11"/>
    <mergeCell ref="D46:E46"/>
    <mergeCell ref="H4:I4"/>
    <mergeCell ref="D40:E40"/>
    <mergeCell ref="F40:G40"/>
    <mergeCell ref="D21:E21"/>
    <mergeCell ref="F59:G59"/>
    <mergeCell ref="F55:G55"/>
    <mergeCell ref="F12:G12"/>
    <mergeCell ref="F85:G85"/>
    <mergeCell ref="F42:G42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79:E79"/>
    <mergeCell ref="F64:G64"/>
    <mergeCell ref="F73:G73"/>
    <mergeCell ref="D85:E85"/>
    <mergeCell ref="D69:E69"/>
    <mergeCell ref="F69:G69"/>
    <mergeCell ref="F78:G78"/>
    <mergeCell ref="F65:G65"/>
    <mergeCell ref="D80:E80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D26:E26"/>
    <mergeCell ref="F57:G57"/>
    <mergeCell ref="D35:E35"/>
    <mergeCell ref="D10:E10"/>
    <mergeCell ref="F10:G10"/>
    <mergeCell ref="D19:E19"/>
    <mergeCell ref="F54:G54"/>
    <mergeCell ref="D34:E34"/>
    <mergeCell ref="F63:G63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34:G34"/>
    <mergeCell ref="F19:G19"/>
    <mergeCell ref="F74:G74"/>
    <mergeCell ref="F83:G83"/>
    <mergeCell ref="F30:G30"/>
    <mergeCell ref="D76:E76"/>
    <mergeCell ref="F20:G20"/>
    <mergeCell ref="F18:G18"/>
    <mergeCell ref="F33:G33"/>
    <mergeCell ref="F45:G45"/>
    <mergeCell ref="F76:G76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F6:G6"/>
    <mergeCell ref="D11:E11"/>
    <mergeCell ref="D9:E9"/>
    <mergeCell ref="F9:G9"/>
    <mergeCell ref="F24:G24"/>
    <mergeCell ref="D57:E5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T160"/>
  <sheetViews>
    <sheetView zoomScale="90" zoomScaleNormal="90" workbookViewId="0">
      <pane ySplit="6" topLeftCell="A64" activePane="bottomLeft" state="frozen"/>
      <selection activeCell="A21" sqref="A21"/>
      <selection pane="bottomLeft" activeCell="A21" sqref="A2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8.44140625" style="246" customWidth="1"/>
    <col min="6" max="6" width="6.6640625" style="246" customWidth="1"/>
    <col min="7" max="7" width="5.44140625" style="246" customWidth="1"/>
    <col min="8" max="8" width="11.109375" style="246" customWidth="1"/>
    <col min="9" max="9" width="21.44140625" style="246" customWidth="1"/>
    <col min="10" max="10" width="16" style="246" bestFit="1" customWidth="1"/>
  </cols>
  <sheetData>
    <row r="1" spans="1:20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20" ht="34.950000000000003" customHeight="1">
      <c r="A2" s="33" t="s">
        <v>569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20" ht="19.5" customHeight="1">
      <c r="A3" s="23" t="s">
        <v>9</v>
      </c>
      <c r="B3" s="282" t="s">
        <v>556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Zolpidem 10mg</v>
      </c>
      <c r="K3" s="34">
        <v>57306</v>
      </c>
      <c r="L3" s="5">
        <f>H7</f>
        <v>2233</v>
      </c>
      <c r="M3" s="3">
        <f>SUM(C$8:C$1048576)</f>
        <v>3000</v>
      </c>
      <c r="N3" s="3">
        <f>SUM(F:F)</f>
        <v>3043</v>
      </c>
      <c r="O3" s="3">
        <f>L3+M3-N3</f>
        <v>2190</v>
      </c>
    </row>
    <row r="4" spans="1:20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558</v>
      </c>
      <c r="I4" s="269"/>
      <c r="J4" s="12"/>
      <c r="K4" s="3"/>
      <c r="L4" s="3"/>
      <c r="M4" s="3"/>
      <c r="N4" s="3"/>
      <c r="O4" s="3"/>
    </row>
    <row r="5" spans="1:20">
      <c r="A5" s="292" t="s">
        <v>18</v>
      </c>
      <c r="B5" s="260"/>
      <c r="C5" s="293" t="s">
        <v>570</v>
      </c>
      <c r="D5" s="263"/>
      <c r="E5" s="263"/>
      <c r="F5" s="263"/>
      <c r="G5" s="260"/>
      <c r="H5" s="38" t="s">
        <v>20</v>
      </c>
      <c r="I5" s="35" t="s">
        <v>21</v>
      </c>
      <c r="J5" s="12"/>
      <c r="K5" s="3"/>
      <c r="L5" s="3"/>
      <c r="M5" s="3"/>
      <c r="N5" s="3"/>
      <c r="O5" s="3"/>
    </row>
    <row r="6" spans="1:20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20" ht="31.95" customHeight="1">
      <c r="A7" s="196" t="s">
        <v>29</v>
      </c>
      <c r="B7" s="155" t="s">
        <v>5</v>
      </c>
      <c r="C7" s="155">
        <v>2233</v>
      </c>
      <c r="D7" s="280"/>
      <c r="E7" s="260"/>
      <c r="F7" s="280"/>
      <c r="G7" s="260"/>
      <c r="H7" s="155">
        <v>2233</v>
      </c>
      <c r="I7" s="210" t="s">
        <v>571</v>
      </c>
      <c r="J7" s="12"/>
      <c r="K7" s="3"/>
      <c r="L7" s="3"/>
      <c r="M7" s="3"/>
      <c r="N7" s="3"/>
      <c r="O7" s="3"/>
      <c r="R7" s="154"/>
      <c r="S7" s="154"/>
      <c r="T7" s="154"/>
    </row>
    <row r="8" spans="1:20" ht="31.95" customHeight="1">
      <c r="A8" s="39" t="s">
        <v>521</v>
      </c>
      <c r="B8" s="39" t="s">
        <v>323</v>
      </c>
      <c r="C8" s="38"/>
      <c r="D8" s="279"/>
      <c r="E8" s="260"/>
      <c r="F8" s="279">
        <v>28</v>
      </c>
      <c r="G8" s="260"/>
      <c r="H8" s="38">
        <f t="shared" ref="H8:H19" si="0">H7-F8</f>
        <v>2205</v>
      </c>
      <c r="I8" s="35"/>
      <c r="J8" s="12"/>
      <c r="K8" s="3"/>
      <c r="L8" s="3"/>
      <c r="M8" s="3"/>
      <c r="N8" s="3"/>
      <c r="O8" s="3"/>
      <c r="R8" s="150"/>
      <c r="S8" s="150"/>
      <c r="T8" s="150"/>
    </row>
    <row r="9" spans="1:20" ht="26.7" customHeight="1">
      <c r="A9" s="39" t="s">
        <v>572</v>
      </c>
      <c r="B9" s="39" t="s">
        <v>323</v>
      </c>
      <c r="C9" s="38"/>
      <c r="D9" s="279"/>
      <c r="E9" s="260"/>
      <c r="F9" s="279">
        <v>60</v>
      </c>
      <c r="G9" s="260"/>
      <c r="H9" s="38">
        <f t="shared" si="0"/>
        <v>2145</v>
      </c>
      <c r="I9" s="26"/>
      <c r="J9" s="12"/>
      <c r="K9" s="3"/>
      <c r="L9" s="3"/>
      <c r="M9" s="3"/>
      <c r="N9" s="3"/>
      <c r="O9" s="3"/>
      <c r="R9" s="150"/>
      <c r="S9" s="150"/>
      <c r="T9" s="224"/>
    </row>
    <row r="10" spans="1:20" ht="26.7" customHeight="1">
      <c r="A10" s="39" t="s">
        <v>333</v>
      </c>
      <c r="B10" s="38" t="s">
        <v>323</v>
      </c>
      <c r="C10" s="38"/>
      <c r="D10" s="279"/>
      <c r="E10" s="260"/>
      <c r="F10" s="279">
        <v>90</v>
      </c>
      <c r="G10" s="260"/>
      <c r="H10" s="38">
        <f t="shared" si="0"/>
        <v>2055</v>
      </c>
      <c r="I10" s="26"/>
      <c r="J10" s="12"/>
      <c r="K10" s="3"/>
      <c r="L10" s="3"/>
      <c r="M10" s="3"/>
      <c r="N10" s="3"/>
      <c r="O10" s="3"/>
      <c r="R10" s="150"/>
      <c r="S10" s="150"/>
      <c r="T10" s="150"/>
    </row>
    <row r="11" spans="1:20" ht="26.7" customHeight="1">
      <c r="A11" s="39" t="s">
        <v>334</v>
      </c>
      <c r="B11" s="38" t="s">
        <v>323</v>
      </c>
      <c r="C11" s="38"/>
      <c r="D11" s="279"/>
      <c r="E11" s="260"/>
      <c r="F11" s="279">
        <v>30</v>
      </c>
      <c r="G11" s="260"/>
      <c r="H11" s="38">
        <f t="shared" si="0"/>
        <v>2025</v>
      </c>
      <c r="I11" s="26"/>
      <c r="J11" s="12"/>
      <c r="K11" s="3"/>
      <c r="L11" s="3"/>
      <c r="M11" s="3"/>
      <c r="N11" s="3"/>
      <c r="O11" s="3"/>
      <c r="R11" s="150"/>
      <c r="S11" s="150"/>
      <c r="T11" s="150"/>
    </row>
    <row r="12" spans="1:20" ht="26.7" customHeight="1">
      <c r="A12" s="39" t="s">
        <v>409</v>
      </c>
      <c r="B12" s="38" t="s">
        <v>323</v>
      </c>
      <c r="C12" s="38"/>
      <c r="D12" s="279"/>
      <c r="E12" s="260"/>
      <c r="F12" s="279">
        <v>28</v>
      </c>
      <c r="G12" s="260"/>
      <c r="H12" s="38">
        <f t="shared" si="0"/>
        <v>1997</v>
      </c>
      <c r="I12" s="27"/>
      <c r="J12" s="12"/>
      <c r="K12" s="3"/>
      <c r="L12" s="3"/>
      <c r="M12" s="3"/>
      <c r="N12" s="3"/>
      <c r="O12" s="3"/>
      <c r="R12" s="150"/>
      <c r="S12" s="150"/>
      <c r="T12" s="150"/>
    </row>
    <row r="13" spans="1:20" ht="26.7" customHeight="1">
      <c r="A13" s="39" t="s">
        <v>335</v>
      </c>
      <c r="B13" s="38" t="s">
        <v>323</v>
      </c>
      <c r="C13" s="7"/>
      <c r="D13" s="259"/>
      <c r="E13" s="260"/>
      <c r="F13" s="279">
        <v>60</v>
      </c>
      <c r="G13" s="260"/>
      <c r="H13" s="38">
        <f t="shared" si="0"/>
        <v>1937</v>
      </c>
      <c r="I13" s="26"/>
      <c r="J13" s="12"/>
      <c r="K13" s="3"/>
      <c r="L13" s="3"/>
      <c r="M13" s="3"/>
      <c r="N13" s="3"/>
      <c r="O13" s="3"/>
      <c r="R13" s="150"/>
      <c r="S13" s="150"/>
      <c r="T13" s="150"/>
    </row>
    <row r="14" spans="1:20" ht="26.7" customHeight="1">
      <c r="A14" s="39" t="s">
        <v>463</v>
      </c>
      <c r="B14" s="38" t="s">
        <v>323</v>
      </c>
      <c r="C14" s="7"/>
      <c r="D14" s="259"/>
      <c r="E14" s="260"/>
      <c r="F14" s="279">
        <v>15</v>
      </c>
      <c r="G14" s="260"/>
      <c r="H14" s="38">
        <f t="shared" si="0"/>
        <v>1922</v>
      </c>
      <c r="I14" s="26"/>
      <c r="J14" s="12"/>
      <c r="K14" s="3"/>
      <c r="L14" s="3"/>
      <c r="M14" s="3"/>
      <c r="N14" s="3"/>
      <c r="O14" s="3"/>
      <c r="R14" s="150"/>
      <c r="S14" s="150"/>
      <c r="T14" s="150"/>
    </row>
    <row r="15" spans="1:20" ht="26.7" customHeight="1">
      <c r="A15" s="39" t="s">
        <v>523</v>
      </c>
      <c r="B15" s="38" t="s">
        <v>323</v>
      </c>
      <c r="C15" s="7"/>
      <c r="D15" s="259"/>
      <c r="E15" s="260"/>
      <c r="F15" s="279">
        <v>14</v>
      </c>
      <c r="G15" s="260"/>
      <c r="H15" s="38">
        <f t="shared" si="0"/>
        <v>1908</v>
      </c>
      <c r="I15" s="26"/>
      <c r="J15" s="12"/>
      <c r="K15" s="3"/>
      <c r="L15" s="3"/>
      <c r="M15" s="3"/>
      <c r="N15" s="3"/>
      <c r="O15" s="3"/>
      <c r="R15" s="150"/>
      <c r="S15" s="150"/>
      <c r="T15" s="150"/>
    </row>
    <row r="16" spans="1:20" ht="26.7" customHeight="1">
      <c r="A16" s="39" t="s">
        <v>573</v>
      </c>
      <c r="B16" s="38" t="s">
        <v>323</v>
      </c>
      <c r="C16" s="7"/>
      <c r="D16" s="259"/>
      <c r="E16" s="260"/>
      <c r="F16" s="279">
        <v>28</v>
      </c>
      <c r="G16" s="260"/>
      <c r="H16" s="38">
        <f t="shared" si="0"/>
        <v>1880</v>
      </c>
      <c r="I16" s="26"/>
      <c r="J16" s="12"/>
      <c r="K16" s="3"/>
      <c r="L16" s="3"/>
      <c r="M16" s="3"/>
      <c r="N16" s="3"/>
      <c r="O16" s="3"/>
      <c r="R16" s="150"/>
      <c r="S16" s="150"/>
      <c r="T16" s="150"/>
    </row>
    <row r="17" spans="1:20" ht="26.7" customHeight="1">
      <c r="A17" s="39" t="s">
        <v>434</v>
      </c>
      <c r="B17" s="38" t="s">
        <v>323</v>
      </c>
      <c r="C17" s="7"/>
      <c r="D17" s="259"/>
      <c r="E17" s="260"/>
      <c r="F17" s="279">
        <v>30</v>
      </c>
      <c r="G17" s="260"/>
      <c r="H17" s="38">
        <f t="shared" si="0"/>
        <v>1850</v>
      </c>
      <c r="I17" s="26"/>
      <c r="J17" s="12"/>
      <c r="K17" s="3"/>
      <c r="L17" s="3"/>
      <c r="M17" s="3"/>
      <c r="N17" s="3"/>
      <c r="O17" s="3"/>
      <c r="R17" s="150"/>
      <c r="S17" s="150"/>
      <c r="T17" s="150"/>
    </row>
    <row r="18" spans="1:20" ht="26.7" customHeight="1">
      <c r="A18" s="39" t="s">
        <v>524</v>
      </c>
      <c r="B18" s="38" t="s">
        <v>323</v>
      </c>
      <c r="C18" s="7"/>
      <c r="D18" s="259"/>
      <c r="E18" s="260"/>
      <c r="F18" s="279">
        <v>60</v>
      </c>
      <c r="G18" s="260"/>
      <c r="H18" s="38">
        <f t="shared" si="0"/>
        <v>1790</v>
      </c>
      <c r="I18" s="26"/>
      <c r="J18" s="12"/>
      <c r="R18" s="150"/>
      <c r="S18" s="150"/>
      <c r="T18" s="150"/>
    </row>
    <row r="19" spans="1:20" ht="26.7" customHeight="1">
      <c r="A19" s="39" t="s">
        <v>338</v>
      </c>
      <c r="B19" s="38" t="s">
        <v>323</v>
      </c>
      <c r="C19" s="7"/>
      <c r="D19" s="259"/>
      <c r="E19" s="260"/>
      <c r="F19" s="279">
        <v>90</v>
      </c>
      <c r="G19" s="260"/>
      <c r="H19" s="38">
        <f t="shared" si="0"/>
        <v>1700</v>
      </c>
      <c r="I19" s="26"/>
      <c r="J19" s="12"/>
      <c r="R19" s="150"/>
      <c r="S19" s="150"/>
      <c r="T19" s="150"/>
    </row>
    <row r="20" spans="1:20" ht="26.7" customHeight="1">
      <c r="A20" s="39" t="s">
        <v>383</v>
      </c>
      <c r="B20" s="38" t="s">
        <v>324</v>
      </c>
      <c r="C20" s="7">
        <v>1000</v>
      </c>
      <c r="D20" s="259" t="s">
        <v>574</v>
      </c>
      <c r="E20" s="260"/>
      <c r="F20" s="279"/>
      <c r="G20" s="260"/>
      <c r="H20" s="38">
        <v>2700</v>
      </c>
      <c r="I20" s="26" t="s">
        <v>575</v>
      </c>
      <c r="J20" s="12"/>
      <c r="R20" s="150"/>
      <c r="S20" s="150"/>
      <c r="T20" s="150"/>
    </row>
    <row r="21" spans="1:20" ht="26.7" customHeight="1">
      <c r="A21" s="39" t="s">
        <v>383</v>
      </c>
      <c r="B21" s="38" t="s">
        <v>323</v>
      </c>
      <c r="C21" s="7"/>
      <c r="D21" s="259"/>
      <c r="E21" s="260"/>
      <c r="F21" s="279">
        <v>7</v>
      </c>
      <c r="G21" s="260"/>
      <c r="H21" s="38">
        <f t="shared" ref="H21:H68" si="1">H20-F21</f>
        <v>2693</v>
      </c>
      <c r="I21" s="26"/>
      <c r="J21" s="12"/>
      <c r="R21" s="150"/>
      <c r="S21" s="150"/>
      <c r="T21" s="150"/>
    </row>
    <row r="22" spans="1:20" ht="26.7" customHeight="1">
      <c r="A22" s="39" t="s">
        <v>473</v>
      </c>
      <c r="B22" s="38" t="s">
        <v>323</v>
      </c>
      <c r="C22" s="7"/>
      <c r="D22" s="259"/>
      <c r="E22" s="260"/>
      <c r="F22" s="279">
        <v>30</v>
      </c>
      <c r="G22" s="260"/>
      <c r="H22" s="38">
        <f t="shared" si="1"/>
        <v>2663</v>
      </c>
      <c r="I22" s="108" t="s">
        <v>576</v>
      </c>
      <c r="J22" s="12"/>
      <c r="R22" s="150"/>
      <c r="S22" s="150"/>
      <c r="T22" s="150"/>
    </row>
    <row r="23" spans="1:20" ht="26.7" customHeight="1">
      <c r="A23" s="39" t="s">
        <v>339</v>
      </c>
      <c r="B23" s="38" t="s">
        <v>323</v>
      </c>
      <c r="C23" s="7"/>
      <c r="D23" s="259"/>
      <c r="E23" s="260"/>
      <c r="F23" s="279">
        <v>30</v>
      </c>
      <c r="G23" s="260"/>
      <c r="H23" s="38">
        <f t="shared" si="1"/>
        <v>2633</v>
      </c>
      <c r="I23" s="26"/>
      <c r="J23" s="12"/>
      <c r="R23" s="150"/>
      <c r="S23" s="150"/>
      <c r="T23" s="150"/>
    </row>
    <row r="24" spans="1:20" ht="26.7" customHeight="1">
      <c r="A24" s="39" t="s">
        <v>577</v>
      </c>
      <c r="B24" s="38" t="s">
        <v>323</v>
      </c>
      <c r="C24" s="38"/>
      <c r="D24" s="279"/>
      <c r="E24" s="260"/>
      <c r="F24" s="279">
        <v>28</v>
      </c>
      <c r="G24" s="260"/>
      <c r="H24" s="38">
        <f t="shared" si="1"/>
        <v>2605</v>
      </c>
      <c r="I24" s="37"/>
      <c r="J24" s="12"/>
      <c r="R24" s="150"/>
      <c r="S24" s="150"/>
      <c r="T24" s="150"/>
    </row>
    <row r="25" spans="1:20" ht="26.7" customHeight="1">
      <c r="A25" s="39" t="s">
        <v>525</v>
      </c>
      <c r="B25" s="38" t="s">
        <v>323</v>
      </c>
      <c r="C25" s="7"/>
      <c r="D25" s="259"/>
      <c r="E25" s="260"/>
      <c r="F25" s="279">
        <v>15</v>
      </c>
      <c r="G25" s="260"/>
      <c r="H25" s="38">
        <f t="shared" si="1"/>
        <v>2590</v>
      </c>
      <c r="I25" s="26"/>
      <c r="J25" s="12"/>
      <c r="R25" s="150"/>
      <c r="S25" s="150"/>
      <c r="T25" s="150"/>
    </row>
    <row r="26" spans="1:20" ht="26.7" customHeight="1">
      <c r="A26" s="39" t="s">
        <v>474</v>
      </c>
      <c r="B26" s="38" t="s">
        <v>323</v>
      </c>
      <c r="C26" s="7"/>
      <c r="D26" s="259"/>
      <c r="E26" s="260"/>
      <c r="F26" s="279">
        <v>86</v>
      </c>
      <c r="G26" s="260"/>
      <c r="H26" s="38">
        <f t="shared" si="1"/>
        <v>2504</v>
      </c>
      <c r="I26" s="28"/>
      <c r="J26" s="12"/>
      <c r="R26" s="150"/>
      <c r="S26" s="150"/>
      <c r="T26" s="150"/>
    </row>
    <row r="27" spans="1:20" ht="26.7" customHeight="1">
      <c r="A27" s="38" t="s">
        <v>384</v>
      </c>
      <c r="B27" s="38" t="s">
        <v>323</v>
      </c>
      <c r="C27" s="7"/>
      <c r="D27" s="259"/>
      <c r="E27" s="260"/>
      <c r="F27" s="279">
        <v>30</v>
      </c>
      <c r="G27" s="260"/>
      <c r="H27" s="38">
        <f t="shared" si="1"/>
        <v>2474</v>
      </c>
      <c r="I27" s="26"/>
      <c r="J27" s="12"/>
      <c r="R27" s="150"/>
      <c r="S27" s="150"/>
      <c r="T27" s="150"/>
    </row>
    <row r="28" spans="1:20" ht="26.7" customHeight="1">
      <c r="A28" s="39" t="s">
        <v>436</v>
      </c>
      <c r="B28" s="38" t="s">
        <v>323</v>
      </c>
      <c r="C28" s="7"/>
      <c r="D28" s="259"/>
      <c r="E28" s="260"/>
      <c r="F28" s="279">
        <v>28</v>
      </c>
      <c r="G28" s="260"/>
      <c r="H28" s="38">
        <f t="shared" si="1"/>
        <v>2446</v>
      </c>
      <c r="I28" s="26"/>
      <c r="J28" s="12"/>
      <c r="R28" s="150"/>
      <c r="S28" s="150"/>
      <c r="T28" s="150"/>
    </row>
    <row r="29" spans="1:20" ht="26.7" customHeight="1">
      <c r="A29" s="39" t="s">
        <v>578</v>
      </c>
      <c r="B29" s="38" t="s">
        <v>323</v>
      </c>
      <c r="C29" s="7"/>
      <c r="D29" s="259"/>
      <c r="E29" s="260"/>
      <c r="F29" s="279">
        <v>30</v>
      </c>
      <c r="G29" s="260"/>
      <c r="H29" s="38">
        <f t="shared" si="1"/>
        <v>2416</v>
      </c>
      <c r="I29" s="26"/>
      <c r="J29" s="12"/>
    </row>
    <row r="30" spans="1:20" ht="26.7" customHeight="1">
      <c r="A30" s="41" t="s">
        <v>477</v>
      </c>
      <c r="B30" s="38" t="s">
        <v>323</v>
      </c>
      <c r="C30" s="7"/>
      <c r="D30" s="259"/>
      <c r="E30" s="260"/>
      <c r="F30" s="279">
        <v>60</v>
      </c>
      <c r="G30" s="260"/>
      <c r="H30" s="38">
        <f t="shared" si="1"/>
        <v>2356</v>
      </c>
      <c r="I30" s="108"/>
      <c r="J30" s="12"/>
    </row>
    <row r="31" spans="1:20" ht="26.7" customHeight="1" thickBot="1">
      <c r="A31" s="41" t="s">
        <v>386</v>
      </c>
      <c r="B31" s="38" t="s">
        <v>323</v>
      </c>
      <c r="C31" s="38"/>
      <c r="D31" s="279"/>
      <c r="E31" s="260"/>
      <c r="F31" s="279">
        <v>60</v>
      </c>
      <c r="G31" s="260"/>
      <c r="H31" s="38">
        <f t="shared" si="1"/>
        <v>2296</v>
      </c>
      <c r="I31" s="32"/>
      <c r="J31" s="12"/>
    </row>
    <row r="32" spans="1:20" ht="21" customHeight="1">
      <c r="A32" s="39" t="s">
        <v>341</v>
      </c>
      <c r="B32" s="38" t="s">
        <v>323</v>
      </c>
      <c r="C32" s="38"/>
      <c r="D32" s="279"/>
      <c r="E32" s="260"/>
      <c r="F32" s="279">
        <v>30</v>
      </c>
      <c r="G32" s="260"/>
      <c r="H32" s="38">
        <f t="shared" si="1"/>
        <v>2266</v>
      </c>
      <c r="I32" s="22"/>
      <c r="J32" s="3"/>
    </row>
    <row r="33" spans="1:9" ht="21" customHeight="1">
      <c r="A33" s="39" t="s">
        <v>343</v>
      </c>
      <c r="B33" s="38" t="s">
        <v>323</v>
      </c>
      <c r="C33" s="38"/>
      <c r="D33" s="279"/>
      <c r="E33" s="260"/>
      <c r="F33" s="279">
        <v>30</v>
      </c>
      <c r="G33" s="260"/>
      <c r="H33" s="38">
        <f t="shared" si="1"/>
        <v>2236</v>
      </c>
      <c r="I33" s="7"/>
    </row>
    <row r="34" spans="1:9" ht="21" customHeight="1">
      <c r="A34" s="107" t="s">
        <v>478</v>
      </c>
      <c r="B34" s="38" t="s">
        <v>323</v>
      </c>
      <c r="C34" s="38"/>
      <c r="D34" s="279"/>
      <c r="E34" s="260"/>
      <c r="F34" s="279">
        <v>88</v>
      </c>
      <c r="G34" s="260"/>
      <c r="H34" s="38">
        <f t="shared" si="1"/>
        <v>2148</v>
      </c>
      <c r="I34" s="7"/>
    </row>
    <row r="35" spans="1:9" ht="21" customHeight="1">
      <c r="A35" s="39" t="s">
        <v>346</v>
      </c>
      <c r="B35" s="38" t="s">
        <v>323</v>
      </c>
      <c r="C35" s="38"/>
      <c r="D35" s="279"/>
      <c r="E35" s="260"/>
      <c r="F35" s="279">
        <v>30</v>
      </c>
      <c r="G35" s="260"/>
      <c r="H35" s="38">
        <f t="shared" si="1"/>
        <v>2118</v>
      </c>
      <c r="I35" s="7"/>
    </row>
    <row r="36" spans="1:9" ht="21" customHeight="1">
      <c r="A36" s="39" t="s">
        <v>527</v>
      </c>
      <c r="B36" s="38" t="s">
        <v>323</v>
      </c>
      <c r="C36" s="38"/>
      <c r="D36" s="279"/>
      <c r="E36" s="260"/>
      <c r="F36" s="279">
        <v>30</v>
      </c>
      <c r="G36" s="260"/>
      <c r="H36" s="38">
        <f t="shared" si="1"/>
        <v>2088</v>
      </c>
      <c r="I36" s="7"/>
    </row>
    <row r="37" spans="1:9" ht="21" customHeight="1">
      <c r="A37" s="39" t="s">
        <v>481</v>
      </c>
      <c r="B37" s="38" t="s">
        <v>323</v>
      </c>
      <c r="C37" s="38"/>
      <c r="D37" s="279"/>
      <c r="E37" s="260"/>
      <c r="F37" s="279">
        <v>15</v>
      </c>
      <c r="G37" s="260"/>
      <c r="H37" s="38">
        <f t="shared" si="1"/>
        <v>2073</v>
      </c>
      <c r="I37" s="7"/>
    </row>
    <row r="38" spans="1:9">
      <c r="A38" s="39" t="s">
        <v>438</v>
      </c>
      <c r="B38" s="38" t="s">
        <v>323</v>
      </c>
      <c r="C38" s="38"/>
      <c r="D38" s="279"/>
      <c r="E38" s="260"/>
      <c r="F38" s="279">
        <v>30</v>
      </c>
      <c r="G38" s="260"/>
      <c r="H38" s="38">
        <f t="shared" si="1"/>
        <v>2043</v>
      </c>
      <c r="I38" s="37"/>
    </row>
    <row r="39" spans="1:9" ht="21" customHeight="1">
      <c r="A39" s="39" t="s">
        <v>530</v>
      </c>
      <c r="B39" s="38" t="s">
        <v>323</v>
      </c>
      <c r="C39" s="38"/>
      <c r="D39" s="279"/>
      <c r="E39" s="260"/>
      <c r="F39" s="279">
        <v>28</v>
      </c>
      <c r="G39" s="260"/>
      <c r="H39" s="38">
        <f t="shared" si="1"/>
        <v>2015</v>
      </c>
      <c r="I39" s="7"/>
    </row>
    <row r="40" spans="1:9" ht="21" customHeight="1">
      <c r="A40" s="39" t="s">
        <v>348</v>
      </c>
      <c r="B40" s="38" t="s">
        <v>323</v>
      </c>
      <c r="C40" s="38"/>
      <c r="D40" s="279"/>
      <c r="E40" s="260"/>
      <c r="F40" s="279">
        <v>58</v>
      </c>
      <c r="G40" s="260"/>
      <c r="H40" s="38">
        <f t="shared" si="1"/>
        <v>1957</v>
      </c>
      <c r="I40" s="7"/>
    </row>
    <row r="41" spans="1:9" ht="21" customHeight="1">
      <c r="A41" s="39" t="s">
        <v>531</v>
      </c>
      <c r="B41" s="38" t="s">
        <v>323</v>
      </c>
      <c r="C41" s="38"/>
      <c r="D41" s="279"/>
      <c r="E41" s="260"/>
      <c r="F41" s="279">
        <v>28</v>
      </c>
      <c r="G41" s="260"/>
      <c r="H41" s="38">
        <f t="shared" si="1"/>
        <v>1929</v>
      </c>
      <c r="I41" s="7"/>
    </row>
    <row r="42" spans="1:9" ht="21" customHeight="1">
      <c r="A42" s="39" t="s">
        <v>350</v>
      </c>
      <c r="B42" s="38" t="s">
        <v>323</v>
      </c>
      <c r="C42" s="38"/>
      <c r="D42" s="279"/>
      <c r="E42" s="260"/>
      <c r="F42" s="279">
        <v>30</v>
      </c>
      <c r="G42" s="260"/>
      <c r="H42" s="38">
        <f t="shared" si="1"/>
        <v>1899</v>
      </c>
      <c r="I42" s="7"/>
    </row>
    <row r="43" spans="1:9" ht="21" customHeight="1">
      <c r="A43" s="39" t="s">
        <v>533</v>
      </c>
      <c r="B43" s="38" t="s">
        <v>323</v>
      </c>
      <c r="C43" s="38"/>
      <c r="D43" s="279"/>
      <c r="E43" s="260"/>
      <c r="F43" s="279">
        <v>28</v>
      </c>
      <c r="G43" s="260"/>
      <c r="H43" s="38">
        <f t="shared" si="1"/>
        <v>1871</v>
      </c>
      <c r="I43" s="7"/>
    </row>
    <row r="44" spans="1:9" ht="21" customHeight="1">
      <c r="A44" s="39" t="s">
        <v>536</v>
      </c>
      <c r="B44" s="38" t="s">
        <v>323</v>
      </c>
      <c r="C44" s="38"/>
      <c r="D44" s="279"/>
      <c r="E44" s="260"/>
      <c r="F44" s="279">
        <v>30</v>
      </c>
      <c r="G44" s="260"/>
      <c r="H44" s="38">
        <f t="shared" si="1"/>
        <v>1841</v>
      </c>
      <c r="I44" s="7"/>
    </row>
    <row r="45" spans="1:9" ht="21" customHeight="1">
      <c r="A45" s="39" t="s">
        <v>351</v>
      </c>
      <c r="B45" s="38" t="s">
        <v>323</v>
      </c>
      <c r="C45" s="38"/>
      <c r="D45" s="279"/>
      <c r="E45" s="260"/>
      <c r="F45" s="279">
        <v>60</v>
      </c>
      <c r="G45" s="260"/>
      <c r="H45" s="38">
        <f t="shared" si="1"/>
        <v>1781</v>
      </c>
      <c r="I45" s="16"/>
    </row>
    <row r="46" spans="1:9" ht="21" customHeight="1">
      <c r="A46" s="39" t="s">
        <v>390</v>
      </c>
      <c r="B46" s="38" t="s">
        <v>323</v>
      </c>
      <c r="C46" s="38"/>
      <c r="D46" s="279"/>
      <c r="E46" s="260"/>
      <c r="F46" s="279">
        <v>30</v>
      </c>
      <c r="G46" s="260"/>
      <c r="H46" s="38">
        <f t="shared" si="1"/>
        <v>1751</v>
      </c>
      <c r="I46" s="7"/>
    </row>
    <row r="47" spans="1:9" ht="21" customHeight="1">
      <c r="A47" s="41" t="s">
        <v>440</v>
      </c>
      <c r="B47" s="38" t="s">
        <v>323</v>
      </c>
      <c r="C47" s="38"/>
      <c r="D47" s="279"/>
      <c r="E47" s="260"/>
      <c r="F47" s="279">
        <v>28</v>
      </c>
      <c r="G47" s="260"/>
      <c r="H47" s="38">
        <f t="shared" si="1"/>
        <v>1723</v>
      </c>
      <c r="I47" s="7"/>
    </row>
    <row r="48" spans="1:9" ht="21" customHeight="1">
      <c r="A48" s="39" t="s">
        <v>579</v>
      </c>
      <c r="B48" s="38" t="s">
        <v>323</v>
      </c>
      <c r="C48" s="38"/>
      <c r="D48" s="279"/>
      <c r="E48" s="260"/>
      <c r="F48" s="279">
        <v>60</v>
      </c>
      <c r="G48" s="260"/>
      <c r="H48" s="38">
        <f t="shared" si="1"/>
        <v>1663</v>
      </c>
      <c r="I48" s="7"/>
    </row>
    <row r="49" spans="1:9" ht="21" customHeight="1">
      <c r="A49" s="39" t="s">
        <v>485</v>
      </c>
      <c r="B49" s="38" t="s">
        <v>323</v>
      </c>
      <c r="C49" s="38"/>
      <c r="D49" s="279"/>
      <c r="E49" s="260"/>
      <c r="F49" s="279">
        <v>30</v>
      </c>
      <c r="G49" s="260"/>
      <c r="H49" s="38">
        <f t="shared" si="1"/>
        <v>1633</v>
      </c>
      <c r="I49" s="7"/>
    </row>
    <row r="50" spans="1:9" ht="21" customHeight="1">
      <c r="A50" s="39" t="s">
        <v>441</v>
      </c>
      <c r="B50" s="38" t="s">
        <v>323</v>
      </c>
      <c r="C50" s="38"/>
      <c r="D50" s="279"/>
      <c r="E50" s="260"/>
      <c r="F50" s="279">
        <v>45</v>
      </c>
      <c r="G50" s="260"/>
      <c r="H50" s="38">
        <f t="shared" si="1"/>
        <v>1588</v>
      </c>
      <c r="I50" s="7"/>
    </row>
    <row r="51" spans="1:9" ht="21" customHeight="1">
      <c r="A51" s="39" t="s">
        <v>489</v>
      </c>
      <c r="B51" s="38" t="s">
        <v>323</v>
      </c>
      <c r="C51" s="38"/>
      <c r="D51" s="279"/>
      <c r="E51" s="260"/>
      <c r="F51" s="279">
        <v>28</v>
      </c>
      <c r="G51" s="260"/>
      <c r="H51" s="38">
        <f t="shared" si="1"/>
        <v>1560</v>
      </c>
      <c r="I51" s="7"/>
    </row>
    <row r="52" spans="1:9" ht="21" customHeight="1">
      <c r="A52" s="39" t="s">
        <v>392</v>
      </c>
      <c r="B52" s="38" t="s">
        <v>323</v>
      </c>
      <c r="C52" s="38"/>
      <c r="D52" s="279"/>
      <c r="E52" s="260"/>
      <c r="F52" s="279">
        <v>30</v>
      </c>
      <c r="G52" s="260"/>
      <c r="H52" s="38">
        <f t="shared" si="1"/>
        <v>1530</v>
      </c>
      <c r="I52" s="7"/>
    </row>
    <row r="53" spans="1:9" ht="21" customHeight="1">
      <c r="A53" s="39" t="s">
        <v>580</v>
      </c>
      <c r="B53" s="38" t="s">
        <v>323</v>
      </c>
      <c r="C53" s="38"/>
      <c r="D53" s="279"/>
      <c r="E53" s="260"/>
      <c r="F53" s="279">
        <v>28</v>
      </c>
      <c r="G53" s="260"/>
      <c r="H53" s="38">
        <f t="shared" si="1"/>
        <v>1502</v>
      </c>
      <c r="I53" s="7"/>
    </row>
    <row r="54" spans="1:9" ht="21" customHeight="1">
      <c r="A54" s="39" t="s">
        <v>354</v>
      </c>
      <c r="B54" s="38" t="s">
        <v>323</v>
      </c>
      <c r="C54" s="38"/>
      <c r="D54" s="279"/>
      <c r="E54" s="260"/>
      <c r="F54" s="279">
        <v>30</v>
      </c>
      <c r="G54" s="260"/>
      <c r="H54" s="38">
        <f t="shared" si="1"/>
        <v>1472</v>
      </c>
      <c r="I54" s="7"/>
    </row>
    <row r="55" spans="1:9" ht="21" customHeight="1">
      <c r="A55" s="39" t="s">
        <v>355</v>
      </c>
      <c r="B55" s="38" t="s">
        <v>323</v>
      </c>
      <c r="C55" s="38"/>
      <c r="D55" s="279"/>
      <c r="E55" s="260"/>
      <c r="F55" s="279">
        <v>60</v>
      </c>
      <c r="G55" s="260"/>
      <c r="H55" s="38">
        <f t="shared" si="1"/>
        <v>1412</v>
      </c>
      <c r="I55" s="7"/>
    </row>
    <row r="56" spans="1:9" ht="21" customHeight="1">
      <c r="A56" s="39" t="s">
        <v>416</v>
      </c>
      <c r="B56" s="38" t="s">
        <v>323</v>
      </c>
      <c r="C56" s="38"/>
      <c r="D56" s="279"/>
      <c r="E56" s="260"/>
      <c r="F56" s="279">
        <v>7</v>
      </c>
      <c r="G56" s="260"/>
      <c r="H56" s="38">
        <f t="shared" si="1"/>
        <v>1405</v>
      </c>
      <c r="I56" s="7"/>
    </row>
    <row r="57" spans="1:9" ht="21" customHeight="1">
      <c r="A57" s="39" t="s">
        <v>394</v>
      </c>
      <c r="B57" s="38" t="s">
        <v>323</v>
      </c>
      <c r="C57" s="38"/>
      <c r="D57" s="279"/>
      <c r="E57" s="260"/>
      <c r="F57" s="279">
        <v>90</v>
      </c>
      <c r="G57" s="260"/>
      <c r="H57" s="38">
        <f t="shared" si="1"/>
        <v>1315</v>
      </c>
      <c r="I57" s="7"/>
    </row>
    <row r="58" spans="1:9" ht="21" customHeight="1">
      <c r="A58" s="39" t="s">
        <v>581</v>
      </c>
      <c r="B58" s="38" t="s">
        <v>323</v>
      </c>
      <c r="C58" s="38"/>
      <c r="D58" s="279"/>
      <c r="E58" s="260"/>
      <c r="F58" s="279">
        <v>28</v>
      </c>
      <c r="G58" s="260"/>
      <c r="H58" s="38">
        <f t="shared" si="1"/>
        <v>1287</v>
      </c>
      <c r="I58" s="7"/>
    </row>
    <row r="59" spans="1:9" ht="21" customHeight="1">
      <c r="A59" s="39" t="s">
        <v>493</v>
      </c>
      <c r="B59" s="38" t="s">
        <v>323</v>
      </c>
      <c r="C59" s="38"/>
      <c r="D59" s="279"/>
      <c r="E59" s="260"/>
      <c r="F59" s="279">
        <v>60</v>
      </c>
      <c r="G59" s="260"/>
      <c r="H59" s="38">
        <f t="shared" si="1"/>
        <v>1227</v>
      </c>
      <c r="I59" s="7"/>
    </row>
    <row r="60" spans="1:9" ht="21" customHeight="1">
      <c r="A60" s="39" t="s">
        <v>582</v>
      </c>
      <c r="B60" s="38" t="s">
        <v>323</v>
      </c>
      <c r="C60" s="38"/>
      <c r="D60" s="279"/>
      <c r="E60" s="260"/>
      <c r="F60" s="279">
        <v>30</v>
      </c>
      <c r="G60" s="260"/>
      <c r="H60" s="38">
        <f t="shared" si="1"/>
        <v>1197</v>
      </c>
      <c r="I60" s="7"/>
    </row>
    <row r="61" spans="1:9" ht="21" customHeight="1">
      <c r="A61" s="39" t="s">
        <v>356</v>
      </c>
      <c r="B61" s="38" t="s">
        <v>323</v>
      </c>
      <c r="C61" s="38"/>
      <c r="D61" s="279"/>
      <c r="E61" s="260"/>
      <c r="F61" s="279">
        <v>30</v>
      </c>
      <c r="G61" s="260"/>
      <c r="H61" s="38">
        <f t="shared" si="1"/>
        <v>1167</v>
      </c>
      <c r="I61" s="7"/>
    </row>
    <row r="62" spans="1:9" ht="21" customHeight="1">
      <c r="A62" s="39" t="s">
        <v>495</v>
      </c>
      <c r="B62" s="38" t="s">
        <v>323</v>
      </c>
      <c r="C62" s="38"/>
      <c r="D62" s="279"/>
      <c r="E62" s="260"/>
      <c r="F62" s="279">
        <v>45</v>
      </c>
      <c r="G62" s="260"/>
      <c r="H62" s="38">
        <f t="shared" si="1"/>
        <v>1122</v>
      </c>
      <c r="I62" s="7"/>
    </row>
    <row r="63" spans="1:9" ht="21" customHeight="1">
      <c r="A63" s="39" t="s">
        <v>583</v>
      </c>
      <c r="B63" s="38" t="s">
        <v>323</v>
      </c>
      <c r="C63" s="38"/>
      <c r="D63" s="279"/>
      <c r="E63" s="260"/>
      <c r="F63" s="279">
        <v>14</v>
      </c>
      <c r="G63" s="260"/>
      <c r="H63" s="38">
        <f t="shared" si="1"/>
        <v>1108</v>
      </c>
      <c r="I63" s="7"/>
    </row>
    <row r="64" spans="1:9" ht="21" customHeight="1">
      <c r="A64" s="39" t="s">
        <v>498</v>
      </c>
      <c r="B64" s="38" t="s">
        <v>323</v>
      </c>
      <c r="C64" s="38"/>
      <c r="D64" s="279"/>
      <c r="E64" s="260"/>
      <c r="F64" s="279">
        <v>30</v>
      </c>
      <c r="G64" s="260"/>
      <c r="H64" s="38">
        <f t="shared" si="1"/>
        <v>1078</v>
      </c>
      <c r="I64" s="7" t="s">
        <v>575</v>
      </c>
    </row>
    <row r="65" spans="1:9" ht="21" customHeight="1">
      <c r="A65" s="39" t="s">
        <v>547</v>
      </c>
      <c r="B65" s="38" t="s">
        <v>323</v>
      </c>
      <c r="C65" s="38"/>
      <c r="D65" s="279"/>
      <c r="E65" s="260"/>
      <c r="F65" s="279">
        <v>90</v>
      </c>
      <c r="G65" s="260"/>
      <c r="H65" s="38">
        <f t="shared" si="1"/>
        <v>988</v>
      </c>
      <c r="I65" s="7"/>
    </row>
    <row r="66" spans="1:9" ht="21" customHeight="1">
      <c r="A66" s="41" t="s">
        <v>584</v>
      </c>
      <c r="B66" s="38" t="s">
        <v>323</v>
      </c>
      <c r="C66" s="38"/>
      <c r="D66" s="279"/>
      <c r="E66" s="260"/>
      <c r="F66" s="279">
        <v>30</v>
      </c>
      <c r="G66" s="260"/>
      <c r="H66" s="38">
        <f t="shared" si="1"/>
        <v>958</v>
      </c>
      <c r="I66" s="7"/>
    </row>
    <row r="67" spans="1:9" ht="21" customHeight="1">
      <c r="A67" s="39" t="s">
        <v>500</v>
      </c>
      <c r="B67" s="38" t="s">
        <v>323</v>
      </c>
      <c r="C67" s="38"/>
      <c r="D67" s="279"/>
      <c r="E67" s="260"/>
      <c r="F67" s="279">
        <v>60</v>
      </c>
      <c r="G67" s="260"/>
      <c r="H67" s="38">
        <f t="shared" si="1"/>
        <v>898</v>
      </c>
      <c r="I67" s="7"/>
    </row>
    <row r="68" spans="1:9" ht="21" customHeight="1">
      <c r="A68" s="39" t="s">
        <v>359</v>
      </c>
      <c r="B68" s="38" t="s">
        <v>323</v>
      </c>
      <c r="C68" s="38"/>
      <c r="D68" s="279"/>
      <c r="E68" s="260"/>
      <c r="F68" s="279">
        <v>28</v>
      </c>
      <c r="G68" s="260"/>
      <c r="H68" s="38">
        <f t="shared" si="1"/>
        <v>870</v>
      </c>
      <c r="I68" s="7"/>
    </row>
    <row r="69" spans="1:9" ht="21" customHeight="1">
      <c r="A69" s="39" t="s">
        <v>449</v>
      </c>
      <c r="B69" s="38" t="s">
        <v>324</v>
      </c>
      <c r="C69" s="38">
        <v>2000</v>
      </c>
      <c r="D69" s="279" t="s">
        <v>585</v>
      </c>
      <c r="E69" s="260"/>
      <c r="F69" s="279"/>
      <c r="G69" s="260"/>
      <c r="H69" s="38">
        <v>2870</v>
      </c>
      <c r="I69" s="7" t="s">
        <v>575</v>
      </c>
    </row>
    <row r="70" spans="1:9" ht="21" customHeight="1">
      <c r="A70" s="39" t="s">
        <v>360</v>
      </c>
      <c r="B70" s="38" t="s">
        <v>323</v>
      </c>
      <c r="C70" s="38"/>
      <c r="D70" s="279"/>
      <c r="E70" s="260"/>
      <c r="F70" s="279">
        <v>60</v>
      </c>
      <c r="G70" s="260"/>
      <c r="H70" s="38">
        <f t="shared" ref="H70:H87" si="2">H69-F70</f>
        <v>2810</v>
      </c>
      <c r="I70" s="7"/>
    </row>
    <row r="71" spans="1:9" ht="21" customHeight="1">
      <c r="A71" s="39" t="s">
        <v>397</v>
      </c>
      <c r="B71" s="38" t="s">
        <v>323</v>
      </c>
      <c r="C71" s="38"/>
      <c r="D71" s="279"/>
      <c r="E71" s="260"/>
      <c r="F71" s="279">
        <v>30</v>
      </c>
      <c r="G71" s="260"/>
      <c r="H71" s="38">
        <f t="shared" si="2"/>
        <v>2780</v>
      </c>
      <c r="I71" s="7"/>
    </row>
    <row r="72" spans="1:9" ht="21" customHeight="1">
      <c r="A72" s="41" t="s">
        <v>502</v>
      </c>
      <c r="B72" s="38" t="s">
        <v>323</v>
      </c>
      <c r="C72" s="38"/>
      <c r="D72" s="279"/>
      <c r="E72" s="260"/>
      <c r="F72" s="279">
        <v>30</v>
      </c>
      <c r="G72" s="260"/>
      <c r="H72" s="38">
        <f t="shared" si="2"/>
        <v>2750</v>
      </c>
      <c r="I72" s="7"/>
    </row>
    <row r="73" spans="1:9" ht="21" customHeight="1">
      <c r="A73" s="38" t="s">
        <v>549</v>
      </c>
      <c r="B73" s="38" t="s">
        <v>323</v>
      </c>
      <c r="C73" s="9"/>
      <c r="D73" s="259"/>
      <c r="E73" s="260"/>
      <c r="F73" s="279">
        <v>30</v>
      </c>
      <c r="G73" s="260"/>
      <c r="H73" s="38">
        <f t="shared" si="2"/>
        <v>2720</v>
      </c>
      <c r="I73" s="7"/>
    </row>
    <row r="74" spans="1:9" ht="21" customHeight="1">
      <c r="A74" s="39" t="s">
        <v>504</v>
      </c>
      <c r="B74" s="38" t="s">
        <v>323</v>
      </c>
      <c r="C74" s="3"/>
      <c r="D74" s="259"/>
      <c r="E74" s="260"/>
      <c r="F74" s="279">
        <v>15</v>
      </c>
      <c r="G74" s="260"/>
      <c r="H74" s="38">
        <f t="shared" si="2"/>
        <v>2705</v>
      </c>
      <c r="I74" s="7"/>
    </row>
    <row r="75" spans="1:9" ht="21" customHeight="1">
      <c r="A75" s="39" t="s">
        <v>450</v>
      </c>
      <c r="B75" s="38" t="s">
        <v>323</v>
      </c>
      <c r="C75" s="3"/>
      <c r="D75" s="259"/>
      <c r="E75" s="260"/>
      <c r="F75" s="279">
        <v>56</v>
      </c>
      <c r="G75" s="260"/>
      <c r="H75" s="38">
        <f t="shared" si="2"/>
        <v>2649</v>
      </c>
      <c r="I75" s="7"/>
    </row>
    <row r="76" spans="1:9" ht="21" customHeight="1">
      <c r="A76" s="39" t="s">
        <v>553</v>
      </c>
      <c r="B76" s="38" t="s">
        <v>323</v>
      </c>
      <c r="C76" s="3"/>
      <c r="D76" s="259"/>
      <c r="E76" s="260"/>
      <c r="F76" s="279">
        <v>30</v>
      </c>
      <c r="G76" s="260"/>
      <c r="H76" s="38">
        <f t="shared" si="2"/>
        <v>2619</v>
      </c>
      <c r="I76" s="7"/>
    </row>
    <row r="77" spans="1:9" ht="21" customHeight="1">
      <c r="A77" s="39" t="s">
        <v>554</v>
      </c>
      <c r="B77" s="38" t="s">
        <v>323</v>
      </c>
      <c r="C77" s="3"/>
      <c r="D77" s="259"/>
      <c r="E77" s="260"/>
      <c r="F77" s="279">
        <v>30</v>
      </c>
      <c r="G77" s="260"/>
      <c r="H77" s="38">
        <f t="shared" si="2"/>
        <v>2589</v>
      </c>
      <c r="I77" s="7"/>
    </row>
    <row r="78" spans="1:9" ht="21" customHeight="1">
      <c r="A78" s="39" t="s">
        <v>452</v>
      </c>
      <c r="B78" s="38" t="s">
        <v>323</v>
      </c>
      <c r="C78" s="3"/>
      <c r="D78" s="259"/>
      <c r="E78" s="260"/>
      <c r="F78" s="279">
        <v>60</v>
      </c>
      <c r="G78" s="260"/>
      <c r="H78" s="38">
        <f t="shared" si="2"/>
        <v>2529</v>
      </c>
      <c r="I78" s="7"/>
    </row>
    <row r="79" spans="1:9" ht="21" customHeight="1">
      <c r="A79" s="39" t="s">
        <v>586</v>
      </c>
      <c r="B79" s="38" t="s">
        <v>323</v>
      </c>
      <c r="C79" s="3"/>
      <c r="D79" s="259"/>
      <c r="E79" s="260"/>
      <c r="F79" s="279">
        <v>60</v>
      </c>
      <c r="G79" s="260"/>
      <c r="H79" s="38">
        <f t="shared" si="2"/>
        <v>2469</v>
      </c>
      <c r="I79" s="7"/>
    </row>
    <row r="80" spans="1:9" ht="21" customHeight="1">
      <c r="A80" s="39" t="s">
        <v>399</v>
      </c>
      <c r="B80" s="38" t="s">
        <v>323</v>
      </c>
      <c r="C80" s="3"/>
      <c r="D80" s="259"/>
      <c r="E80" s="260"/>
      <c r="F80" s="279">
        <v>28</v>
      </c>
      <c r="G80" s="260"/>
      <c r="H80" s="38">
        <f t="shared" si="2"/>
        <v>2441</v>
      </c>
      <c r="I80" s="7"/>
    </row>
    <row r="81" spans="1:9" ht="21" customHeight="1">
      <c r="A81" s="39" t="s">
        <v>508</v>
      </c>
      <c r="B81" s="38" t="s">
        <v>323</v>
      </c>
      <c r="C81" s="3"/>
      <c r="D81" s="259"/>
      <c r="E81" s="260"/>
      <c r="F81" s="279">
        <v>30</v>
      </c>
      <c r="G81" s="260"/>
      <c r="H81" s="38">
        <f t="shared" si="2"/>
        <v>2411</v>
      </c>
      <c r="I81" s="7"/>
    </row>
    <row r="82" spans="1:9" ht="21" customHeight="1">
      <c r="A82" s="39" t="s">
        <v>587</v>
      </c>
      <c r="B82" s="38" t="s">
        <v>323</v>
      </c>
      <c r="C82" s="3"/>
      <c r="D82" s="259"/>
      <c r="E82" s="260"/>
      <c r="F82" s="279">
        <v>30</v>
      </c>
      <c r="G82" s="260"/>
      <c r="H82" s="38">
        <f t="shared" si="2"/>
        <v>2381</v>
      </c>
      <c r="I82" s="7"/>
    </row>
    <row r="83" spans="1:9" ht="21" customHeight="1">
      <c r="A83" s="39" t="s">
        <v>588</v>
      </c>
      <c r="B83" s="38" t="s">
        <v>323</v>
      </c>
      <c r="C83" s="3"/>
      <c r="D83" s="259"/>
      <c r="E83" s="260"/>
      <c r="F83" s="279">
        <v>28</v>
      </c>
      <c r="G83" s="260"/>
      <c r="H83" s="38">
        <f t="shared" si="2"/>
        <v>2353</v>
      </c>
      <c r="I83" s="7"/>
    </row>
    <row r="84" spans="1:9" ht="21" customHeight="1">
      <c r="A84" s="39" t="s">
        <v>366</v>
      </c>
      <c r="B84" s="38" t="s">
        <v>323</v>
      </c>
      <c r="C84" s="3"/>
      <c r="D84" s="259"/>
      <c r="E84" s="260"/>
      <c r="F84" s="279">
        <v>73</v>
      </c>
      <c r="G84" s="260"/>
      <c r="H84" s="38">
        <f t="shared" si="2"/>
        <v>2280</v>
      </c>
      <c r="I84" s="7"/>
    </row>
    <row r="85" spans="1:9" ht="21" customHeight="1">
      <c r="A85" s="39" t="s">
        <v>400</v>
      </c>
      <c r="B85" s="38" t="s">
        <v>323</v>
      </c>
      <c r="C85" s="3"/>
      <c r="D85" s="259"/>
      <c r="E85" s="260"/>
      <c r="F85" s="279">
        <v>30</v>
      </c>
      <c r="G85" s="260"/>
      <c r="H85" s="38">
        <f t="shared" si="2"/>
        <v>2250</v>
      </c>
      <c r="I85" s="7"/>
    </row>
    <row r="86" spans="1:9" ht="21" customHeight="1">
      <c r="A86" s="39" t="s">
        <v>369</v>
      </c>
      <c r="B86" s="38" t="s">
        <v>323</v>
      </c>
      <c r="C86" s="3"/>
      <c r="D86" s="259"/>
      <c r="E86" s="260"/>
      <c r="F86" s="279">
        <v>30</v>
      </c>
      <c r="G86" s="260"/>
      <c r="H86" s="38">
        <f t="shared" si="2"/>
        <v>2220</v>
      </c>
      <c r="I86" s="7"/>
    </row>
    <row r="87" spans="1:9" ht="21" customHeight="1">
      <c r="A87" s="39" t="s">
        <v>370</v>
      </c>
      <c r="B87" s="38" t="s">
        <v>323</v>
      </c>
      <c r="C87" s="3"/>
      <c r="D87" s="259"/>
      <c r="E87" s="260"/>
      <c r="F87" s="279">
        <v>30</v>
      </c>
      <c r="G87" s="260"/>
      <c r="H87" s="38">
        <f t="shared" si="2"/>
        <v>2190</v>
      </c>
      <c r="I87" s="7"/>
    </row>
    <row r="88" spans="1:9" ht="21" customHeight="1">
      <c r="A88" s="39"/>
      <c r="B88" s="38"/>
      <c r="C88" s="3"/>
      <c r="D88" s="259"/>
      <c r="E88" s="260"/>
      <c r="F88" s="279"/>
      <c r="G88" s="260"/>
      <c r="H88" s="38"/>
      <c r="I88" s="7"/>
    </row>
    <row r="89" spans="1:9" ht="21" customHeight="1">
      <c r="A89" s="39"/>
      <c r="B89" s="38"/>
      <c r="C89" s="3"/>
      <c r="D89" s="259"/>
      <c r="E89" s="260"/>
      <c r="F89" s="279"/>
      <c r="G89" s="260"/>
      <c r="H89" s="38"/>
      <c r="I89" s="7"/>
    </row>
    <row r="90" spans="1:9" ht="21" customHeight="1">
      <c r="A90" s="39"/>
      <c r="B90" s="38"/>
      <c r="C90" s="3"/>
      <c r="D90" s="259"/>
      <c r="E90" s="260"/>
      <c r="F90" s="279"/>
      <c r="G90" s="260"/>
      <c r="H90" s="38"/>
      <c r="I90" s="7"/>
    </row>
    <row r="91" spans="1:9" ht="21" customHeight="1">
      <c r="A91" s="39"/>
      <c r="B91" s="38"/>
      <c r="C91" s="3"/>
      <c r="D91" s="259"/>
      <c r="E91" s="260"/>
      <c r="F91" s="279"/>
      <c r="G91" s="260"/>
      <c r="H91" s="38"/>
      <c r="I91" s="7"/>
    </row>
    <row r="92" spans="1:9" ht="21" customHeight="1">
      <c r="A92" s="39"/>
      <c r="B92" s="38"/>
      <c r="C92" s="3"/>
      <c r="D92" s="259"/>
      <c r="E92" s="260"/>
      <c r="F92" s="279"/>
      <c r="G92" s="260"/>
      <c r="H92" s="38"/>
      <c r="I92" s="7"/>
    </row>
    <row r="93" spans="1:9" ht="21" customHeight="1">
      <c r="A93" s="39"/>
      <c r="B93" s="38"/>
      <c r="C93" s="3"/>
      <c r="D93" s="259"/>
      <c r="E93" s="260"/>
      <c r="F93" s="279"/>
      <c r="G93" s="260"/>
      <c r="H93" s="38"/>
      <c r="I93" s="7"/>
    </row>
    <row r="94" spans="1:9" ht="21" customHeight="1">
      <c r="A94" s="39"/>
      <c r="B94" s="38"/>
      <c r="C94" s="3"/>
      <c r="D94" s="259"/>
      <c r="E94" s="260"/>
      <c r="F94" s="279"/>
      <c r="G94" s="260"/>
      <c r="H94" s="38"/>
      <c r="I94" s="7"/>
    </row>
    <row r="95" spans="1:9" ht="21" customHeight="1">
      <c r="A95" s="39"/>
      <c r="B95" s="38"/>
      <c r="C95" s="3"/>
      <c r="D95" s="259"/>
      <c r="E95" s="260"/>
      <c r="F95" s="279"/>
      <c r="G95" s="260"/>
      <c r="H95" s="38"/>
      <c r="I95" s="7"/>
    </row>
    <row r="96" spans="1:9" ht="21" customHeight="1">
      <c r="A96" s="39"/>
      <c r="B96" s="38"/>
      <c r="C96" s="3"/>
      <c r="D96" s="259"/>
      <c r="E96" s="260"/>
      <c r="F96" s="279"/>
      <c r="G96" s="260"/>
      <c r="H96" s="38"/>
      <c r="I96" s="7"/>
    </row>
    <row r="97" spans="1:9" ht="21" customHeight="1">
      <c r="A97" s="39"/>
      <c r="B97" s="38"/>
      <c r="C97" s="3"/>
      <c r="D97" s="259"/>
      <c r="E97" s="260"/>
      <c r="F97" s="279"/>
      <c r="G97" s="260"/>
      <c r="H97" s="38"/>
      <c r="I97" s="7"/>
    </row>
    <row r="98" spans="1:9" ht="21" customHeight="1">
      <c r="A98" s="39"/>
      <c r="B98" s="38"/>
      <c r="C98" s="3"/>
      <c r="D98" s="259"/>
      <c r="E98" s="260"/>
      <c r="F98" s="279"/>
      <c r="G98" s="260"/>
      <c r="H98" s="38"/>
      <c r="I98" s="7"/>
    </row>
    <row r="99" spans="1:9" ht="21" customHeight="1">
      <c r="A99" s="41"/>
      <c r="B99" s="38"/>
      <c r="C99" s="3"/>
      <c r="D99" s="259"/>
      <c r="E99" s="260"/>
      <c r="F99" s="279"/>
      <c r="G99" s="260"/>
      <c r="H99" s="38"/>
      <c r="I99" s="7"/>
    </row>
    <row r="100" spans="1:9" ht="21" customHeight="1">
      <c r="A100" s="39"/>
      <c r="B100" s="38"/>
      <c r="C100" s="3"/>
      <c r="D100" s="259"/>
      <c r="E100" s="260"/>
      <c r="F100" s="279"/>
      <c r="G100" s="260"/>
      <c r="H100" s="38"/>
      <c r="I100" s="7"/>
    </row>
    <row r="101" spans="1:9" ht="21" customHeight="1">
      <c r="A101" s="39"/>
      <c r="B101" s="38"/>
      <c r="C101" s="3"/>
      <c r="D101" s="259"/>
      <c r="E101" s="260"/>
      <c r="F101" s="279"/>
      <c r="G101" s="260"/>
      <c r="H101" s="38"/>
      <c r="I101" s="7"/>
    </row>
    <row r="102" spans="1:9" ht="21" customHeight="1">
      <c r="A102" s="39"/>
      <c r="B102" s="38"/>
      <c r="C102" s="3"/>
      <c r="D102" s="259"/>
      <c r="E102" s="260"/>
      <c r="F102" s="279"/>
      <c r="G102" s="260"/>
      <c r="H102" s="38"/>
      <c r="I102" s="7"/>
    </row>
    <row r="103" spans="1:9" ht="21" customHeight="1">
      <c r="A103" s="39"/>
      <c r="B103" s="38"/>
      <c r="C103" s="3"/>
      <c r="D103" s="259"/>
      <c r="E103" s="260"/>
      <c r="F103" s="279"/>
      <c r="G103" s="260"/>
      <c r="H103" s="38"/>
      <c r="I103" s="7"/>
    </row>
    <row r="104" spans="1:9" ht="21" customHeight="1">
      <c r="A104" s="39"/>
      <c r="B104" s="38"/>
      <c r="C104" s="3"/>
      <c r="D104" s="259"/>
      <c r="E104" s="260"/>
      <c r="F104" s="279"/>
      <c r="G104" s="260"/>
      <c r="H104" s="38"/>
      <c r="I104" s="7"/>
    </row>
    <row r="105" spans="1:9" ht="21" customHeight="1">
      <c r="A105" s="39"/>
      <c r="B105" s="38"/>
      <c r="C105" s="3"/>
      <c r="D105" s="259"/>
      <c r="E105" s="260"/>
      <c r="F105" s="279"/>
      <c r="G105" s="260"/>
      <c r="H105" s="38"/>
      <c r="I105" s="7"/>
    </row>
    <row r="106" spans="1:9" ht="21" customHeight="1">
      <c r="A106" s="39"/>
      <c r="B106" s="38"/>
      <c r="C106" s="3"/>
      <c r="D106" s="259"/>
      <c r="E106" s="260"/>
      <c r="F106" s="279"/>
      <c r="G106" s="260"/>
      <c r="H106" s="38"/>
      <c r="I106" s="7"/>
    </row>
    <row r="107" spans="1:9" ht="21" customHeight="1">
      <c r="A107" s="39"/>
      <c r="B107" s="38"/>
      <c r="C107" s="3"/>
      <c r="D107" s="259"/>
      <c r="E107" s="260"/>
      <c r="F107" s="279"/>
      <c r="G107" s="260"/>
      <c r="H107" s="38"/>
      <c r="I107" s="7"/>
    </row>
    <row r="108" spans="1:9" ht="21" customHeight="1">
      <c r="A108" s="39"/>
      <c r="B108" s="38"/>
      <c r="C108" s="3"/>
      <c r="D108" s="259"/>
      <c r="E108" s="260"/>
      <c r="F108" s="279"/>
      <c r="G108" s="260"/>
      <c r="H108" s="38"/>
      <c r="I108" s="7"/>
    </row>
    <row r="109" spans="1:9" ht="21" customHeight="1">
      <c r="A109" s="39"/>
      <c r="B109" s="38"/>
      <c r="C109" s="3"/>
      <c r="D109" s="259"/>
      <c r="E109" s="260"/>
      <c r="F109" s="279"/>
      <c r="G109" s="260"/>
      <c r="H109" s="38"/>
      <c r="I109" s="7"/>
    </row>
    <row r="110" spans="1:9" ht="21" customHeight="1">
      <c r="A110" s="39"/>
      <c r="B110" s="38"/>
      <c r="C110" s="3"/>
      <c r="D110" s="259"/>
      <c r="E110" s="260"/>
      <c r="F110" s="279"/>
      <c r="G110" s="260"/>
      <c r="H110" s="38"/>
      <c r="I110" s="7"/>
    </row>
    <row r="111" spans="1:9" ht="21" customHeight="1">
      <c r="A111" s="39"/>
      <c r="B111" s="38"/>
      <c r="C111" s="3"/>
      <c r="D111" s="259"/>
      <c r="E111" s="260"/>
      <c r="F111" s="279"/>
      <c r="G111" s="260"/>
      <c r="H111" s="38"/>
      <c r="I111" s="7"/>
    </row>
    <row r="112" spans="1:9" ht="21" customHeight="1">
      <c r="A112" s="41"/>
      <c r="B112" s="38"/>
      <c r="C112" s="3"/>
      <c r="D112" s="259"/>
      <c r="E112" s="260"/>
      <c r="F112" s="279"/>
      <c r="G112" s="260"/>
      <c r="H112" s="38"/>
      <c r="I112" s="7"/>
    </row>
    <row r="113" spans="1:9" ht="21" customHeight="1">
      <c r="A113" s="39"/>
      <c r="B113" s="38"/>
      <c r="C113" s="3"/>
      <c r="D113" s="259"/>
      <c r="E113" s="260"/>
      <c r="F113" s="279"/>
      <c r="G113" s="260"/>
      <c r="H113" s="38"/>
      <c r="I113" s="7"/>
    </row>
    <row r="114" spans="1:9" ht="21" customHeight="1">
      <c r="A114" s="39"/>
      <c r="B114" s="38"/>
      <c r="C114" s="3"/>
      <c r="D114" s="259"/>
      <c r="E114" s="260"/>
      <c r="F114" s="279"/>
      <c r="G114" s="260"/>
      <c r="H114" s="38"/>
      <c r="I114" s="7"/>
    </row>
    <row r="115" spans="1:9" ht="21" customHeight="1">
      <c r="A115" s="39"/>
      <c r="B115" s="38"/>
      <c r="C115" s="3"/>
      <c r="D115" s="259"/>
      <c r="E115" s="260"/>
      <c r="F115" s="279"/>
      <c r="G115" s="260"/>
      <c r="H115" s="38"/>
      <c r="I115" s="7"/>
    </row>
    <row r="116" spans="1:9" ht="21" customHeight="1">
      <c r="A116" s="39"/>
      <c r="B116" s="38"/>
      <c r="C116" s="3"/>
      <c r="D116" s="259"/>
      <c r="E116" s="260"/>
      <c r="F116" s="279"/>
      <c r="G116" s="260"/>
      <c r="H116" s="38"/>
      <c r="I116" s="7"/>
    </row>
    <row r="117" spans="1:9" ht="21" customHeight="1">
      <c r="A117" s="39"/>
      <c r="B117" s="38"/>
      <c r="C117" s="3"/>
      <c r="D117" s="259"/>
      <c r="E117" s="260"/>
      <c r="F117" s="279"/>
      <c r="G117" s="260"/>
      <c r="H117" s="38"/>
      <c r="I117" s="7"/>
    </row>
    <row r="118" spans="1:9" ht="21" customHeight="1">
      <c r="A118" s="39"/>
      <c r="B118" s="38"/>
      <c r="C118" s="3"/>
      <c r="D118" s="259"/>
      <c r="E118" s="260"/>
      <c r="F118" s="279"/>
      <c r="G118" s="260"/>
      <c r="H118" s="38"/>
      <c r="I118" s="7"/>
    </row>
    <row r="119" spans="1:9" ht="21" customHeight="1">
      <c r="A119" s="39"/>
      <c r="B119" s="38"/>
      <c r="C119" s="3"/>
      <c r="D119" s="259"/>
      <c r="E119" s="260"/>
      <c r="F119" s="279"/>
      <c r="G119" s="260"/>
      <c r="H119" s="38"/>
      <c r="I119" s="7"/>
    </row>
    <row r="120" spans="1:9" ht="21" customHeight="1">
      <c r="A120" s="39"/>
      <c r="B120" s="38"/>
      <c r="C120" s="3"/>
      <c r="D120" s="259"/>
      <c r="E120" s="260"/>
      <c r="F120" s="279"/>
      <c r="G120" s="260"/>
      <c r="H120" s="38"/>
      <c r="I120" s="7"/>
    </row>
    <row r="121" spans="1:9" ht="21" customHeight="1">
      <c r="A121" s="39"/>
      <c r="B121" s="38"/>
      <c r="C121" s="3"/>
      <c r="D121" s="259"/>
      <c r="E121" s="260"/>
      <c r="F121" s="279"/>
      <c r="G121" s="260"/>
      <c r="H121" s="38"/>
      <c r="I121" s="7"/>
    </row>
    <row r="122" spans="1:9" ht="21" customHeight="1">
      <c r="A122" s="39"/>
      <c r="B122" s="38"/>
      <c r="C122" s="3"/>
      <c r="D122" s="259"/>
      <c r="E122" s="260"/>
      <c r="F122" s="279"/>
      <c r="G122" s="260"/>
      <c r="H122" s="38"/>
      <c r="I122" s="7"/>
    </row>
    <row r="123" spans="1:9" ht="21" customHeight="1">
      <c r="A123" s="39"/>
      <c r="B123" s="38"/>
      <c r="C123" s="3"/>
      <c r="D123" s="259"/>
      <c r="E123" s="260"/>
      <c r="F123" s="279"/>
      <c r="G123" s="260"/>
      <c r="H123" s="38"/>
      <c r="I123" s="7"/>
    </row>
    <row r="124" spans="1:9" ht="21" customHeight="1">
      <c r="A124" s="39"/>
      <c r="B124" s="38"/>
      <c r="C124" s="3"/>
      <c r="D124" s="259"/>
      <c r="E124" s="260"/>
      <c r="F124" s="279"/>
      <c r="G124" s="260"/>
      <c r="H124" s="38"/>
      <c r="I124" s="7"/>
    </row>
    <row r="125" spans="1:9" ht="21" customHeight="1">
      <c r="A125" s="39"/>
      <c r="B125" s="38"/>
      <c r="C125" s="3"/>
      <c r="D125" s="259"/>
      <c r="E125" s="260"/>
      <c r="F125" s="279"/>
      <c r="G125" s="260"/>
      <c r="H125" s="38"/>
      <c r="I125" s="7"/>
    </row>
    <row r="126" spans="1:9" ht="21" customHeight="1">
      <c r="A126" s="39"/>
      <c r="B126" s="38"/>
      <c r="C126" s="3"/>
      <c r="D126" s="259"/>
      <c r="E126" s="260"/>
      <c r="F126" s="279"/>
      <c r="G126" s="260"/>
      <c r="H126" s="38"/>
      <c r="I126" s="7"/>
    </row>
    <row r="127" spans="1:9" ht="21" customHeight="1">
      <c r="A127" s="39"/>
      <c r="B127" s="38"/>
      <c r="C127" s="3"/>
      <c r="D127" s="259"/>
      <c r="E127" s="260"/>
      <c r="F127" s="279"/>
      <c r="G127" s="260"/>
      <c r="H127" s="38"/>
      <c r="I127" s="7"/>
    </row>
    <row r="128" spans="1:9" ht="21" customHeight="1">
      <c r="A128" s="39"/>
      <c r="B128" s="38"/>
      <c r="C128" s="3"/>
      <c r="D128" s="259"/>
      <c r="E128" s="260"/>
      <c r="F128" s="279"/>
      <c r="G128" s="260"/>
      <c r="H128" s="38"/>
      <c r="I128" s="7"/>
    </row>
    <row r="129" spans="1:9" ht="21" customHeight="1">
      <c r="A129" s="39"/>
      <c r="B129" s="38"/>
      <c r="C129" s="3"/>
      <c r="D129" s="259"/>
      <c r="E129" s="260"/>
      <c r="F129" s="279"/>
      <c r="G129" s="260"/>
      <c r="H129" s="38"/>
      <c r="I129" s="7"/>
    </row>
    <row r="130" spans="1:9" ht="21" customHeight="1">
      <c r="A130" s="39"/>
      <c r="B130" s="38"/>
      <c r="C130" s="3"/>
      <c r="D130" s="259"/>
      <c r="E130" s="260"/>
      <c r="F130" s="279"/>
      <c r="G130" s="260"/>
      <c r="H130" s="38"/>
      <c r="I130" s="7"/>
    </row>
    <row r="131" spans="1:9" ht="21" customHeight="1">
      <c r="A131" s="39"/>
      <c r="B131" s="38"/>
      <c r="C131" s="3"/>
      <c r="D131" s="259"/>
      <c r="E131" s="260"/>
      <c r="F131" s="279"/>
      <c r="G131" s="260"/>
      <c r="H131" s="38"/>
      <c r="I131" s="7"/>
    </row>
    <row r="132" spans="1:9" ht="21" customHeight="1">
      <c r="A132" s="39"/>
      <c r="B132" s="38"/>
      <c r="C132" s="3"/>
      <c r="D132" s="259"/>
      <c r="E132" s="260"/>
      <c r="F132" s="279"/>
      <c r="G132" s="260"/>
      <c r="H132" s="38"/>
      <c r="I132" s="7"/>
    </row>
    <row r="133" spans="1:9" ht="21" customHeight="1">
      <c r="A133" s="39"/>
      <c r="B133" s="38"/>
      <c r="C133" s="3"/>
      <c r="D133" s="259"/>
      <c r="E133" s="260"/>
      <c r="F133" s="279"/>
      <c r="G133" s="260"/>
      <c r="H133" s="38"/>
      <c r="I133" s="7"/>
    </row>
    <row r="134" spans="1:9" ht="21" customHeight="1">
      <c r="A134" s="39"/>
      <c r="B134" s="38"/>
      <c r="C134" s="3"/>
      <c r="D134" s="259"/>
      <c r="E134" s="260"/>
      <c r="F134" s="279"/>
      <c r="G134" s="260"/>
      <c r="H134" s="38"/>
      <c r="I134" s="7"/>
    </row>
    <row r="135" spans="1:9" ht="21" customHeight="1">
      <c r="A135" s="39"/>
      <c r="B135" s="38"/>
      <c r="C135" s="3"/>
      <c r="D135" s="259"/>
      <c r="E135" s="260"/>
      <c r="F135" s="279"/>
      <c r="G135" s="260"/>
      <c r="H135" s="38"/>
      <c r="I135" s="38"/>
    </row>
    <row r="136" spans="1:9" ht="21" customHeight="1">
      <c r="A136" s="39"/>
      <c r="B136" s="38"/>
      <c r="C136" s="3"/>
      <c r="D136" s="259"/>
      <c r="E136" s="260"/>
      <c r="F136" s="279"/>
      <c r="G136" s="260"/>
      <c r="H136" s="38"/>
      <c r="I136" s="7"/>
    </row>
    <row r="137" spans="1:9" ht="21" customHeight="1">
      <c r="A137" s="39"/>
      <c r="B137" s="38"/>
      <c r="C137" s="3"/>
      <c r="D137" s="259"/>
      <c r="E137" s="260"/>
      <c r="F137" s="279"/>
      <c r="G137" s="260"/>
      <c r="H137" s="38"/>
      <c r="I137" s="7"/>
    </row>
    <row r="138" spans="1:9" ht="21" customHeight="1">
      <c r="A138" s="39"/>
      <c r="B138" s="38"/>
      <c r="C138" s="3"/>
      <c r="D138" s="259"/>
      <c r="E138" s="260"/>
      <c r="F138" s="279"/>
      <c r="G138" s="260"/>
      <c r="H138" s="38"/>
      <c r="I138" s="7"/>
    </row>
    <row r="139" spans="1:9" ht="21" customHeight="1">
      <c r="A139" s="39"/>
      <c r="B139" s="38"/>
      <c r="C139" s="3"/>
      <c r="D139" s="259"/>
      <c r="E139" s="260"/>
      <c r="F139" s="279"/>
      <c r="G139" s="260"/>
      <c r="H139" s="38"/>
      <c r="I139" s="7"/>
    </row>
    <row r="140" spans="1:9" ht="21" customHeight="1">
      <c r="A140" s="39"/>
      <c r="B140" s="38"/>
      <c r="C140" s="3"/>
      <c r="D140" s="259"/>
      <c r="E140" s="260"/>
      <c r="F140" s="279"/>
      <c r="G140" s="260"/>
      <c r="H140" s="38"/>
      <c r="I140" s="7"/>
    </row>
    <row r="141" spans="1:9" ht="21" customHeight="1">
      <c r="A141" s="39"/>
      <c r="B141" s="38"/>
      <c r="C141" s="3"/>
      <c r="D141" s="259"/>
      <c r="E141" s="260"/>
      <c r="F141" s="279"/>
      <c r="G141" s="260"/>
      <c r="H141" s="38"/>
      <c r="I141" s="7"/>
    </row>
    <row r="142" spans="1:9" ht="21" customHeight="1">
      <c r="A142" s="39"/>
      <c r="B142" s="38"/>
      <c r="C142" s="3"/>
      <c r="D142" s="259"/>
      <c r="E142" s="260"/>
      <c r="F142" s="279"/>
      <c r="G142" s="260"/>
      <c r="H142" s="38"/>
      <c r="I142" s="7"/>
    </row>
    <row r="143" spans="1:9" ht="21" customHeight="1">
      <c r="A143" s="39"/>
      <c r="B143" s="38"/>
      <c r="C143" s="3"/>
      <c r="D143" s="259"/>
      <c r="E143" s="260"/>
      <c r="F143" s="290"/>
      <c r="G143" s="260"/>
      <c r="H143" s="38"/>
      <c r="I143" s="7"/>
    </row>
    <row r="144" spans="1:9" ht="21" customHeight="1">
      <c r="A144" s="39"/>
      <c r="B144" s="38"/>
      <c r="C144" s="3"/>
      <c r="D144" s="259"/>
      <c r="E144" s="260"/>
      <c r="F144" s="279"/>
      <c r="G144" s="260"/>
      <c r="H144" s="38"/>
      <c r="I144" s="7"/>
    </row>
    <row r="145" spans="1:9" ht="21" customHeight="1">
      <c r="A145" s="39"/>
      <c r="B145" s="38"/>
      <c r="C145" s="3"/>
      <c r="D145" s="259"/>
      <c r="E145" s="260"/>
      <c r="F145" s="279"/>
      <c r="G145" s="260"/>
      <c r="H145" s="38"/>
      <c r="I145" s="7"/>
    </row>
    <row r="146" spans="1:9" ht="21" customHeight="1">
      <c r="A146" s="39"/>
      <c r="B146" s="38"/>
      <c r="C146" s="3"/>
      <c r="D146" s="259"/>
      <c r="E146" s="260"/>
      <c r="F146" s="279"/>
      <c r="G146" s="260"/>
      <c r="H146" s="38"/>
      <c r="I146" s="7"/>
    </row>
    <row r="147" spans="1:9" ht="21" customHeight="1">
      <c r="A147" s="39"/>
      <c r="B147" s="38"/>
      <c r="C147" s="3"/>
      <c r="D147" s="259"/>
      <c r="E147" s="260"/>
      <c r="F147" s="279"/>
      <c r="G147" s="260"/>
      <c r="H147" s="38"/>
      <c r="I147" s="7"/>
    </row>
    <row r="148" spans="1:9" ht="21" customHeight="1">
      <c r="A148" s="39"/>
      <c r="B148" s="38"/>
      <c r="C148" s="3"/>
      <c r="D148" s="259"/>
      <c r="E148" s="260"/>
      <c r="F148" s="279"/>
      <c r="G148" s="260"/>
      <c r="H148" s="38"/>
      <c r="I148" s="7"/>
    </row>
    <row r="149" spans="1:9" ht="21" customHeight="1">
      <c r="A149" s="39"/>
      <c r="B149" s="38"/>
      <c r="C149" s="3"/>
      <c r="D149" s="259"/>
      <c r="E149" s="260"/>
      <c r="F149" s="279"/>
      <c r="G149" s="260"/>
      <c r="H149" s="38"/>
      <c r="I149" s="7"/>
    </row>
    <row r="150" spans="1:9" ht="21" customHeight="1">
      <c r="A150" s="39"/>
      <c r="B150" s="38"/>
      <c r="C150" s="3"/>
      <c r="D150" s="259"/>
      <c r="E150" s="260"/>
      <c r="F150" s="279"/>
      <c r="G150" s="260"/>
      <c r="H150" s="38"/>
      <c r="I150" s="7"/>
    </row>
    <row r="151" spans="1:9" ht="21" customHeight="1">
      <c r="A151" s="39"/>
      <c r="B151" s="38"/>
      <c r="C151" s="3"/>
      <c r="D151" s="259"/>
      <c r="E151" s="260"/>
      <c r="F151" s="279"/>
      <c r="G151" s="260"/>
      <c r="H151" s="38"/>
      <c r="I151" s="7"/>
    </row>
    <row r="152" spans="1:9" ht="21" customHeight="1">
      <c r="A152" s="39"/>
      <c r="B152" s="38"/>
      <c r="C152" s="3"/>
      <c r="D152" s="259"/>
      <c r="E152" s="260"/>
      <c r="F152" s="279"/>
      <c r="G152" s="260"/>
      <c r="H152" s="38"/>
      <c r="I152" s="7"/>
    </row>
    <row r="153" spans="1:9" ht="21" customHeight="1">
      <c r="A153" s="39"/>
      <c r="B153" s="38"/>
      <c r="C153" s="3"/>
      <c r="D153" s="259"/>
      <c r="E153" s="260"/>
      <c r="F153" s="279"/>
      <c r="G153" s="260"/>
      <c r="H153" s="38"/>
      <c r="I153" s="7"/>
    </row>
    <row r="154" spans="1:9" ht="21" customHeight="1">
      <c r="A154" s="39"/>
      <c r="B154" s="38"/>
      <c r="C154" s="3"/>
      <c r="D154" s="259"/>
      <c r="E154" s="260"/>
      <c r="F154" s="279"/>
      <c r="G154" s="260"/>
      <c r="H154" s="38"/>
      <c r="I154" s="7"/>
    </row>
    <row r="155" spans="1:9" ht="21" customHeight="1">
      <c r="A155" s="39"/>
      <c r="B155" s="38"/>
      <c r="C155" s="3"/>
      <c r="D155" s="259"/>
      <c r="E155" s="260"/>
      <c r="F155" s="279"/>
      <c r="G155" s="260"/>
      <c r="H155" s="38"/>
      <c r="I155" s="7"/>
    </row>
    <row r="156" spans="1:9" ht="21" customHeight="1">
      <c r="A156" s="39"/>
      <c r="B156" s="38"/>
      <c r="C156" s="3"/>
      <c r="D156" s="259"/>
      <c r="E156" s="260"/>
      <c r="F156" s="279"/>
      <c r="G156" s="260"/>
      <c r="H156" s="38"/>
      <c r="I156" s="7"/>
    </row>
    <row r="157" spans="1:9" ht="21" customHeight="1">
      <c r="A157" s="39"/>
      <c r="B157" s="38"/>
      <c r="C157" s="3"/>
      <c r="D157" s="259"/>
      <c r="E157" s="260"/>
      <c r="F157" s="279"/>
      <c r="G157" s="260"/>
      <c r="H157" s="38"/>
      <c r="I157" s="7"/>
    </row>
    <row r="158" spans="1:9" ht="21" customHeight="1">
      <c r="A158" s="39"/>
      <c r="B158" s="38"/>
      <c r="C158" s="3"/>
      <c r="D158" s="259"/>
      <c r="E158" s="260"/>
      <c r="F158" s="279"/>
      <c r="G158" s="260"/>
      <c r="H158" s="38"/>
      <c r="I158" s="7"/>
    </row>
    <row r="159" spans="1:9" ht="21" customHeight="1">
      <c r="A159" s="39"/>
      <c r="B159" s="38"/>
      <c r="C159" s="3"/>
      <c r="D159" s="259"/>
      <c r="E159" s="260"/>
      <c r="F159" s="279"/>
      <c r="G159" s="260"/>
      <c r="H159" s="38"/>
      <c r="I159" s="7"/>
    </row>
    <row r="160" spans="1:9" ht="21" customHeight="1">
      <c r="A160" s="39"/>
      <c r="B160" s="38"/>
      <c r="C160" s="3"/>
      <c r="D160" s="259"/>
      <c r="E160" s="260"/>
      <c r="F160" s="279"/>
      <c r="G160" s="260"/>
      <c r="H160" s="38"/>
      <c r="I160" s="7"/>
    </row>
  </sheetData>
  <mergeCells count="320">
    <mergeCell ref="B2:I2"/>
    <mergeCell ref="F113:G113"/>
    <mergeCell ref="D32:E32"/>
    <mergeCell ref="F32:G32"/>
    <mergeCell ref="D97:E97"/>
    <mergeCell ref="F26:G26"/>
    <mergeCell ref="F159:G159"/>
    <mergeCell ref="F97:G97"/>
    <mergeCell ref="F90:G90"/>
    <mergeCell ref="E3:G3"/>
    <mergeCell ref="F27:G27"/>
    <mergeCell ref="D121:E121"/>
    <mergeCell ref="D42:E42"/>
    <mergeCell ref="D123:E123"/>
    <mergeCell ref="F123:G123"/>
    <mergeCell ref="D50:E50"/>
    <mergeCell ref="D110:E110"/>
    <mergeCell ref="D44:E44"/>
    <mergeCell ref="F44:G44"/>
    <mergeCell ref="F150:G150"/>
    <mergeCell ref="D152:E152"/>
    <mergeCell ref="F152:G152"/>
    <mergeCell ref="D29:E29"/>
    <mergeCell ref="D23:E23"/>
    <mergeCell ref="F87:G87"/>
    <mergeCell ref="F147:G147"/>
    <mergeCell ref="F89:G89"/>
    <mergeCell ref="F7:G7"/>
    <mergeCell ref="D105:E105"/>
    <mergeCell ref="D49:E49"/>
    <mergeCell ref="D120:E120"/>
    <mergeCell ref="D107:E107"/>
    <mergeCell ref="F36:G36"/>
    <mergeCell ref="F101:G101"/>
    <mergeCell ref="F8:G8"/>
    <mergeCell ref="F100:G100"/>
    <mergeCell ref="F115:G115"/>
    <mergeCell ref="D102:E102"/>
    <mergeCell ref="F102:G102"/>
    <mergeCell ref="D25:E25"/>
    <mergeCell ref="F77:G77"/>
    <mergeCell ref="D133:E133"/>
    <mergeCell ref="D54:E54"/>
    <mergeCell ref="D10:E10"/>
    <mergeCell ref="F10:G10"/>
    <mergeCell ref="D34:E34"/>
    <mergeCell ref="F63:G63"/>
    <mergeCell ref="F34:G34"/>
    <mergeCell ref="D99:E99"/>
    <mergeCell ref="F99:G99"/>
    <mergeCell ref="F74:G74"/>
    <mergeCell ref="D101:E101"/>
    <mergeCell ref="F30:G30"/>
    <mergeCell ref="D76:E76"/>
    <mergeCell ref="F76:G76"/>
    <mergeCell ref="F94:G94"/>
    <mergeCell ref="F59:G59"/>
    <mergeCell ref="D95:E95"/>
    <mergeCell ref="F24:G24"/>
    <mergeCell ref="F95:G95"/>
    <mergeCell ref="D57:E57"/>
    <mergeCell ref="D159:E159"/>
    <mergeCell ref="D80:E80"/>
    <mergeCell ref="F55:G55"/>
    <mergeCell ref="D136:E136"/>
    <mergeCell ref="D154:E154"/>
    <mergeCell ref="F129:G129"/>
    <mergeCell ref="F131:G131"/>
    <mergeCell ref="D58:E58"/>
    <mergeCell ref="F58:G58"/>
    <mergeCell ref="F60:G60"/>
    <mergeCell ref="F68:G68"/>
    <mergeCell ref="D84:E84"/>
    <mergeCell ref="D155:E155"/>
    <mergeCell ref="F84:G84"/>
    <mergeCell ref="D149:E149"/>
    <mergeCell ref="D86:E86"/>
    <mergeCell ref="F86:G86"/>
    <mergeCell ref="F142:G142"/>
    <mergeCell ref="D151:E151"/>
    <mergeCell ref="F80:G80"/>
    <mergeCell ref="D150:E150"/>
    <mergeCell ref="F79:G79"/>
    <mergeCell ref="F144:G144"/>
    <mergeCell ref="F81:G81"/>
    <mergeCell ref="H3:I3"/>
    <mergeCell ref="D39:E39"/>
    <mergeCell ref="F39:G39"/>
    <mergeCell ref="A1:I1"/>
    <mergeCell ref="D89:E89"/>
    <mergeCell ref="F64:G64"/>
    <mergeCell ref="D153:E153"/>
    <mergeCell ref="D128:E128"/>
    <mergeCell ref="F128:G128"/>
    <mergeCell ref="D65:E65"/>
    <mergeCell ref="F21:G21"/>
    <mergeCell ref="F50:G50"/>
    <mergeCell ref="F110:G110"/>
    <mergeCell ref="D17:E17"/>
    <mergeCell ref="F141:G141"/>
    <mergeCell ref="D146:E146"/>
    <mergeCell ref="D12:E12"/>
    <mergeCell ref="D83:E83"/>
    <mergeCell ref="D143:E143"/>
    <mergeCell ref="F49:G49"/>
    <mergeCell ref="D14:E14"/>
    <mergeCell ref="D85:E85"/>
    <mergeCell ref="F14:G14"/>
    <mergeCell ref="F78:G78"/>
    <mergeCell ref="B3:D3"/>
    <mergeCell ref="D130:E130"/>
    <mergeCell ref="D74:E74"/>
    <mergeCell ref="D68:E68"/>
    <mergeCell ref="F130:G130"/>
    <mergeCell ref="D132:E132"/>
    <mergeCell ref="F157:G157"/>
    <mergeCell ref="F132:G132"/>
    <mergeCell ref="D59:E59"/>
    <mergeCell ref="F25:G25"/>
    <mergeCell ref="C5:G5"/>
    <mergeCell ref="D36:E36"/>
    <mergeCell ref="D61:E61"/>
    <mergeCell ref="D48:E48"/>
    <mergeCell ref="D125:E125"/>
    <mergeCell ref="F125:G125"/>
    <mergeCell ref="D112:E112"/>
    <mergeCell ref="B4:D4"/>
    <mergeCell ref="D62:E62"/>
    <mergeCell ref="D56:E56"/>
    <mergeCell ref="F13:G13"/>
    <mergeCell ref="D127:E127"/>
    <mergeCell ref="F56:G56"/>
    <mergeCell ref="F105:G105"/>
    <mergeCell ref="D157:E157"/>
    <mergeCell ref="F151:G151"/>
    <mergeCell ref="E4:G4"/>
    <mergeCell ref="F11:G11"/>
    <mergeCell ref="D109:E109"/>
    <mergeCell ref="D119:E119"/>
    <mergeCell ref="D46:E46"/>
    <mergeCell ref="H4:I4"/>
    <mergeCell ref="D40:E40"/>
    <mergeCell ref="D111:E111"/>
    <mergeCell ref="F40:G40"/>
    <mergeCell ref="F12:G12"/>
    <mergeCell ref="D104:E104"/>
    <mergeCell ref="F104:G104"/>
    <mergeCell ref="D41:E41"/>
    <mergeCell ref="F41:G41"/>
    <mergeCell ref="F35:G35"/>
    <mergeCell ref="F106:G106"/>
    <mergeCell ref="D43:E43"/>
    <mergeCell ref="D137:E137"/>
    <mergeCell ref="D114:E114"/>
    <mergeCell ref="F43:G43"/>
    <mergeCell ref="D64:E64"/>
    <mergeCell ref="F120:G120"/>
    <mergeCell ref="F154:G154"/>
    <mergeCell ref="D116:E116"/>
    <mergeCell ref="D91:E91"/>
    <mergeCell ref="F91:G91"/>
    <mergeCell ref="D156:E156"/>
    <mergeCell ref="F156:G156"/>
    <mergeCell ref="D106:E106"/>
    <mergeCell ref="A5:B5"/>
    <mergeCell ref="D93:E93"/>
    <mergeCell ref="F155:G155"/>
    <mergeCell ref="F22:G22"/>
    <mergeCell ref="F93:G93"/>
    <mergeCell ref="F149:G149"/>
    <mergeCell ref="D51:E51"/>
    <mergeCell ref="F107:G107"/>
    <mergeCell ref="F57:G57"/>
    <mergeCell ref="D138:E138"/>
    <mergeCell ref="D140:E140"/>
    <mergeCell ref="D11:E11"/>
    <mergeCell ref="F33:G33"/>
    <mergeCell ref="D75:E75"/>
    <mergeCell ref="F75:G75"/>
    <mergeCell ref="F62:G62"/>
    <mergeCell ref="F31:G31"/>
    <mergeCell ref="F6:G6"/>
    <mergeCell ref="F83:G83"/>
    <mergeCell ref="F20:G20"/>
    <mergeCell ref="F85:G85"/>
    <mergeCell ref="D103:E103"/>
    <mergeCell ref="D37:E37"/>
    <mergeCell ref="D9:E9"/>
    <mergeCell ref="D118:E118"/>
    <mergeCell ref="F9:G9"/>
    <mergeCell ref="D38:E38"/>
    <mergeCell ref="D63:E63"/>
    <mergeCell ref="D96:E96"/>
    <mergeCell ref="D52:E52"/>
    <mergeCell ref="D27:E27"/>
    <mergeCell ref="F28:G28"/>
    <mergeCell ref="F65:G65"/>
    <mergeCell ref="F52:G52"/>
    <mergeCell ref="D8:E8"/>
    <mergeCell ref="F37:G37"/>
    <mergeCell ref="F53:G53"/>
    <mergeCell ref="D20:E20"/>
    <mergeCell ref="D22:E22"/>
    <mergeCell ref="F15:G15"/>
    <mergeCell ref="D13:E13"/>
    <mergeCell ref="D158:E158"/>
    <mergeCell ref="F158:G158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24:E24"/>
    <mergeCell ref="D113:E113"/>
    <mergeCell ref="D88:E88"/>
    <mergeCell ref="D148:E148"/>
    <mergeCell ref="D26:E26"/>
    <mergeCell ref="F88:G88"/>
    <mergeCell ref="F148:G148"/>
    <mergeCell ref="D115:E115"/>
    <mergeCell ref="F54:G54"/>
    <mergeCell ref="D145:E145"/>
    <mergeCell ref="F145:G145"/>
    <mergeCell ref="D16:E16"/>
    <mergeCell ref="D87:E87"/>
    <mergeCell ref="D147:E147"/>
    <mergeCell ref="F38:G38"/>
    <mergeCell ref="D122:E122"/>
    <mergeCell ref="D18:E18"/>
    <mergeCell ref="F140:G140"/>
    <mergeCell ref="F67:G67"/>
    <mergeCell ref="D82:E82"/>
    <mergeCell ref="F82:G82"/>
    <mergeCell ref="D100:E100"/>
    <mergeCell ref="F29:G29"/>
    <mergeCell ref="D31:E31"/>
    <mergeCell ref="D19:E19"/>
    <mergeCell ref="D90:E90"/>
    <mergeCell ref="F19:G19"/>
    <mergeCell ref="F146:G146"/>
    <mergeCell ref="F136:G136"/>
    <mergeCell ref="D33:E33"/>
    <mergeCell ref="D35:E35"/>
    <mergeCell ref="F138:G138"/>
    <mergeCell ref="D15:E15"/>
    <mergeCell ref="D142:E142"/>
    <mergeCell ref="D129:E129"/>
    <mergeCell ref="D79:E79"/>
    <mergeCell ref="D144:E144"/>
    <mergeCell ref="F73:G73"/>
    <mergeCell ref="D81:E81"/>
    <mergeCell ref="F137:G137"/>
    <mergeCell ref="F124:G124"/>
    <mergeCell ref="D139:E139"/>
    <mergeCell ref="F139:G139"/>
    <mergeCell ref="F114:G114"/>
    <mergeCell ref="D28:E28"/>
    <mergeCell ref="D117:E117"/>
    <mergeCell ref="D92:E92"/>
    <mergeCell ref="D55:E55"/>
    <mergeCell ref="D30:E30"/>
    <mergeCell ref="F117:G117"/>
    <mergeCell ref="F92:G92"/>
    <mergeCell ref="D67:E67"/>
    <mergeCell ref="D94:E94"/>
    <mergeCell ref="F119:G119"/>
    <mergeCell ref="D69:E69"/>
    <mergeCell ref="F69:G69"/>
    <mergeCell ref="D7:E7"/>
    <mergeCell ref="D78:E78"/>
    <mergeCell ref="D134:E134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D131:E131"/>
    <mergeCell ref="D124:E124"/>
    <mergeCell ref="F18:G18"/>
    <mergeCell ref="F45:G45"/>
    <mergeCell ref="F42:G42"/>
    <mergeCell ref="D66:E66"/>
    <mergeCell ref="D126:E126"/>
    <mergeCell ref="F66:G66"/>
    <mergeCell ref="F17:G17"/>
    <mergeCell ref="F126:G126"/>
    <mergeCell ref="D53:E53"/>
    <mergeCell ref="D47:E47"/>
    <mergeCell ref="D60:E60"/>
    <mergeCell ref="F116:G116"/>
    <mergeCell ref="F16:G16"/>
    <mergeCell ref="F103:G103"/>
    <mergeCell ref="F108:G108"/>
    <mergeCell ref="F143:G143"/>
    <mergeCell ref="F118:G118"/>
    <mergeCell ref="D45:E45"/>
    <mergeCell ref="D70:E70"/>
    <mergeCell ref="F70:G70"/>
    <mergeCell ref="F109:G109"/>
    <mergeCell ref="F47:G47"/>
    <mergeCell ref="F46:G46"/>
    <mergeCell ref="F111:G111"/>
    <mergeCell ref="F61:G61"/>
    <mergeCell ref="F48:G48"/>
    <mergeCell ref="F112:G112"/>
    <mergeCell ref="F127:G127"/>
    <mergeCell ref="D21:E21"/>
    <mergeCell ref="F51:G51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tabColor theme="8" tint="0.59999389629810485"/>
  </sheetPr>
  <dimension ref="A1:O97"/>
  <sheetViews>
    <sheetView workbookViewId="0">
      <selection activeCell="A21" sqref="A2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589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590</v>
      </c>
      <c r="C3" s="263"/>
      <c r="D3" s="260"/>
      <c r="E3" s="266" t="s">
        <v>11</v>
      </c>
      <c r="F3" s="263"/>
      <c r="G3" s="260"/>
      <c r="H3" s="268" t="s">
        <v>591</v>
      </c>
      <c r="I3" s="269"/>
      <c r="J3" s="19" t="str">
        <f>B3</f>
        <v>Diapin 2mg</v>
      </c>
      <c r="K3" s="34" t="s">
        <v>592</v>
      </c>
      <c r="L3" s="5">
        <f>H7</f>
        <v>76</v>
      </c>
      <c r="M3" s="3">
        <f>SUM(C$8:C$1048576)</f>
        <v>0</v>
      </c>
      <c r="N3" s="3">
        <f>SUM(F:F)</f>
        <v>28</v>
      </c>
      <c r="O3" s="3">
        <f>L3+M3-N3</f>
        <v>48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593</v>
      </c>
      <c r="I4" s="269"/>
      <c r="J4" s="12"/>
      <c r="K4" s="3"/>
      <c r="L4" s="3"/>
      <c r="M4" s="3"/>
      <c r="N4" s="3"/>
      <c r="O4" s="3">
        <f>N3</f>
        <v>28</v>
      </c>
    </row>
    <row r="5" spans="1:15" ht="28.5" customHeight="1">
      <c r="A5" s="272" t="s">
        <v>18</v>
      </c>
      <c r="B5" s="260"/>
      <c r="C5" s="262" t="s">
        <v>594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76</v>
      </c>
      <c r="D7" s="280"/>
      <c r="E7" s="260"/>
      <c r="F7" s="280"/>
      <c r="G7" s="260"/>
      <c r="H7" s="155">
        <v>76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342</v>
      </c>
      <c r="B8" s="38" t="s">
        <v>323</v>
      </c>
      <c r="C8" s="38"/>
      <c r="D8" s="279"/>
      <c r="E8" s="260"/>
      <c r="F8" s="279">
        <v>28</v>
      </c>
      <c r="G8" s="260"/>
      <c r="H8" s="38">
        <f>H7-F8</f>
        <v>48</v>
      </c>
      <c r="I8" s="114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35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35"/>
      <c r="J10" s="12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35"/>
      <c r="J11" s="12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35"/>
      <c r="J12" s="12"/>
    </row>
    <row r="13" spans="1:15" ht="26.7" customHeight="1">
      <c r="A13" s="25"/>
      <c r="B13" s="6"/>
      <c r="C13" s="7"/>
      <c r="D13" s="259"/>
      <c r="E13" s="260"/>
      <c r="F13" s="294"/>
      <c r="G13" s="260"/>
      <c r="H13" s="7"/>
      <c r="I13" s="26"/>
      <c r="J13" s="12"/>
    </row>
    <row r="14" spans="1:15" ht="26.7" customHeight="1">
      <c r="A14" s="25"/>
      <c r="B14" s="6"/>
      <c r="C14" s="7"/>
      <c r="D14" s="259"/>
      <c r="E14" s="260"/>
      <c r="F14" s="294"/>
      <c r="G14" s="260"/>
      <c r="H14" s="7"/>
      <c r="I14" s="26"/>
      <c r="J14" s="12"/>
    </row>
    <row r="15" spans="1:15" ht="26.7" customHeight="1">
      <c r="A15" s="25"/>
      <c r="B15" s="6"/>
      <c r="C15" s="7"/>
      <c r="D15" s="259"/>
      <c r="E15" s="260"/>
      <c r="F15" s="294"/>
      <c r="G15" s="260"/>
      <c r="H15" s="7"/>
      <c r="I15" s="26"/>
      <c r="J15" s="12"/>
    </row>
    <row r="16" spans="1:15" ht="26.7" customHeight="1">
      <c r="A16" s="25"/>
      <c r="B16" s="6"/>
      <c r="C16" s="7"/>
      <c r="D16" s="259"/>
      <c r="E16" s="260"/>
      <c r="F16" s="294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94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94"/>
      <c r="G18" s="260"/>
      <c r="H18" s="7"/>
      <c r="I18" s="28"/>
      <c r="J18" s="12"/>
    </row>
    <row r="19" spans="1:10" ht="26.7" customHeight="1">
      <c r="A19" s="25"/>
      <c r="B19" s="6"/>
      <c r="C19" s="7"/>
      <c r="D19" s="259"/>
      <c r="E19" s="260"/>
      <c r="F19" s="294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94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 thickBot="1">
      <c r="A24" s="29"/>
      <c r="B24" s="30"/>
      <c r="C24" s="31"/>
      <c r="D24" s="264"/>
      <c r="E24" s="265"/>
      <c r="F24" s="267"/>
      <c r="G24" s="265"/>
      <c r="H24" s="31"/>
      <c r="I24" s="32"/>
      <c r="J24" s="12"/>
    </row>
    <row r="25" spans="1:10" ht="21" customHeight="1">
      <c r="A25" s="20"/>
      <c r="B25" s="21"/>
      <c r="C25" s="22"/>
      <c r="D25" s="276"/>
      <c r="E25" s="277"/>
      <c r="F25" s="278"/>
      <c r="G25" s="277"/>
      <c r="H25" s="22"/>
      <c r="I25" s="22"/>
      <c r="J25" s="3"/>
    </row>
    <row r="26" spans="1:10" ht="21" customHeight="1">
      <c r="A26" s="13"/>
      <c r="B26" s="6"/>
      <c r="C26" s="7"/>
      <c r="D26" s="259"/>
      <c r="E26" s="260"/>
      <c r="F26" s="261"/>
      <c r="G26" s="260"/>
      <c r="H26" s="7"/>
      <c r="I26" s="7"/>
    </row>
    <row r="27" spans="1:10" ht="21" customHeight="1">
      <c r="A27" s="13"/>
      <c r="B27" s="6"/>
      <c r="C27" s="7"/>
      <c r="D27" s="259"/>
      <c r="E27" s="260"/>
      <c r="F27" s="261"/>
      <c r="G27" s="260"/>
      <c r="H27" s="7"/>
      <c r="I27" s="16"/>
    </row>
    <row r="28" spans="1:10" ht="21" customHeight="1">
      <c r="A28" s="13"/>
      <c r="B28" s="6"/>
      <c r="C28" s="7"/>
      <c r="D28" s="259"/>
      <c r="E28" s="260"/>
      <c r="F28" s="261"/>
      <c r="G28" s="260"/>
      <c r="H28" s="7"/>
      <c r="I28" s="7"/>
    </row>
    <row r="29" spans="1:10" ht="21" customHeight="1">
      <c r="A29" s="13"/>
      <c r="B29" s="6"/>
      <c r="C29" s="7"/>
      <c r="D29" s="259"/>
      <c r="E29" s="260"/>
      <c r="F29" s="261"/>
      <c r="G29" s="260"/>
      <c r="H29" s="7"/>
      <c r="I29" s="7"/>
    </row>
    <row r="30" spans="1:10" ht="21" customHeight="1">
      <c r="A30" s="13"/>
      <c r="B30" s="6"/>
      <c r="C30" s="3"/>
      <c r="D30" s="259"/>
      <c r="E30" s="260"/>
      <c r="F30" s="261"/>
      <c r="G30" s="260"/>
      <c r="H30" s="7"/>
      <c r="I30" s="16"/>
    </row>
    <row r="31" spans="1:10" ht="21" customHeight="1">
      <c r="A31" s="13"/>
      <c r="B31" s="6"/>
      <c r="C31" s="3"/>
      <c r="D31" s="259"/>
      <c r="E31" s="260"/>
      <c r="F31" s="261"/>
      <c r="G31" s="260"/>
      <c r="H31" s="7"/>
      <c r="I31" s="7"/>
    </row>
    <row r="32" spans="1:10" ht="21" customHeight="1">
      <c r="A32" s="13"/>
      <c r="B32" s="6"/>
      <c r="C32" s="3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3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3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10"/>
      <c r="D41" s="259"/>
      <c r="E41" s="260"/>
      <c r="F41" s="261"/>
      <c r="G41" s="260"/>
      <c r="H41" s="7"/>
      <c r="I41" s="7"/>
    </row>
    <row r="42" spans="1:9" ht="21" customHeight="1">
      <c r="A42" s="13"/>
      <c r="B42" s="8"/>
      <c r="C42" s="10"/>
      <c r="D42" s="259"/>
      <c r="E42" s="260"/>
      <c r="F42" s="261"/>
      <c r="G42" s="260"/>
      <c r="H42" s="7"/>
      <c r="I42" s="11"/>
    </row>
    <row r="43" spans="1:9" ht="21" customHeight="1">
      <c r="A43" s="13"/>
      <c r="B43" s="6"/>
      <c r="C43" s="9"/>
      <c r="D43" s="259"/>
      <c r="E43" s="260"/>
      <c r="F43" s="261"/>
      <c r="G43" s="260"/>
      <c r="H43" s="7"/>
      <c r="I43" s="7"/>
    </row>
    <row r="44" spans="1:9" ht="21" customHeight="1">
      <c r="A44" s="14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4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5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4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4"/>
      <c r="B49" s="6"/>
      <c r="C49" s="3"/>
      <c r="D49" s="259"/>
      <c r="E49" s="260"/>
      <c r="F49" s="261"/>
      <c r="G49" s="260"/>
      <c r="H49" s="7"/>
      <c r="I49" s="16"/>
    </row>
    <row r="50" spans="1:9" ht="21" customHeight="1">
      <c r="A50" s="15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5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9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5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4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8"/>
      <c r="C75" s="9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8"/>
      <c r="C77" s="9"/>
      <c r="D77" s="259"/>
      <c r="E77" s="260"/>
      <c r="F77" s="261"/>
      <c r="G77" s="260"/>
      <c r="H77" s="7"/>
      <c r="I77" s="11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9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9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</sheetData>
  <mergeCells count="194"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D58:E58"/>
    <mergeCell ref="D18:E1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12:G12"/>
    <mergeCell ref="F24:G24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44:G44"/>
    <mergeCell ref="D94:E94"/>
    <mergeCell ref="D69:E69"/>
    <mergeCell ref="F69:G69"/>
    <mergeCell ref="F11:G11"/>
    <mergeCell ref="F78:G78"/>
    <mergeCell ref="F65:G65"/>
    <mergeCell ref="D46:E46"/>
    <mergeCell ref="D40:E40"/>
    <mergeCell ref="H4:I4"/>
    <mergeCell ref="D80:E80"/>
    <mergeCell ref="F40:G40"/>
    <mergeCell ref="D21:E21"/>
    <mergeCell ref="F59:G59"/>
    <mergeCell ref="F55:G55"/>
    <mergeCell ref="D96:E96"/>
    <mergeCell ref="D65:E65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D91:E91"/>
    <mergeCell ref="F8:G8"/>
    <mergeCell ref="F91:G91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A5:B5"/>
    <mergeCell ref="D30:E30"/>
    <mergeCell ref="F49:G49"/>
    <mergeCell ref="D14:E14"/>
    <mergeCell ref="E4:G4"/>
    <mergeCell ref="F14:G14"/>
    <mergeCell ref="D54:E54"/>
    <mergeCell ref="F94:G94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89:E89"/>
    <mergeCell ref="D79:E79"/>
    <mergeCell ref="F64:G64"/>
    <mergeCell ref="F73:G73"/>
    <mergeCell ref="F87:G87"/>
    <mergeCell ref="D63:E63"/>
    <mergeCell ref="D81:E81"/>
    <mergeCell ref="F89:G89"/>
    <mergeCell ref="F92:G92"/>
    <mergeCell ref="D67:E67"/>
    <mergeCell ref="D90:E90"/>
    <mergeCell ref="F63:G63"/>
    <mergeCell ref="F6:G6"/>
    <mergeCell ref="F74:G74"/>
    <mergeCell ref="F83:G83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D9:E9"/>
    <mergeCell ref="F9:G9"/>
    <mergeCell ref="D85:E85"/>
    <mergeCell ref="B4:D4"/>
    <mergeCell ref="F23:G23"/>
    <mergeCell ref="F81:G81"/>
    <mergeCell ref="D62:E62"/>
    <mergeCell ref="D56:E56"/>
    <mergeCell ref="D71:E71"/>
    <mergeCell ref="F13:G13"/>
    <mergeCell ref="F96:G96"/>
    <mergeCell ref="F71:G71"/>
    <mergeCell ref="F56:G56"/>
    <mergeCell ref="F43:G43"/>
    <mergeCell ref="D24:E24"/>
    <mergeCell ref="D64:E64"/>
    <mergeCell ref="D33:E33"/>
    <mergeCell ref="D73:E73"/>
    <mergeCell ref="D51:E51"/>
    <mergeCell ref="D88:E88"/>
    <mergeCell ref="D26:E26"/>
    <mergeCell ref="F88:G88"/>
    <mergeCell ref="F57:G57"/>
    <mergeCell ref="D35:E35"/>
    <mergeCell ref="D10:E10"/>
    <mergeCell ref="F54:G54"/>
    <mergeCell ref="D19:E19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D34:E34"/>
    <mergeCell ref="F19:G19"/>
    <mergeCell ref="F34:G34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F10:G1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O99"/>
  <sheetViews>
    <sheetView workbookViewId="0">
      <pane ySplit="6" topLeftCell="A40" activePane="bottomLeft" state="frozen"/>
      <selection activeCell="A21" sqref="A21"/>
      <selection pane="bottomLeft" activeCell="A21" sqref="A21"/>
    </sheetView>
  </sheetViews>
  <sheetFormatPr defaultColWidth="8.77734375" defaultRowHeight="16.2"/>
  <cols>
    <col min="1" max="1" width="11.6640625" style="158" customWidth="1"/>
    <col min="2" max="2" width="11" style="158" customWidth="1"/>
    <col min="3" max="3" width="11.109375" style="158" customWidth="1"/>
    <col min="4" max="4" width="7.109375" style="158" customWidth="1"/>
    <col min="5" max="5" width="9.77734375" style="158" customWidth="1"/>
    <col min="6" max="6" width="8.77734375" style="158" customWidth="1"/>
    <col min="7" max="7" width="6.33203125" style="158" customWidth="1"/>
    <col min="8" max="8" width="11.77734375" style="158" customWidth="1"/>
    <col min="9" max="9" width="16.77734375" style="158" customWidth="1"/>
    <col min="10" max="10" width="16" style="246" bestFit="1" customWidth="1"/>
  </cols>
  <sheetData>
    <row r="1" spans="1:15" ht="34.5" customHeight="1" thickBot="1">
      <c r="A1" s="270" t="s">
        <v>595</v>
      </c>
      <c r="B1" s="271"/>
      <c r="C1" s="271"/>
      <c r="D1" s="271"/>
      <c r="E1" s="271"/>
      <c r="F1" s="271"/>
      <c r="G1" s="271"/>
      <c r="H1" s="271"/>
      <c r="I1" s="271"/>
      <c r="J1" s="38" t="s">
        <v>596</v>
      </c>
      <c r="K1" s="160" t="s">
        <v>597</v>
      </c>
      <c r="L1" s="38" t="s">
        <v>515</v>
      </c>
      <c r="M1" s="38" t="s">
        <v>598</v>
      </c>
      <c r="N1" s="1"/>
      <c r="O1" s="1"/>
    </row>
    <row r="2" spans="1:15" ht="34.950000000000003" customHeight="1">
      <c r="A2" s="33" t="s">
        <v>599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600</v>
      </c>
      <c r="C3" s="263"/>
      <c r="D3" s="260"/>
      <c r="E3" s="266" t="s">
        <v>11</v>
      </c>
      <c r="F3" s="263"/>
      <c r="G3" s="260"/>
      <c r="H3" s="268" t="s">
        <v>379</v>
      </c>
      <c r="I3" s="269"/>
      <c r="J3" s="19" t="str">
        <f>B3</f>
        <v>Eszo 2mg</v>
      </c>
      <c r="K3" s="34" t="s">
        <v>601</v>
      </c>
      <c r="L3" s="5">
        <f>H7</f>
        <v>482.5</v>
      </c>
      <c r="M3" s="3">
        <f>SUM(C$8:C$1048576)</f>
        <v>1000</v>
      </c>
      <c r="N3" s="3">
        <f>SUM(F:F)</f>
        <v>1164</v>
      </c>
      <c r="O3" s="3">
        <f>L3+M3-N3</f>
        <v>318.5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602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603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6.7" customHeight="1">
      <c r="A7" s="196" t="s">
        <v>29</v>
      </c>
      <c r="B7" s="155" t="s">
        <v>5</v>
      </c>
      <c r="C7" s="155">
        <v>482.5</v>
      </c>
      <c r="D7" s="280"/>
      <c r="E7" s="260"/>
      <c r="F7" s="280"/>
      <c r="G7" s="260"/>
      <c r="H7" s="155">
        <v>482.5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29</v>
      </c>
      <c r="B8" s="38" t="s">
        <v>323</v>
      </c>
      <c r="C8" s="38"/>
      <c r="D8" s="279"/>
      <c r="E8" s="260"/>
      <c r="F8" s="279">
        <v>28</v>
      </c>
      <c r="G8" s="260"/>
      <c r="H8" s="38">
        <f t="shared" ref="H8:H19" si="0">H7-F8</f>
        <v>454.5</v>
      </c>
      <c r="I8" s="26"/>
      <c r="J8" s="12"/>
      <c r="K8" s="3"/>
      <c r="L8" s="3"/>
      <c r="M8" s="3"/>
      <c r="N8" s="3"/>
      <c r="O8" s="3"/>
    </row>
    <row r="9" spans="1:15" ht="26.7" customHeight="1">
      <c r="A9" s="39" t="s">
        <v>333</v>
      </c>
      <c r="B9" s="38" t="s">
        <v>323</v>
      </c>
      <c r="C9" s="7"/>
      <c r="D9" s="259"/>
      <c r="E9" s="260"/>
      <c r="F9" s="279">
        <v>14</v>
      </c>
      <c r="G9" s="260"/>
      <c r="H9" s="38">
        <f t="shared" si="0"/>
        <v>440.5</v>
      </c>
      <c r="I9" s="26"/>
      <c r="J9" s="12"/>
      <c r="K9" s="3"/>
      <c r="L9" s="3"/>
      <c r="M9" s="3"/>
      <c r="N9" s="3"/>
      <c r="O9" s="3"/>
    </row>
    <row r="10" spans="1:15" ht="26.7" customHeight="1">
      <c r="A10" s="39" t="s">
        <v>334</v>
      </c>
      <c r="B10" s="38" t="s">
        <v>323</v>
      </c>
      <c r="C10" s="7"/>
      <c r="D10" s="259"/>
      <c r="E10" s="260"/>
      <c r="F10" s="279">
        <v>28</v>
      </c>
      <c r="G10" s="260"/>
      <c r="H10" s="38">
        <f t="shared" si="0"/>
        <v>412.5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39" t="s">
        <v>409</v>
      </c>
      <c r="B11" s="38" t="s">
        <v>323</v>
      </c>
      <c r="C11" s="38"/>
      <c r="D11" s="287"/>
      <c r="E11" s="260"/>
      <c r="F11" s="279">
        <v>60</v>
      </c>
      <c r="G11" s="260"/>
      <c r="H11" s="38">
        <f t="shared" si="0"/>
        <v>352.5</v>
      </c>
      <c r="I11" s="90"/>
      <c r="J11" s="12"/>
      <c r="K11" s="3"/>
      <c r="L11" s="3"/>
      <c r="M11" s="3"/>
      <c r="N11" s="3"/>
      <c r="O11" s="3"/>
    </row>
    <row r="12" spans="1:15" ht="26.7" customHeight="1">
      <c r="A12" s="39" t="s">
        <v>463</v>
      </c>
      <c r="B12" s="38" t="s">
        <v>323</v>
      </c>
      <c r="C12" s="7"/>
      <c r="D12" s="259"/>
      <c r="E12" s="260"/>
      <c r="F12" s="279">
        <v>42</v>
      </c>
      <c r="G12" s="260"/>
      <c r="H12" s="38">
        <f t="shared" si="0"/>
        <v>310.5</v>
      </c>
      <c r="I12" s="108"/>
      <c r="J12" s="12"/>
      <c r="K12" s="3"/>
      <c r="L12" s="3"/>
      <c r="M12" s="3"/>
      <c r="N12" s="3"/>
      <c r="O12" s="3"/>
    </row>
    <row r="13" spans="1:15" ht="26.7" customHeight="1">
      <c r="A13" s="39" t="s">
        <v>523</v>
      </c>
      <c r="B13" s="38" t="s">
        <v>323</v>
      </c>
      <c r="C13" s="7"/>
      <c r="D13" s="259"/>
      <c r="E13" s="260"/>
      <c r="F13" s="279">
        <v>28</v>
      </c>
      <c r="G13" s="260"/>
      <c r="H13" s="38">
        <f t="shared" si="0"/>
        <v>282.5</v>
      </c>
      <c r="I13" s="26"/>
      <c r="J13" s="12"/>
    </row>
    <row r="14" spans="1:15" ht="26.7" customHeight="1">
      <c r="A14" s="39" t="s">
        <v>464</v>
      </c>
      <c r="B14" s="38" t="s">
        <v>323</v>
      </c>
      <c r="C14" s="7"/>
      <c r="D14" s="259"/>
      <c r="E14" s="260"/>
      <c r="F14" s="279">
        <v>14</v>
      </c>
      <c r="G14" s="260"/>
      <c r="H14" s="38">
        <f t="shared" si="0"/>
        <v>268.5</v>
      </c>
      <c r="I14" s="26"/>
      <c r="J14" s="12"/>
    </row>
    <row r="15" spans="1:15" ht="26.7" customHeight="1">
      <c r="A15" s="39" t="s">
        <v>469</v>
      </c>
      <c r="B15" s="38" t="s">
        <v>323</v>
      </c>
      <c r="C15" s="7"/>
      <c r="D15" s="259"/>
      <c r="E15" s="260"/>
      <c r="F15" s="279">
        <v>28</v>
      </c>
      <c r="G15" s="260"/>
      <c r="H15" s="38">
        <f t="shared" si="0"/>
        <v>240.5</v>
      </c>
      <c r="I15" s="26"/>
      <c r="J15" s="12"/>
    </row>
    <row r="16" spans="1:15" ht="26.7" customHeight="1">
      <c r="A16" s="39" t="s">
        <v>434</v>
      </c>
      <c r="B16" s="38" t="s">
        <v>323</v>
      </c>
      <c r="C16" s="7"/>
      <c r="D16" s="259"/>
      <c r="E16" s="260"/>
      <c r="F16" s="279">
        <v>30</v>
      </c>
      <c r="G16" s="260"/>
      <c r="H16" s="38">
        <f t="shared" si="0"/>
        <v>210.5</v>
      </c>
      <c r="I16" s="108" t="s">
        <v>437</v>
      </c>
      <c r="J16" s="12"/>
    </row>
    <row r="17" spans="1:10" ht="26.7" customHeight="1">
      <c r="A17" s="39" t="s">
        <v>435</v>
      </c>
      <c r="B17" s="38" t="s">
        <v>323</v>
      </c>
      <c r="C17" s="38"/>
      <c r="D17" s="279"/>
      <c r="E17" s="260"/>
      <c r="F17" s="279">
        <v>30</v>
      </c>
      <c r="G17" s="260"/>
      <c r="H17" s="38">
        <f t="shared" si="0"/>
        <v>180.5</v>
      </c>
      <c r="I17" s="108"/>
      <c r="J17" s="12"/>
    </row>
    <row r="18" spans="1:10" ht="26.7" customHeight="1">
      <c r="A18" s="39" t="s">
        <v>474</v>
      </c>
      <c r="B18" s="38" t="s">
        <v>323</v>
      </c>
      <c r="C18" s="7"/>
      <c r="D18" s="259"/>
      <c r="E18" s="260"/>
      <c r="F18" s="279">
        <v>28</v>
      </c>
      <c r="G18" s="260"/>
      <c r="H18" s="38">
        <f t="shared" si="0"/>
        <v>152.5</v>
      </c>
      <c r="I18" s="108"/>
      <c r="J18" s="12"/>
    </row>
    <row r="19" spans="1:10" ht="26.7" customHeight="1">
      <c r="A19" s="39" t="s">
        <v>384</v>
      </c>
      <c r="B19" s="38" t="s">
        <v>323</v>
      </c>
      <c r="C19" s="7"/>
      <c r="D19" s="259"/>
      <c r="E19" s="260"/>
      <c r="F19" s="279">
        <v>14</v>
      </c>
      <c r="G19" s="260"/>
      <c r="H19" s="38">
        <f t="shared" si="0"/>
        <v>138.5</v>
      </c>
      <c r="I19" s="26"/>
      <c r="J19" s="12"/>
    </row>
    <row r="20" spans="1:10" ht="26.7" customHeight="1">
      <c r="A20" s="39" t="s">
        <v>436</v>
      </c>
      <c r="B20" s="38" t="s">
        <v>324</v>
      </c>
      <c r="C20" s="7">
        <v>400</v>
      </c>
      <c r="D20" s="259">
        <v>2540301</v>
      </c>
      <c r="E20" s="260"/>
      <c r="F20" s="279"/>
      <c r="G20" s="260"/>
      <c r="H20" s="38">
        <v>538.5</v>
      </c>
      <c r="I20" s="108" t="s">
        <v>437</v>
      </c>
      <c r="J20" s="12"/>
    </row>
    <row r="21" spans="1:10" ht="26.7" customHeight="1">
      <c r="A21" s="39" t="s">
        <v>476</v>
      </c>
      <c r="B21" s="38" t="s">
        <v>323</v>
      </c>
      <c r="C21" s="7"/>
      <c r="D21" s="259"/>
      <c r="E21" s="260"/>
      <c r="F21" s="279">
        <v>28</v>
      </c>
      <c r="G21" s="260"/>
      <c r="H21" s="38">
        <f t="shared" ref="H21:H28" si="1">H20-F21</f>
        <v>510.5</v>
      </c>
      <c r="I21" s="28"/>
      <c r="J21" s="12"/>
    </row>
    <row r="22" spans="1:10" ht="26.7" customHeight="1">
      <c r="A22" s="39" t="s">
        <v>477</v>
      </c>
      <c r="B22" s="38" t="s">
        <v>323</v>
      </c>
      <c r="C22" s="7"/>
      <c r="D22" s="259"/>
      <c r="E22" s="260"/>
      <c r="F22" s="279">
        <v>42</v>
      </c>
      <c r="G22" s="260"/>
      <c r="H22" s="38">
        <f t="shared" si="1"/>
        <v>468.5</v>
      </c>
      <c r="I22" s="108" t="s">
        <v>437</v>
      </c>
      <c r="J22" s="12"/>
    </row>
    <row r="23" spans="1:10" ht="26.7" customHeight="1">
      <c r="A23" s="41" t="s">
        <v>386</v>
      </c>
      <c r="B23" s="38" t="s">
        <v>323</v>
      </c>
      <c r="C23" s="7"/>
      <c r="D23" s="259"/>
      <c r="E23" s="260"/>
      <c r="F23" s="279">
        <v>79</v>
      </c>
      <c r="G23" s="260"/>
      <c r="H23" s="38">
        <f t="shared" si="1"/>
        <v>389.5</v>
      </c>
      <c r="I23" s="26"/>
      <c r="J23" s="12"/>
    </row>
    <row r="24" spans="1:10" ht="26.7" customHeight="1">
      <c r="A24" s="39" t="s">
        <v>604</v>
      </c>
      <c r="B24" s="38" t="s">
        <v>323</v>
      </c>
      <c r="C24" s="7"/>
      <c r="D24" s="259"/>
      <c r="E24" s="260"/>
      <c r="F24" s="279">
        <v>28</v>
      </c>
      <c r="G24" s="260"/>
      <c r="H24" s="38">
        <f t="shared" si="1"/>
        <v>361.5</v>
      </c>
      <c r="I24" s="26"/>
      <c r="J24" s="12"/>
    </row>
    <row r="25" spans="1:10" ht="26.7" customHeight="1">
      <c r="A25" s="39" t="s">
        <v>478</v>
      </c>
      <c r="B25" s="38" t="s">
        <v>323</v>
      </c>
      <c r="C25" s="7"/>
      <c r="D25" s="259"/>
      <c r="E25" s="260"/>
      <c r="F25" s="279">
        <v>28</v>
      </c>
      <c r="G25" s="260"/>
      <c r="H25" s="38">
        <f t="shared" si="1"/>
        <v>333.5</v>
      </c>
      <c r="I25" s="26"/>
      <c r="J25" s="12"/>
    </row>
    <row r="26" spans="1:10" ht="26.7" customHeight="1" thickBot="1">
      <c r="A26" s="39" t="s">
        <v>346</v>
      </c>
      <c r="B26" s="38" t="s">
        <v>323</v>
      </c>
      <c r="C26" s="31"/>
      <c r="D26" s="264"/>
      <c r="E26" s="265"/>
      <c r="F26" s="279">
        <v>7</v>
      </c>
      <c r="G26" s="260"/>
      <c r="H26" s="38">
        <f t="shared" si="1"/>
        <v>326.5</v>
      </c>
      <c r="I26" s="32"/>
      <c r="J26" s="12"/>
    </row>
    <row r="27" spans="1:10" ht="26.7" customHeight="1">
      <c r="A27" s="39" t="s">
        <v>439</v>
      </c>
      <c r="B27" s="38" t="s">
        <v>323</v>
      </c>
      <c r="C27" s="22"/>
      <c r="D27" s="276"/>
      <c r="E27" s="277"/>
      <c r="F27" s="279">
        <v>28</v>
      </c>
      <c r="G27" s="260"/>
      <c r="H27" s="38">
        <f t="shared" si="1"/>
        <v>298.5</v>
      </c>
      <c r="I27" s="22"/>
      <c r="J27" s="3"/>
    </row>
    <row r="28" spans="1:10" ht="26.7" customHeight="1">
      <c r="A28" s="39" t="s">
        <v>482</v>
      </c>
      <c r="B28" s="38" t="s">
        <v>323</v>
      </c>
      <c r="C28" s="7"/>
      <c r="D28" s="259"/>
      <c r="E28" s="260"/>
      <c r="F28" s="279">
        <v>14</v>
      </c>
      <c r="G28" s="260"/>
      <c r="H28" s="38">
        <f t="shared" si="1"/>
        <v>284.5</v>
      </c>
      <c r="I28" s="7"/>
    </row>
    <row r="29" spans="1:10" ht="26.7" customHeight="1">
      <c r="A29" s="39" t="s">
        <v>482</v>
      </c>
      <c r="B29" s="38" t="s">
        <v>324</v>
      </c>
      <c r="C29" s="38">
        <v>300</v>
      </c>
      <c r="D29" s="279">
        <v>2540308</v>
      </c>
      <c r="E29" s="260"/>
      <c r="F29" s="279"/>
      <c r="G29" s="260"/>
      <c r="H29" s="38">
        <v>584.5</v>
      </c>
      <c r="I29" s="129" t="s">
        <v>437</v>
      </c>
    </row>
    <row r="30" spans="1:10" ht="26.7" customHeight="1">
      <c r="A30" s="39" t="s">
        <v>537</v>
      </c>
      <c r="B30" s="38" t="s">
        <v>323</v>
      </c>
      <c r="C30" s="38"/>
      <c r="D30" s="279"/>
      <c r="E30" s="260"/>
      <c r="F30" s="279">
        <v>30</v>
      </c>
      <c r="G30" s="260"/>
      <c r="H30" s="38">
        <f t="shared" ref="H30:H42" si="2">H29-F30</f>
        <v>554.5</v>
      </c>
      <c r="I30" s="38"/>
    </row>
    <row r="31" spans="1:10" ht="26.7" customHeight="1">
      <c r="A31" s="39" t="s">
        <v>389</v>
      </c>
      <c r="B31" s="38" t="s">
        <v>323</v>
      </c>
      <c r="C31" s="38"/>
      <c r="D31" s="279"/>
      <c r="E31" s="260"/>
      <c r="F31" s="279">
        <v>28</v>
      </c>
      <c r="G31" s="260"/>
      <c r="H31" s="38">
        <f t="shared" si="2"/>
        <v>526.5</v>
      </c>
      <c r="I31" s="38"/>
    </row>
    <row r="32" spans="1:10" ht="26.7" customHeight="1">
      <c r="A32" s="103" t="s">
        <v>440</v>
      </c>
      <c r="B32" s="38" t="s">
        <v>323</v>
      </c>
      <c r="C32" s="56"/>
      <c r="D32" s="279"/>
      <c r="E32" s="260"/>
      <c r="F32" s="279">
        <v>28</v>
      </c>
      <c r="G32" s="260"/>
      <c r="H32" s="38">
        <f t="shared" si="2"/>
        <v>498.5</v>
      </c>
      <c r="I32" s="129"/>
    </row>
    <row r="33" spans="1:9" ht="26.7" customHeight="1">
      <c r="A33" s="39" t="s">
        <v>441</v>
      </c>
      <c r="B33" s="38" t="s">
        <v>323</v>
      </c>
      <c r="C33" s="56"/>
      <c r="D33" s="279"/>
      <c r="E33" s="260"/>
      <c r="F33" s="279">
        <v>42</v>
      </c>
      <c r="G33" s="260"/>
      <c r="H33" s="38">
        <f t="shared" si="2"/>
        <v>456.5</v>
      </c>
      <c r="I33" s="38"/>
    </row>
    <row r="34" spans="1:9" ht="26.7" customHeight="1">
      <c r="A34" s="39" t="s">
        <v>491</v>
      </c>
      <c r="B34" s="228" t="s">
        <v>323</v>
      </c>
      <c r="C34" s="56"/>
      <c r="D34" s="279"/>
      <c r="E34" s="260"/>
      <c r="F34" s="279">
        <v>14</v>
      </c>
      <c r="G34" s="260"/>
      <c r="H34" s="38">
        <f t="shared" si="2"/>
        <v>442.5</v>
      </c>
      <c r="I34" s="38"/>
    </row>
    <row r="35" spans="1:9" ht="26.7" customHeight="1">
      <c r="A35" s="39" t="s">
        <v>543</v>
      </c>
      <c r="B35" s="38" t="s">
        <v>323</v>
      </c>
      <c r="C35" s="56"/>
      <c r="D35" s="279"/>
      <c r="E35" s="260"/>
      <c r="F35" s="279">
        <v>30</v>
      </c>
      <c r="G35" s="260"/>
      <c r="H35" s="38">
        <f t="shared" si="2"/>
        <v>412.5</v>
      </c>
      <c r="I35" s="38"/>
    </row>
    <row r="36" spans="1:9" ht="26.7" customHeight="1">
      <c r="A36" s="39" t="s">
        <v>393</v>
      </c>
      <c r="B36" s="38" t="s">
        <v>323</v>
      </c>
      <c r="C36" s="56"/>
      <c r="D36" s="279"/>
      <c r="E36" s="260"/>
      <c r="F36" s="279">
        <v>15</v>
      </c>
      <c r="G36" s="260"/>
      <c r="H36" s="38">
        <f t="shared" si="2"/>
        <v>397.5</v>
      </c>
      <c r="I36" s="230" t="s">
        <v>605</v>
      </c>
    </row>
    <row r="37" spans="1:9" ht="26.7" customHeight="1">
      <c r="A37" s="39" t="s">
        <v>418</v>
      </c>
      <c r="B37" s="38" t="s">
        <v>323</v>
      </c>
      <c r="C37" s="56"/>
      <c r="D37" s="279"/>
      <c r="E37" s="260"/>
      <c r="F37" s="279">
        <v>15</v>
      </c>
      <c r="G37" s="260"/>
      <c r="H37" s="38">
        <f t="shared" si="2"/>
        <v>382.5</v>
      </c>
      <c r="I37" s="38"/>
    </row>
    <row r="38" spans="1:9" ht="26.7" customHeight="1">
      <c r="A38" s="39" t="s">
        <v>447</v>
      </c>
      <c r="B38" s="38" t="s">
        <v>323</v>
      </c>
      <c r="C38" s="56"/>
      <c r="D38" s="279"/>
      <c r="E38" s="260"/>
      <c r="F38" s="279">
        <v>28</v>
      </c>
      <c r="G38" s="260"/>
      <c r="H38" s="38">
        <f t="shared" si="2"/>
        <v>354.5</v>
      </c>
      <c r="I38" s="38"/>
    </row>
    <row r="39" spans="1:9" ht="26.7" customHeight="1">
      <c r="A39" s="39" t="s">
        <v>358</v>
      </c>
      <c r="B39" s="38" t="s">
        <v>323</v>
      </c>
      <c r="C39" s="56"/>
      <c r="D39" s="279"/>
      <c r="E39" s="260"/>
      <c r="F39" s="279">
        <v>56</v>
      </c>
      <c r="G39" s="260"/>
      <c r="H39" s="38">
        <f t="shared" si="2"/>
        <v>298.5</v>
      </c>
      <c r="I39" s="38"/>
    </row>
    <row r="40" spans="1:9" ht="26.7" customHeight="1">
      <c r="A40" s="103" t="s">
        <v>606</v>
      </c>
      <c r="B40" s="38" t="s">
        <v>323</v>
      </c>
      <c r="C40" s="56"/>
      <c r="D40" s="279"/>
      <c r="E40" s="260"/>
      <c r="F40" s="279">
        <v>28</v>
      </c>
      <c r="G40" s="260"/>
      <c r="H40" s="38">
        <f t="shared" si="2"/>
        <v>270.5</v>
      </c>
      <c r="I40" s="160"/>
    </row>
    <row r="41" spans="1:9" ht="26.7" customHeight="1">
      <c r="A41" s="103" t="s">
        <v>548</v>
      </c>
      <c r="B41" s="38" t="s">
        <v>323</v>
      </c>
      <c r="C41" s="56"/>
      <c r="D41" s="279"/>
      <c r="E41" s="260"/>
      <c r="F41" s="279">
        <v>30</v>
      </c>
      <c r="G41" s="260"/>
      <c r="H41" s="38">
        <f t="shared" si="2"/>
        <v>240.5</v>
      </c>
      <c r="I41" s="38"/>
    </row>
    <row r="42" spans="1:9" ht="26.7" customHeight="1">
      <c r="A42" s="39" t="s">
        <v>359</v>
      </c>
      <c r="B42" s="38" t="s">
        <v>323</v>
      </c>
      <c r="C42" s="56"/>
      <c r="D42" s="279"/>
      <c r="E42" s="260"/>
      <c r="F42" s="279">
        <v>7</v>
      </c>
      <c r="G42" s="260"/>
      <c r="H42" s="38">
        <f t="shared" si="2"/>
        <v>233.5</v>
      </c>
      <c r="I42" s="38"/>
    </row>
    <row r="43" spans="1:9" ht="26.7" customHeight="1">
      <c r="A43" s="39" t="s">
        <v>607</v>
      </c>
      <c r="B43" s="38" t="s">
        <v>324</v>
      </c>
      <c r="C43" s="56">
        <v>300</v>
      </c>
      <c r="D43" s="279">
        <v>2580306</v>
      </c>
      <c r="E43" s="260"/>
      <c r="F43" s="279"/>
      <c r="G43" s="260"/>
      <c r="H43" s="38">
        <v>533.5</v>
      </c>
      <c r="I43" s="38" t="s">
        <v>437</v>
      </c>
    </row>
    <row r="44" spans="1:9" ht="26.7" customHeight="1">
      <c r="A44" s="39" t="s">
        <v>361</v>
      </c>
      <c r="B44" s="38" t="s">
        <v>323</v>
      </c>
      <c r="C44" s="56"/>
      <c r="D44" s="279"/>
      <c r="E44" s="260"/>
      <c r="F44" s="279">
        <v>28</v>
      </c>
      <c r="G44" s="260"/>
      <c r="H44" s="38">
        <f t="shared" ref="H44:H50" si="3">H43-F44</f>
        <v>505.5</v>
      </c>
      <c r="I44" s="139"/>
    </row>
    <row r="45" spans="1:9" ht="26.7" customHeight="1">
      <c r="A45" s="39" t="s">
        <v>505</v>
      </c>
      <c r="B45" s="38" t="s">
        <v>323</v>
      </c>
      <c r="C45" s="57"/>
      <c r="D45" s="279"/>
      <c r="E45" s="260"/>
      <c r="F45" s="279">
        <v>72</v>
      </c>
      <c r="G45" s="260"/>
      <c r="H45" s="38">
        <f t="shared" si="3"/>
        <v>433.5</v>
      </c>
      <c r="I45" s="38"/>
    </row>
    <row r="46" spans="1:9" ht="26.7" customHeight="1">
      <c r="A46" s="39" t="s">
        <v>362</v>
      </c>
      <c r="B46" s="38" t="s">
        <v>323</v>
      </c>
      <c r="C46" s="56"/>
      <c r="D46" s="279"/>
      <c r="E46" s="260"/>
      <c r="F46" s="279">
        <v>14</v>
      </c>
      <c r="G46" s="260"/>
      <c r="H46" s="38">
        <f t="shared" si="3"/>
        <v>419.5</v>
      </c>
      <c r="I46" s="38"/>
    </row>
    <row r="47" spans="1:9" ht="26.7" customHeight="1">
      <c r="A47" s="103" t="s">
        <v>506</v>
      </c>
      <c r="B47" s="38" t="s">
        <v>323</v>
      </c>
      <c r="C47" s="56"/>
      <c r="D47" s="279"/>
      <c r="E47" s="260"/>
      <c r="F47" s="279">
        <v>28</v>
      </c>
      <c r="G47" s="260"/>
      <c r="H47" s="38">
        <f t="shared" si="3"/>
        <v>391.5</v>
      </c>
      <c r="I47" s="172"/>
    </row>
    <row r="48" spans="1:9" ht="26.7" customHeight="1">
      <c r="A48" s="39" t="s">
        <v>586</v>
      </c>
      <c r="B48" s="38" t="s">
        <v>323</v>
      </c>
      <c r="C48" s="56"/>
      <c r="D48" s="279"/>
      <c r="E48" s="260"/>
      <c r="F48" s="279">
        <v>30</v>
      </c>
      <c r="G48" s="260"/>
      <c r="H48" s="38">
        <f t="shared" si="3"/>
        <v>361.5</v>
      </c>
      <c r="I48" s="38"/>
    </row>
    <row r="49" spans="1:9" ht="26.7" customHeight="1">
      <c r="A49" s="39" t="s">
        <v>399</v>
      </c>
      <c r="B49" s="38" t="s">
        <v>323</v>
      </c>
      <c r="C49" s="56"/>
      <c r="D49" s="279"/>
      <c r="E49" s="260"/>
      <c r="F49" s="279">
        <v>15</v>
      </c>
      <c r="G49" s="260"/>
      <c r="H49" s="38">
        <f t="shared" si="3"/>
        <v>346.5</v>
      </c>
      <c r="I49" s="160"/>
    </row>
    <row r="50" spans="1:9" ht="26.7" customHeight="1">
      <c r="A50" s="103" t="s">
        <v>368</v>
      </c>
      <c r="B50" s="38" t="s">
        <v>323</v>
      </c>
      <c r="C50" s="56"/>
      <c r="D50" s="279"/>
      <c r="E50" s="260"/>
      <c r="F50" s="279">
        <v>28</v>
      </c>
      <c r="G50" s="260"/>
      <c r="H50" s="38">
        <f t="shared" si="3"/>
        <v>318.5</v>
      </c>
      <c r="I50" s="160" t="s">
        <v>608</v>
      </c>
    </row>
    <row r="51" spans="1:9" ht="26.7" customHeight="1">
      <c r="A51" s="39"/>
      <c r="B51" s="38"/>
      <c r="C51" s="56"/>
      <c r="D51" s="279"/>
      <c r="E51" s="260"/>
      <c r="F51" s="279"/>
      <c r="G51" s="260"/>
      <c r="H51" s="38"/>
      <c r="I51" s="129"/>
    </row>
    <row r="52" spans="1:9" ht="26.7" customHeight="1">
      <c r="A52" s="39"/>
      <c r="B52" s="38"/>
      <c r="C52" s="56"/>
      <c r="D52" s="279"/>
      <c r="E52" s="260"/>
      <c r="F52" s="279"/>
      <c r="G52" s="260"/>
      <c r="H52" s="38"/>
      <c r="I52" s="38"/>
    </row>
    <row r="53" spans="1:9" ht="26.7" customHeight="1">
      <c r="A53" s="103"/>
      <c r="B53" s="38"/>
      <c r="C53" s="56"/>
      <c r="D53" s="279"/>
      <c r="E53" s="260"/>
      <c r="F53" s="279"/>
      <c r="G53" s="260"/>
      <c r="H53" s="38"/>
      <c r="I53" s="38" t="s">
        <v>437</v>
      </c>
    </row>
    <row r="54" spans="1:9" ht="26.7" customHeight="1">
      <c r="A54" s="41"/>
      <c r="B54" s="38"/>
      <c r="C54" s="56"/>
      <c r="D54" s="279"/>
      <c r="E54" s="260"/>
      <c r="F54" s="279"/>
      <c r="G54" s="260"/>
      <c r="H54" s="38"/>
      <c r="I54" s="38"/>
    </row>
    <row r="55" spans="1:9" ht="26.7" customHeight="1">
      <c r="A55" s="103"/>
      <c r="B55" s="38"/>
      <c r="C55" s="56"/>
      <c r="D55" s="279"/>
      <c r="E55" s="260"/>
      <c r="F55" s="279"/>
      <c r="G55" s="260"/>
      <c r="H55" s="38"/>
      <c r="I55" s="38"/>
    </row>
    <row r="56" spans="1:9" ht="26.7" customHeight="1">
      <c r="A56" s="39"/>
      <c r="B56" s="38"/>
      <c r="C56" s="57"/>
      <c r="D56" s="279"/>
      <c r="E56" s="260"/>
      <c r="F56" s="279"/>
      <c r="G56" s="260"/>
      <c r="H56" s="38"/>
      <c r="I56" s="38"/>
    </row>
    <row r="57" spans="1:9" ht="26.7" customHeight="1">
      <c r="A57" s="103"/>
      <c r="B57" s="38"/>
      <c r="C57" s="56"/>
      <c r="D57" s="279"/>
      <c r="E57" s="260"/>
      <c r="F57" s="279"/>
      <c r="G57" s="260"/>
      <c r="H57" s="38"/>
      <c r="I57" s="38"/>
    </row>
    <row r="58" spans="1:9" ht="26.7" customHeight="1">
      <c r="A58" s="103"/>
      <c r="B58" s="38"/>
      <c r="C58" s="56"/>
      <c r="D58" s="279"/>
      <c r="E58" s="260"/>
      <c r="F58" s="279"/>
      <c r="G58" s="260"/>
      <c r="H58" s="38"/>
      <c r="I58" s="38"/>
    </row>
    <row r="59" spans="1:9" ht="26.7" customHeight="1">
      <c r="A59" s="103"/>
      <c r="B59" s="38"/>
      <c r="C59" s="56"/>
      <c r="D59" s="279"/>
      <c r="E59" s="260"/>
      <c r="F59" s="279"/>
      <c r="G59" s="260"/>
      <c r="H59" s="38"/>
      <c r="I59" s="38"/>
    </row>
    <row r="60" spans="1:9" ht="26.7" customHeight="1">
      <c r="A60" s="103"/>
      <c r="B60" s="38"/>
      <c r="C60" s="56"/>
      <c r="D60" s="279"/>
      <c r="E60" s="260"/>
      <c r="F60" s="279"/>
      <c r="G60" s="260"/>
      <c r="H60" s="38"/>
      <c r="I60" s="38"/>
    </row>
    <row r="61" spans="1:9" ht="26.7" customHeight="1">
      <c r="A61" s="39"/>
      <c r="B61" s="38"/>
      <c r="C61" s="56"/>
      <c r="D61" s="279"/>
      <c r="E61" s="260"/>
      <c r="F61" s="279"/>
      <c r="G61" s="260"/>
      <c r="H61" s="38"/>
      <c r="I61" s="38"/>
    </row>
    <row r="62" spans="1:9" ht="26.7" customHeight="1">
      <c r="A62" s="39"/>
      <c r="B62" s="38"/>
      <c r="C62" s="56"/>
      <c r="D62" s="279"/>
      <c r="E62" s="260"/>
      <c r="F62" s="279"/>
      <c r="G62" s="260"/>
      <c r="H62" s="38"/>
      <c r="I62" s="38"/>
    </row>
    <row r="63" spans="1:9" ht="26.7" customHeight="1">
      <c r="A63" s="103"/>
      <c r="B63" s="38"/>
      <c r="C63" s="56"/>
      <c r="D63" s="279"/>
      <c r="E63" s="260"/>
      <c r="F63" s="279"/>
      <c r="G63" s="260"/>
      <c r="H63" s="38"/>
      <c r="I63" s="172"/>
    </row>
    <row r="64" spans="1:9" ht="26.7" customHeight="1">
      <c r="A64" s="103"/>
      <c r="B64" s="38"/>
      <c r="C64" s="56"/>
      <c r="D64" s="279"/>
      <c r="E64" s="260"/>
      <c r="F64" s="279"/>
      <c r="G64" s="260"/>
      <c r="H64" s="38"/>
      <c r="I64" s="38"/>
    </row>
    <row r="65" spans="1:9" ht="26.7" customHeight="1">
      <c r="A65" s="39"/>
      <c r="B65" s="38"/>
      <c r="C65" s="56"/>
      <c r="D65" s="279"/>
      <c r="E65" s="260"/>
      <c r="F65" s="279"/>
      <c r="G65" s="260"/>
      <c r="H65" s="38"/>
      <c r="I65" s="38"/>
    </row>
    <row r="66" spans="1:9" ht="26.7" customHeight="1">
      <c r="A66" s="103"/>
      <c r="B66" s="38"/>
      <c r="C66" s="56"/>
      <c r="D66" s="279"/>
      <c r="E66" s="260"/>
      <c r="F66" s="279"/>
      <c r="G66" s="260"/>
      <c r="H66" s="38"/>
      <c r="I66" s="38"/>
    </row>
    <row r="67" spans="1:9" ht="26.7" customHeight="1">
      <c r="A67" s="39"/>
      <c r="B67" s="38"/>
      <c r="C67" s="56"/>
      <c r="D67" s="279"/>
      <c r="E67" s="260"/>
      <c r="F67" s="279"/>
      <c r="G67" s="260"/>
      <c r="H67" s="38"/>
      <c r="I67" s="38"/>
    </row>
    <row r="68" spans="1:9" ht="26.7" customHeight="1">
      <c r="A68" s="39"/>
      <c r="B68" s="38"/>
      <c r="C68" s="56"/>
      <c r="D68" s="279"/>
      <c r="E68" s="260"/>
      <c r="F68" s="279"/>
      <c r="G68" s="260"/>
      <c r="H68" s="38"/>
      <c r="I68" s="38"/>
    </row>
    <row r="69" spans="1:9" ht="26.7" customHeight="1">
      <c r="A69" s="103"/>
      <c r="B69" s="38"/>
      <c r="C69" s="56"/>
      <c r="D69" s="279"/>
      <c r="E69" s="260"/>
      <c r="F69" s="279"/>
      <c r="G69" s="260"/>
      <c r="H69" s="38"/>
      <c r="I69" s="38"/>
    </row>
    <row r="70" spans="1:9" ht="26.7" customHeight="1">
      <c r="A70" s="39"/>
      <c r="B70" s="38"/>
      <c r="C70" s="56"/>
      <c r="D70" s="279"/>
      <c r="E70" s="260"/>
      <c r="F70" s="279"/>
      <c r="G70" s="260"/>
      <c r="H70" s="38"/>
      <c r="I70" s="38"/>
    </row>
    <row r="71" spans="1:9" ht="26.7" customHeight="1">
      <c r="A71" s="39"/>
      <c r="B71" s="38"/>
      <c r="C71" s="56"/>
      <c r="D71" s="279"/>
      <c r="E71" s="260"/>
      <c r="F71" s="279"/>
      <c r="G71" s="260"/>
      <c r="H71" s="38"/>
      <c r="I71" s="38"/>
    </row>
    <row r="72" spans="1:9" ht="26.7" customHeight="1">
      <c r="A72" s="103"/>
      <c r="B72" s="38"/>
      <c r="C72" s="56"/>
      <c r="D72" s="279"/>
      <c r="E72" s="260"/>
      <c r="F72" s="279"/>
      <c r="G72" s="260"/>
      <c r="H72" s="38"/>
      <c r="I72" s="38"/>
    </row>
    <row r="73" spans="1:9" ht="26.7" customHeight="1">
      <c r="A73" s="103"/>
      <c r="B73" s="38"/>
      <c r="C73" s="56"/>
      <c r="D73" s="279"/>
      <c r="E73" s="260"/>
      <c r="F73" s="279"/>
      <c r="G73" s="260"/>
      <c r="H73" s="38"/>
      <c r="I73" s="160"/>
    </row>
    <row r="74" spans="1:9" ht="26.7" customHeight="1">
      <c r="A74" s="39"/>
      <c r="B74" s="38"/>
      <c r="C74" s="56"/>
      <c r="D74" s="279"/>
      <c r="E74" s="260"/>
      <c r="F74" s="279"/>
      <c r="G74" s="260"/>
      <c r="H74" s="38"/>
      <c r="I74" s="38"/>
    </row>
    <row r="75" spans="1:9" ht="26.7" customHeight="1">
      <c r="A75" s="103"/>
      <c r="B75" s="38"/>
      <c r="C75" s="56"/>
      <c r="D75" s="279"/>
      <c r="E75" s="260"/>
      <c r="F75" s="279"/>
      <c r="G75" s="260"/>
      <c r="H75" s="38"/>
      <c r="I75" s="38"/>
    </row>
    <row r="76" spans="1:9" ht="26.7" customHeight="1">
      <c r="A76" s="103"/>
      <c r="B76" s="38"/>
      <c r="C76" s="56"/>
      <c r="D76" s="279"/>
      <c r="E76" s="260"/>
      <c r="F76" s="279"/>
      <c r="G76" s="260"/>
      <c r="H76" s="38"/>
      <c r="I76" s="38"/>
    </row>
    <row r="77" spans="1:9" ht="26.7" customHeight="1">
      <c r="A77" s="39"/>
      <c r="B77" s="38"/>
      <c r="C77" s="57"/>
      <c r="D77" s="279"/>
      <c r="E77" s="260"/>
      <c r="F77" s="279"/>
      <c r="G77" s="260"/>
      <c r="H77" s="38"/>
      <c r="I77" s="38"/>
    </row>
    <row r="78" spans="1:9" ht="26.7" customHeight="1">
      <c r="A78" s="39"/>
      <c r="B78" s="38"/>
      <c r="C78" s="56"/>
      <c r="D78" s="279"/>
      <c r="E78" s="260"/>
      <c r="F78" s="279"/>
      <c r="G78" s="260"/>
      <c r="H78" s="38"/>
      <c r="I78" s="38"/>
    </row>
    <row r="79" spans="1:9" ht="26.7" customHeight="1">
      <c r="A79" s="39"/>
      <c r="B79" s="38"/>
      <c r="C79" s="57"/>
      <c r="D79" s="279"/>
      <c r="E79" s="260"/>
      <c r="F79" s="279"/>
      <c r="G79" s="260"/>
      <c r="H79" s="38"/>
      <c r="I79" s="139"/>
    </row>
    <row r="80" spans="1:9" ht="26.7" customHeight="1">
      <c r="A80" s="103"/>
      <c r="B80" s="38"/>
      <c r="C80" s="56"/>
      <c r="D80" s="279"/>
      <c r="E80" s="260"/>
      <c r="F80" s="279"/>
      <c r="G80" s="260"/>
      <c r="H80" s="38"/>
      <c r="I80" s="38"/>
    </row>
    <row r="81" spans="1:9" ht="26.7" customHeight="1">
      <c r="A81" s="38"/>
      <c r="B81" s="38"/>
      <c r="C81" s="57"/>
      <c r="D81" s="279"/>
      <c r="E81" s="260"/>
      <c r="F81" s="279"/>
      <c r="G81" s="260"/>
      <c r="H81" s="38"/>
      <c r="I81" s="38"/>
    </row>
    <row r="82" spans="1:9" ht="26.7" customHeight="1">
      <c r="A82" s="103"/>
      <c r="B82" s="38"/>
      <c r="C82" s="56"/>
      <c r="D82" s="279"/>
      <c r="E82" s="260"/>
      <c r="F82" s="279"/>
      <c r="G82" s="260"/>
      <c r="H82" s="38"/>
      <c r="I82" s="38"/>
    </row>
    <row r="83" spans="1:9" ht="26.7" customHeight="1">
      <c r="A83" s="39"/>
      <c r="B83" s="38"/>
      <c r="C83" s="56"/>
      <c r="D83" s="279"/>
      <c r="E83" s="260"/>
      <c r="F83" s="279"/>
      <c r="G83" s="260"/>
      <c r="H83" s="38"/>
      <c r="I83" s="38"/>
    </row>
    <row r="84" spans="1:9" ht="26.7" customHeight="1">
      <c r="A84" s="39"/>
      <c r="B84" s="38"/>
      <c r="C84" s="56"/>
      <c r="D84" s="279"/>
      <c r="E84" s="260"/>
      <c r="F84" s="279"/>
      <c r="G84" s="260"/>
      <c r="H84" s="38"/>
      <c r="I84" s="38"/>
    </row>
    <row r="85" spans="1:9" ht="26.7" customHeight="1">
      <c r="A85" s="103"/>
      <c r="B85" s="38"/>
      <c r="C85" s="56"/>
      <c r="D85" s="279"/>
      <c r="E85" s="260"/>
      <c r="F85" s="279"/>
      <c r="G85" s="260"/>
      <c r="H85" s="38"/>
      <c r="I85" s="38"/>
    </row>
    <row r="86" spans="1:9" ht="26.7" customHeight="1">
      <c r="A86" s="103"/>
      <c r="B86" s="38"/>
      <c r="C86" s="56"/>
      <c r="D86" s="279"/>
      <c r="E86" s="260"/>
      <c r="F86" s="279"/>
      <c r="G86" s="260"/>
      <c r="H86" s="38"/>
      <c r="I86" s="38"/>
    </row>
    <row r="87" spans="1:9" ht="26.7" customHeight="1">
      <c r="A87" s="103"/>
      <c r="B87" s="38"/>
      <c r="C87" s="56"/>
      <c r="D87" s="279"/>
      <c r="E87" s="260"/>
      <c r="F87" s="279"/>
      <c r="G87" s="260"/>
      <c r="H87" s="38"/>
      <c r="I87" s="38"/>
    </row>
    <row r="88" spans="1:9" ht="26.7" customHeight="1">
      <c r="A88" s="39"/>
      <c r="B88" s="38"/>
      <c r="C88" s="56"/>
      <c r="D88" s="279"/>
      <c r="E88" s="260"/>
      <c r="F88" s="279"/>
      <c r="G88" s="260"/>
      <c r="H88" s="38"/>
      <c r="I88" s="38"/>
    </row>
    <row r="89" spans="1:9" ht="26.7" customHeight="1">
      <c r="A89" s="103"/>
      <c r="B89" s="38"/>
      <c r="C89" s="56"/>
      <c r="D89" s="279"/>
      <c r="E89" s="260"/>
      <c r="F89" s="279"/>
      <c r="G89" s="260"/>
      <c r="H89" s="38"/>
      <c r="I89" s="38"/>
    </row>
    <row r="90" spans="1:9" ht="26.7" customHeight="1">
      <c r="A90" s="103"/>
      <c r="B90" s="38"/>
      <c r="C90" s="56"/>
      <c r="D90" s="279"/>
      <c r="E90" s="260"/>
      <c r="F90" s="279"/>
      <c r="G90" s="260"/>
      <c r="H90" s="38"/>
      <c r="I90" s="38"/>
    </row>
    <row r="91" spans="1:9" ht="26.7" customHeight="1">
      <c r="A91" s="103"/>
      <c r="B91" s="38"/>
      <c r="C91" s="56"/>
      <c r="D91" s="279"/>
      <c r="E91" s="260"/>
      <c r="F91" s="279"/>
      <c r="G91" s="260"/>
      <c r="H91" s="38"/>
      <c r="I91" s="38"/>
    </row>
    <row r="92" spans="1:9" ht="26.7" customHeight="1">
      <c r="A92" s="58"/>
      <c r="B92" s="38"/>
      <c r="C92" s="56"/>
      <c r="D92" s="279"/>
      <c r="E92" s="260"/>
      <c r="F92" s="279"/>
      <c r="G92" s="260"/>
      <c r="H92" s="38"/>
      <c r="I92" s="38"/>
    </row>
    <row r="93" spans="1:9" ht="26.7" customHeight="1">
      <c r="A93" s="58"/>
      <c r="B93" s="38"/>
      <c r="C93" s="56"/>
      <c r="D93" s="279"/>
      <c r="E93" s="260"/>
      <c r="F93" s="279"/>
      <c r="G93" s="260"/>
      <c r="H93" s="38"/>
      <c r="I93" s="38"/>
    </row>
    <row r="94" spans="1:9" ht="26.7" customHeight="1">
      <c r="A94" s="58"/>
      <c r="B94" s="38"/>
      <c r="C94" s="56"/>
      <c r="D94" s="279"/>
      <c r="E94" s="260"/>
      <c r="F94" s="279"/>
      <c r="G94" s="260"/>
      <c r="H94" s="38"/>
      <c r="I94" s="38"/>
    </row>
    <row r="95" spans="1:9" ht="26.7" customHeight="1">
      <c r="A95" s="58"/>
      <c r="B95" s="38"/>
      <c r="C95" s="56"/>
      <c r="D95" s="279"/>
      <c r="E95" s="260"/>
      <c r="F95" s="279"/>
      <c r="G95" s="260"/>
      <c r="H95" s="38"/>
      <c r="I95" s="38"/>
    </row>
    <row r="96" spans="1:9" ht="26.7" customHeight="1">
      <c r="A96" s="58"/>
      <c r="B96" s="38"/>
      <c r="C96" s="56"/>
      <c r="D96" s="279"/>
      <c r="E96" s="260"/>
      <c r="F96" s="279"/>
      <c r="G96" s="260"/>
      <c r="H96" s="38"/>
      <c r="I96" s="38"/>
    </row>
    <row r="97" spans="1:9" ht="26.7" customHeight="1">
      <c r="A97" s="58"/>
      <c r="B97" s="38"/>
      <c r="C97" s="56"/>
      <c r="D97" s="279"/>
      <c r="E97" s="260"/>
      <c r="F97" s="279"/>
      <c r="G97" s="260"/>
      <c r="H97" s="38"/>
      <c r="I97" s="38"/>
    </row>
    <row r="98" spans="1:9" ht="26.7" customHeight="1">
      <c r="A98" s="58"/>
      <c r="B98" s="38"/>
      <c r="C98" s="57"/>
      <c r="D98" s="279"/>
      <c r="E98" s="260"/>
      <c r="F98" s="279"/>
      <c r="G98" s="260"/>
      <c r="H98" s="38"/>
      <c r="I98" s="38"/>
    </row>
    <row r="99" spans="1:9">
      <c r="A99" s="58"/>
      <c r="B99" s="38"/>
      <c r="C99" s="56"/>
      <c r="D99" s="279"/>
      <c r="E99" s="260"/>
      <c r="F99" s="279"/>
      <c r="G99" s="260"/>
      <c r="H99" s="38"/>
      <c r="I99" s="38"/>
    </row>
  </sheetData>
  <mergeCells count="198"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D18:E18"/>
    <mergeCell ref="D58:E5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12:G12"/>
    <mergeCell ref="F24:G24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53:G53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96:E96"/>
    <mergeCell ref="F7:G7"/>
    <mergeCell ref="F21:G21"/>
    <mergeCell ref="D52:E52"/>
    <mergeCell ref="D49:E49"/>
    <mergeCell ref="D27:E27"/>
    <mergeCell ref="F36:G36"/>
    <mergeCell ref="F50:G50"/>
    <mergeCell ref="D17:E17"/>
    <mergeCell ref="D91:E91"/>
    <mergeCell ref="F8:G8"/>
    <mergeCell ref="F91:G91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44:G44"/>
    <mergeCell ref="A5:B5"/>
    <mergeCell ref="F49:G49"/>
    <mergeCell ref="D14:E14"/>
    <mergeCell ref="E4:G4"/>
    <mergeCell ref="F14:G14"/>
    <mergeCell ref="D54:E54"/>
    <mergeCell ref="D99:E99"/>
    <mergeCell ref="F63:G63"/>
    <mergeCell ref="F99:G99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F17:G17"/>
    <mergeCell ref="D75:E75"/>
    <mergeCell ref="D53:E53"/>
    <mergeCell ref="F75:G75"/>
    <mergeCell ref="D47:E47"/>
    <mergeCell ref="D98:E98"/>
    <mergeCell ref="D73:E73"/>
    <mergeCell ref="D51:E51"/>
    <mergeCell ref="F98:G98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F47:G47"/>
    <mergeCell ref="F62:G62"/>
    <mergeCell ref="D37:E37"/>
    <mergeCell ref="F31:G31"/>
    <mergeCell ref="F46:G46"/>
    <mergeCell ref="F28:G28"/>
    <mergeCell ref="D89:E89"/>
    <mergeCell ref="D79:E79"/>
    <mergeCell ref="F64:G64"/>
    <mergeCell ref="F73:G73"/>
    <mergeCell ref="F87:G87"/>
    <mergeCell ref="B4:D4"/>
    <mergeCell ref="F23:G23"/>
    <mergeCell ref="F81:G81"/>
    <mergeCell ref="D62:E62"/>
    <mergeCell ref="F13:G13"/>
    <mergeCell ref="D56:E56"/>
    <mergeCell ref="D71:E71"/>
    <mergeCell ref="F56:G56"/>
    <mergeCell ref="F96:G96"/>
    <mergeCell ref="F71:G71"/>
    <mergeCell ref="F43:G43"/>
    <mergeCell ref="D24:E24"/>
    <mergeCell ref="D64:E64"/>
    <mergeCell ref="D33:E33"/>
    <mergeCell ref="D10:E10"/>
    <mergeCell ref="F10:G10"/>
    <mergeCell ref="D19:E19"/>
    <mergeCell ref="F19:G19"/>
    <mergeCell ref="D9:E9"/>
    <mergeCell ref="F9:G9"/>
    <mergeCell ref="D63:E63"/>
    <mergeCell ref="D81:E81"/>
    <mergeCell ref="F89:G89"/>
    <mergeCell ref="D65:E65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D67:E67"/>
    <mergeCell ref="D85:E85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tabColor theme="2" tint="-0.499984740745262"/>
  </sheetPr>
  <dimension ref="A1:O87"/>
  <sheetViews>
    <sheetView workbookViewId="0">
      <selection activeCell="A21" sqref="A2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609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610</v>
      </c>
      <c r="C3" s="263"/>
      <c r="D3" s="260"/>
      <c r="E3" s="266" t="s">
        <v>11</v>
      </c>
      <c r="F3" s="263"/>
      <c r="G3" s="260"/>
      <c r="H3" s="268" t="s">
        <v>374</v>
      </c>
      <c r="I3" s="269"/>
      <c r="J3" s="19" t="str">
        <f>B3</f>
        <v>Flupine 0.25mg</v>
      </c>
      <c r="K3" s="34" t="s">
        <v>611</v>
      </c>
      <c r="L3" s="5">
        <f>H7</f>
        <v>79</v>
      </c>
      <c r="M3" s="3">
        <f>SUM(C$8:C$1048576)</f>
        <v>300</v>
      </c>
      <c r="N3" s="3">
        <f>SUM(F:F)</f>
        <v>224</v>
      </c>
      <c r="O3" s="3">
        <f>L3+M3-N3</f>
        <v>155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612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613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79</v>
      </c>
      <c r="D7" s="280"/>
      <c r="E7" s="260"/>
      <c r="F7" s="280"/>
      <c r="G7" s="260"/>
      <c r="H7" s="155">
        <v>79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337</v>
      </c>
      <c r="B8" s="38" t="s">
        <v>324</v>
      </c>
      <c r="C8" s="139">
        <v>300</v>
      </c>
      <c r="D8" s="279" t="s">
        <v>614</v>
      </c>
      <c r="E8" s="260"/>
      <c r="F8" s="279"/>
      <c r="G8" s="260"/>
      <c r="H8" s="38">
        <v>379</v>
      </c>
      <c r="I8" s="251" t="s">
        <v>437</v>
      </c>
      <c r="J8" s="12"/>
    </row>
    <row r="9" spans="1:15" ht="26.7" customHeight="1">
      <c r="A9" s="39" t="s">
        <v>525</v>
      </c>
      <c r="B9" s="38" t="s">
        <v>323</v>
      </c>
      <c r="C9" s="139"/>
      <c r="D9" s="279"/>
      <c r="E9" s="260"/>
      <c r="F9" s="279">
        <v>56</v>
      </c>
      <c r="G9" s="260"/>
      <c r="H9" s="38">
        <f>H8-F9</f>
        <v>323</v>
      </c>
      <c r="I9" s="26" t="s">
        <v>414</v>
      </c>
      <c r="J9" s="12"/>
    </row>
    <row r="10" spans="1:15" ht="26.7" customHeight="1">
      <c r="A10" s="39" t="s">
        <v>531</v>
      </c>
      <c r="B10" s="38" t="s">
        <v>323</v>
      </c>
      <c r="C10" s="139"/>
      <c r="D10" s="279"/>
      <c r="E10" s="260"/>
      <c r="F10" s="279">
        <v>56</v>
      </c>
      <c r="G10" s="260"/>
      <c r="H10" s="38">
        <f>H9-F10</f>
        <v>267</v>
      </c>
      <c r="I10" s="115"/>
      <c r="J10" s="12"/>
    </row>
    <row r="11" spans="1:15" ht="26.7" customHeight="1">
      <c r="A11" s="39" t="s">
        <v>552</v>
      </c>
      <c r="B11" s="38" t="s">
        <v>323</v>
      </c>
      <c r="C11" s="139"/>
      <c r="D11" s="279"/>
      <c r="E11" s="260"/>
      <c r="F11" s="279">
        <v>56</v>
      </c>
      <c r="G11" s="260"/>
      <c r="H11" s="38">
        <f>H10-F11</f>
        <v>211</v>
      </c>
      <c r="I11" s="26"/>
      <c r="J11" s="12"/>
    </row>
    <row r="12" spans="1:15" ht="26.7" customHeight="1">
      <c r="A12" s="39" t="s">
        <v>512</v>
      </c>
      <c r="B12" s="38" t="s">
        <v>323</v>
      </c>
      <c r="C12" s="139"/>
      <c r="D12" s="279"/>
      <c r="E12" s="260"/>
      <c r="F12" s="279">
        <v>56</v>
      </c>
      <c r="G12" s="260"/>
      <c r="H12" s="38">
        <f>H11-F12</f>
        <v>155</v>
      </c>
      <c r="I12" s="26"/>
      <c r="J12" s="12"/>
    </row>
    <row r="13" spans="1:15" ht="26.7" customHeight="1">
      <c r="A13" s="39"/>
      <c r="B13" s="38"/>
      <c r="C13" s="139"/>
      <c r="D13" s="279"/>
      <c r="E13" s="260"/>
      <c r="F13" s="279"/>
      <c r="G13" s="260"/>
      <c r="H13" s="38"/>
      <c r="I13" s="26"/>
      <c r="J13" s="12"/>
    </row>
    <row r="14" spans="1:15" ht="26.7" customHeight="1" thickBot="1">
      <c r="A14" s="39"/>
      <c r="B14" s="38"/>
      <c r="C14" s="139"/>
      <c r="D14" s="279"/>
      <c r="E14" s="260"/>
      <c r="F14" s="279"/>
      <c r="G14" s="260"/>
      <c r="H14" s="38"/>
      <c r="I14" s="32"/>
      <c r="J14" s="12"/>
    </row>
    <row r="15" spans="1:15" ht="21" customHeight="1">
      <c r="A15" s="39"/>
      <c r="B15" s="38"/>
      <c r="C15" s="139"/>
      <c r="D15" s="279"/>
      <c r="E15" s="260"/>
      <c r="F15" s="279"/>
      <c r="G15" s="260"/>
      <c r="H15" s="38"/>
      <c r="I15" s="22"/>
      <c r="J15" s="3"/>
    </row>
    <row r="16" spans="1:15" ht="21" customHeight="1">
      <c r="A16" s="39"/>
      <c r="B16" s="38"/>
      <c r="C16" s="139"/>
      <c r="D16" s="279"/>
      <c r="E16" s="260"/>
      <c r="F16" s="279"/>
      <c r="G16" s="260"/>
      <c r="H16" s="38"/>
      <c r="I16" s="7"/>
    </row>
    <row r="17" spans="1:9" ht="21" customHeight="1">
      <c r="A17" s="39"/>
      <c r="B17" s="38"/>
      <c r="C17" s="139"/>
      <c r="D17" s="279"/>
      <c r="E17" s="260"/>
      <c r="F17" s="279"/>
      <c r="G17" s="260"/>
      <c r="H17" s="38"/>
      <c r="I17" s="16"/>
    </row>
    <row r="18" spans="1:9" ht="21" customHeight="1">
      <c r="A18" s="39"/>
      <c r="B18" s="38"/>
      <c r="C18" s="139"/>
      <c r="D18" s="279"/>
      <c r="E18" s="260"/>
      <c r="F18" s="279"/>
      <c r="G18" s="260"/>
      <c r="H18" s="38"/>
      <c r="I18" s="7"/>
    </row>
    <row r="19" spans="1:9" ht="21" customHeight="1">
      <c r="A19" s="13"/>
      <c r="B19" s="6"/>
      <c r="C19" s="139"/>
      <c r="D19" s="259"/>
      <c r="E19" s="260"/>
      <c r="F19" s="279"/>
      <c r="G19" s="260"/>
      <c r="H19" s="38"/>
      <c r="I19" s="7"/>
    </row>
    <row r="20" spans="1:9" ht="21" customHeight="1">
      <c r="A20" s="13"/>
      <c r="B20" s="6"/>
      <c r="C20" s="139"/>
      <c r="D20" s="259"/>
      <c r="E20" s="260"/>
      <c r="F20" s="279"/>
      <c r="G20" s="260"/>
      <c r="H20" s="38"/>
      <c r="I20" s="16"/>
    </row>
    <row r="21" spans="1:9" ht="21" customHeight="1">
      <c r="A21" s="13"/>
      <c r="B21" s="6"/>
      <c r="C21" s="139"/>
      <c r="D21" s="259"/>
      <c r="E21" s="260"/>
      <c r="F21" s="279"/>
      <c r="G21" s="260"/>
      <c r="H21" s="38"/>
      <c r="I21" s="7"/>
    </row>
    <row r="22" spans="1:9" ht="21" customHeight="1">
      <c r="A22" s="13"/>
      <c r="B22" s="6"/>
      <c r="C22" s="139"/>
      <c r="D22" s="259"/>
      <c r="E22" s="260"/>
      <c r="F22" s="279"/>
      <c r="G22" s="260"/>
      <c r="H22" s="38"/>
      <c r="I22" s="7"/>
    </row>
    <row r="23" spans="1:9" ht="21" customHeight="1">
      <c r="A23" s="13"/>
      <c r="B23" s="6"/>
      <c r="C23" s="139"/>
      <c r="D23" s="259"/>
      <c r="E23" s="260"/>
      <c r="F23" s="279"/>
      <c r="G23" s="260"/>
      <c r="H23" s="38"/>
      <c r="I23" s="7"/>
    </row>
    <row r="24" spans="1:9" ht="21" customHeight="1">
      <c r="A24" s="13"/>
      <c r="B24" s="6"/>
      <c r="C24" s="139"/>
      <c r="D24" s="259"/>
      <c r="E24" s="260"/>
      <c r="F24" s="279"/>
      <c r="G24" s="260"/>
      <c r="H24" s="38"/>
      <c r="I24" s="7"/>
    </row>
    <row r="25" spans="1:9" ht="21" customHeight="1">
      <c r="A25" s="13"/>
      <c r="B25" s="6"/>
      <c r="C25" s="139"/>
      <c r="D25" s="259"/>
      <c r="E25" s="260"/>
      <c r="F25" s="279"/>
      <c r="G25" s="260"/>
      <c r="H25" s="38"/>
      <c r="I25" s="7"/>
    </row>
    <row r="26" spans="1:9" ht="21" customHeight="1">
      <c r="A26" s="13"/>
      <c r="B26" s="6"/>
      <c r="C26" s="139"/>
      <c r="D26" s="259"/>
      <c r="E26" s="260"/>
      <c r="F26" s="279"/>
      <c r="G26" s="260"/>
      <c r="H26" s="38"/>
      <c r="I26" s="7"/>
    </row>
    <row r="27" spans="1:9" ht="21" customHeight="1">
      <c r="A27" s="13"/>
      <c r="B27" s="6"/>
      <c r="C27" s="139"/>
      <c r="D27" s="259"/>
      <c r="E27" s="260"/>
      <c r="F27" s="279"/>
      <c r="G27" s="260"/>
      <c r="H27" s="38"/>
      <c r="I27" s="7"/>
    </row>
    <row r="28" spans="1:9" ht="21" customHeight="1">
      <c r="A28" s="13"/>
      <c r="B28" s="6"/>
      <c r="C28" s="139"/>
      <c r="D28" s="259"/>
      <c r="E28" s="260"/>
      <c r="F28" s="279"/>
      <c r="G28" s="260"/>
      <c r="H28" s="38"/>
      <c r="I28" s="7"/>
    </row>
    <row r="29" spans="1:9" ht="21" customHeight="1">
      <c r="A29" s="13"/>
      <c r="B29" s="6"/>
      <c r="C29" s="139"/>
      <c r="D29" s="259"/>
      <c r="E29" s="260"/>
      <c r="F29" s="279"/>
      <c r="G29" s="260"/>
      <c r="H29" s="38"/>
      <c r="I29" s="7"/>
    </row>
    <row r="30" spans="1:9" ht="21" customHeight="1">
      <c r="A30" s="13"/>
      <c r="B30" s="6"/>
      <c r="C30" s="139"/>
      <c r="D30" s="259"/>
      <c r="E30" s="260"/>
      <c r="F30" s="279"/>
      <c r="G30" s="260"/>
      <c r="H30" s="38"/>
      <c r="I30" s="7"/>
    </row>
    <row r="31" spans="1:9" ht="21" customHeight="1">
      <c r="A31" s="13"/>
      <c r="B31" s="6"/>
      <c r="C31" s="139"/>
      <c r="D31" s="259"/>
      <c r="E31" s="260"/>
      <c r="F31" s="279"/>
      <c r="G31" s="260"/>
      <c r="H31" s="38"/>
      <c r="I31" s="7"/>
    </row>
    <row r="32" spans="1:9" ht="21" customHeight="1">
      <c r="A32" s="13"/>
      <c r="B32" s="8"/>
      <c r="C32" s="139"/>
      <c r="D32" s="259"/>
      <c r="E32" s="260"/>
      <c r="F32" s="279"/>
      <c r="G32" s="260"/>
      <c r="H32" s="38"/>
      <c r="I32" s="11"/>
    </row>
    <row r="33" spans="1:9" ht="21" customHeight="1">
      <c r="A33" s="13"/>
      <c r="B33" s="6"/>
      <c r="C33" s="139"/>
      <c r="D33" s="259"/>
      <c r="E33" s="260"/>
      <c r="F33" s="279"/>
      <c r="G33" s="260"/>
      <c r="H33" s="38"/>
      <c r="I33" s="7"/>
    </row>
    <row r="34" spans="1:9" ht="21" customHeight="1">
      <c r="A34" s="14"/>
      <c r="B34" s="6"/>
      <c r="C34" s="139"/>
      <c r="D34" s="259"/>
      <c r="E34" s="260"/>
      <c r="F34" s="279"/>
      <c r="G34" s="260"/>
      <c r="H34" s="38"/>
      <c r="I34" s="7"/>
    </row>
    <row r="35" spans="1:9" ht="21" customHeight="1">
      <c r="A35" s="14"/>
      <c r="B35" s="6"/>
      <c r="C35" s="139"/>
      <c r="D35" s="259"/>
      <c r="E35" s="260"/>
      <c r="F35" s="279"/>
      <c r="G35" s="260"/>
      <c r="H35" s="38"/>
      <c r="I35" s="7"/>
    </row>
    <row r="36" spans="1:9" ht="21" customHeight="1">
      <c r="A36" s="15"/>
      <c r="B36" s="6"/>
      <c r="C36" s="139"/>
      <c r="D36" s="259"/>
      <c r="E36" s="260"/>
      <c r="F36" s="279"/>
      <c r="G36" s="260"/>
      <c r="H36" s="38"/>
      <c r="I36" s="7"/>
    </row>
    <row r="37" spans="1:9" ht="21" customHeight="1">
      <c r="A37" s="14"/>
      <c r="B37" s="6"/>
      <c r="C37" s="139"/>
      <c r="D37" s="259"/>
      <c r="E37" s="260"/>
      <c r="F37" s="279"/>
      <c r="G37" s="260"/>
      <c r="H37" s="38"/>
      <c r="I37" s="7"/>
    </row>
    <row r="38" spans="1:9" ht="21" customHeight="1">
      <c r="A38" s="14"/>
      <c r="B38" s="6"/>
      <c r="C38" s="139"/>
      <c r="D38" s="259"/>
      <c r="E38" s="260"/>
      <c r="F38" s="279"/>
      <c r="G38" s="260"/>
      <c r="H38" s="38"/>
      <c r="I38" s="7"/>
    </row>
    <row r="39" spans="1:9" ht="21" customHeight="1">
      <c r="A39" s="14"/>
      <c r="B39" s="6"/>
      <c r="C39" s="139"/>
      <c r="D39" s="259"/>
      <c r="E39" s="260"/>
      <c r="F39" s="279"/>
      <c r="G39" s="260"/>
      <c r="H39" s="38"/>
      <c r="I39" s="16"/>
    </row>
    <row r="40" spans="1:9" ht="21" customHeight="1">
      <c r="A40" s="15"/>
      <c r="B40" s="6"/>
      <c r="C40" s="139"/>
      <c r="D40" s="259"/>
      <c r="E40" s="260"/>
      <c r="F40" s="279"/>
      <c r="G40" s="260"/>
      <c r="H40" s="38"/>
      <c r="I40" s="7"/>
    </row>
    <row r="41" spans="1:9" ht="21" customHeight="1">
      <c r="A41" s="15"/>
      <c r="B41" s="6"/>
      <c r="C41" s="3"/>
      <c r="D41" s="259"/>
      <c r="E41" s="260"/>
      <c r="F41" s="279"/>
      <c r="G41" s="260"/>
      <c r="H41" s="38"/>
      <c r="I41" s="7"/>
    </row>
    <row r="42" spans="1:9" ht="21" customHeight="1">
      <c r="A42" s="15"/>
      <c r="B42" s="6"/>
      <c r="C42" s="3"/>
      <c r="D42" s="259"/>
      <c r="E42" s="260"/>
      <c r="F42" s="279"/>
      <c r="G42" s="260"/>
      <c r="H42" s="38"/>
      <c r="I42" s="7"/>
    </row>
    <row r="43" spans="1:9" ht="21" customHeight="1">
      <c r="A43" s="14"/>
      <c r="B43" s="6"/>
      <c r="C43" s="3"/>
      <c r="D43" s="259"/>
      <c r="E43" s="260"/>
      <c r="F43" s="279"/>
      <c r="G43" s="260"/>
      <c r="H43" s="38"/>
      <c r="I43" s="7"/>
    </row>
    <row r="44" spans="1:9" ht="21" customHeight="1">
      <c r="A44" s="14"/>
      <c r="B44" s="6"/>
      <c r="C44" s="9"/>
      <c r="D44" s="259"/>
      <c r="E44" s="260"/>
      <c r="F44" s="279"/>
      <c r="G44" s="260"/>
      <c r="H44" s="38"/>
      <c r="I44" s="7"/>
    </row>
    <row r="45" spans="1:9" ht="21" customHeight="1">
      <c r="A45" s="14"/>
      <c r="B45" s="6"/>
      <c r="C45" s="3"/>
      <c r="D45" s="259"/>
      <c r="E45" s="260"/>
      <c r="F45" s="279"/>
      <c r="G45" s="260"/>
      <c r="H45" s="38"/>
      <c r="I45" s="7"/>
    </row>
    <row r="46" spans="1:9" ht="21" customHeight="1">
      <c r="A46" s="15"/>
      <c r="B46" s="6"/>
      <c r="C46" s="3"/>
      <c r="D46" s="259"/>
      <c r="E46" s="260"/>
      <c r="F46" s="279"/>
      <c r="G46" s="260"/>
      <c r="H46" s="38"/>
      <c r="I46" s="7"/>
    </row>
    <row r="47" spans="1:9" ht="21" customHeight="1">
      <c r="A47" s="15"/>
      <c r="B47" s="6"/>
      <c r="C47" s="3"/>
      <c r="D47" s="259"/>
      <c r="E47" s="260"/>
      <c r="F47" s="279"/>
      <c r="G47" s="260"/>
      <c r="H47" s="38"/>
      <c r="I47" s="7"/>
    </row>
    <row r="48" spans="1:9" ht="21" customHeight="1">
      <c r="A48" s="14"/>
      <c r="B48" s="6"/>
      <c r="C48" s="3"/>
      <c r="D48" s="259"/>
      <c r="E48" s="260"/>
      <c r="F48" s="279"/>
      <c r="G48" s="260"/>
      <c r="H48" s="38"/>
      <c r="I48" s="7"/>
    </row>
    <row r="49" spans="1:9" ht="21" customHeight="1">
      <c r="A49" s="15"/>
      <c r="B49" s="6"/>
      <c r="C49" s="3"/>
      <c r="D49" s="259"/>
      <c r="E49" s="260"/>
      <c r="F49" s="279"/>
      <c r="G49" s="260"/>
      <c r="H49" s="38"/>
      <c r="I49" s="7"/>
    </row>
    <row r="50" spans="1:9" ht="21" customHeight="1">
      <c r="A50" s="15"/>
      <c r="B50" s="6"/>
      <c r="C50" s="3"/>
      <c r="D50" s="259"/>
      <c r="E50" s="260"/>
      <c r="F50" s="279"/>
      <c r="G50" s="260"/>
      <c r="H50" s="38"/>
      <c r="I50" s="7"/>
    </row>
    <row r="51" spans="1:9" ht="21" customHeight="1">
      <c r="A51" s="14"/>
      <c r="B51" s="6"/>
      <c r="C51" s="3"/>
      <c r="D51" s="259"/>
      <c r="E51" s="260"/>
      <c r="F51" s="279"/>
      <c r="G51" s="260"/>
      <c r="H51" s="38"/>
      <c r="I51" s="7"/>
    </row>
    <row r="52" spans="1:9" ht="21" customHeight="1">
      <c r="A52" s="15"/>
      <c r="B52" s="6"/>
      <c r="C52" s="3"/>
      <c r="D52" s="259"/>
      <c r="E52" s="260"/>
      <c r="F52" s="279"/>
      <c r="G52" s="260"/>
      <c r="H52" s="38"/>
      <c r="I52" s="7"/>
    </row>
    <row r="53" spans="1:9" ht="21" customHeight="1">
      <c r="A53" s="15"/>
      <c r="B53" s="6"/>
      <c r="C53" s="3"/>
      <c r="D53" s="259"/>
      <c r="E53" s="260"/>
      <c r="F53" s="279"/>
      <c r="G53" s="260"/>
      <c r="H53" s="38"/>
      <c r="I53" s="7"/>
    </row>
    <row r="54" spans="1:9" ht="21" customHeight="1">
      <c r="A54" s="15"/>
      <c r="B54" s="6"/>
      <c r="C54" s="3"/>
      <c r="D54" s="259"/>
      <c r="E54" s="260"/>
      <c r="F54" s="279"/>
      <c r="G54" s="260"/>
      <c r="H54" s="38"/>
      <c r="I54" s="7"/>
    </row>
    <row r="55" spans="1:9" ht="21" customHeight="1">
      <c r="A55" s="14"/>
      <c r="B55" s="6"/>
      <c r="C55" s="3"/>
      <c r="D55" s="259"/>
      <c r="E55" s="260"/>
      <c r="F55" s="279"/>
      <c r="G55" s="260"/>
      <c r="H55" s="38"/>
      <c r="I55" s="7"/>
    </row>
    <row r="56" spans="1:9" ht="21" customHeight="1">
      <c r="A56" s="14"/>
      <c r="B56" s="6"/>
      <c r="C56" s="3"/>
      <c r="D56" s="259"/>
      <c r="E56" s="260"/>
      <c r="F56" s="279"/>
      <c r="G56" s="260"/>
      <c r="H56" s="38"/>
      <c r="I56" s="7"/>
    </row>
    <row r="57" spans="1:9" ht="21" customHeight="1">
      <c r="A57" s="14"/>
      <c r="B57" s="6"/>
      <c r="C57" s="3"/>
      <c r="D57" s="259"/>
      <c r="E57" s="260"/>
      <c r="F57" s="279"/>
      <c r="G57" s="260"/>
      <c r="H57" s="38"/>
      <c r="I57" s="7"/>
    </row>
    <row r="58" spans="1:9" ht="21" customHeight="1">
      <c r="A58" s="15"/>
      <c r="B58" s="6"/>
      <c r="C58" s="3"/>
      <c r="D58" s="259"/>
      <c r="E58" s="260"/>
      <c r="F58" s="279"/>
      <c r="G58" s="260"/>
      <c r="H58" s="38"/>
      <c r="I58" s="7"/>
    </row>
    <row r="59" spans="1:9" ht="21" customHeight="1">
      <c r="A59" s="15"/>
      <c r="B59" s="6"/>
      <c r="C59" s="3"/>
      <c r="D59" s="259"/>
      <c r="E59" s="260"/>
      <c r="F59" s="279"/>
      <c r="G59" s="260"/>
      <c r="H59" s="38"/>
      <c r="I59" s="7"/>
    </row>
    <row r="60" spans="1:9" ht="21" customHeight="1">
      <c r="A60" s="15"/>
      <c r="B60" s="6"/>
      <c r="C60" s="3"/>
      <c r="D60" s="259"/>
      <c r="E60" s="260"/>
      <c r="F60" s="279"/>
      <c r="G60" s="260"/>
      <c r="H60" s="38"/>
      <c r="I60" s="7"/>
    </row>
    <row r="61" spans="1:9" ht="21" customHeight="1">
      <c r="A61" s="14"/>
      <c r="B61" s="6"/>
      <c r="C61" s="3"/>
      <c r="D61" s="259"/>
      <c r="E61" s="260"/>
      <c r="F61" s="279"/>
      <c r="G61" s="260"/>
      <c r="H61" s="38"/>
      <c r="I61" s="7"/>
    </row>
    <row r="62" spans="1:9" ht="21" customHeight="1">
      <c r="A62" s="15"/>
      <c r="B62" s="6"/>
      <c r="C62" s="3"/>
      <c r="D62" s="259"/>
      <c r="E62" s="260"/>
      <c r="F62" s="279"/>
      <c r="G62" s="260"/>
      <c r="H62" s="38"/>
      <c r="I62" s="7"/>
    </row>
    <row r="63" spans="1:9" ht="21" customHeight="1">
      <c r="A63" s="14"/>
      <c r="B63" s="6"/>
      <c r="C63" s="3"/>
      <c r="D63" s="259"/>
      <c r="E63" s="260"/>
      <c r="F63" s="279"/>
      <c r="G63" s="260"/>
      <c r="H63" s="38"/>
      <c r="I63" s="7"/>
    </row>
    <row r="64" spans="1:9" ht="21" customHeight="1">
      <c r="A64" s="14"/>
      <c r="B64" s="6"/>
      <c r="C64" s="3"/>
      <c r="D64" s="259"/>
      <c r="E64" s="260"/>
      <c r="F64" s="279"/>
      <c r="G64" s="260"/>
      <c r="H64" s="38"/>
      <c r="I64" s="7"/>
    </row>
    <row r="65" spans="1:9" ht="21" customHeight="1">
      <c r="A65" s="14"/>
      <c r="B65" s="8"/>
      <c r="C65" s="9"/>
      <c r="D65" s="259"/>
      <c r="E65" s="260"/>
      <c r="F65" s="279"/>
      <c r="G65" s="260"/>
      <c r="H65" s="38"/>
      <c r="I65" s="7"/>
    </row>
    <row r="66" spans="1:9" ht="21" customHeight="1">
      <c r="A66" s="14"/>
      <c r="B66" s="6"/>
      <c r="C66" s="3"/>
      <c r="D66" s="259"/>
      <c r="E66" s="260"/>
      <c r="F66" s="279"/>
      <c r="G66" s="260"/>
      <c r="H66" s="38"/>
      <c r="I66" s="7"/>
    </row>
    <row r="67" spans="1:9" ht="21" customHeight="1">
      <c r="A67" s="15"/>
      <c r="B67" s="8"/>
      <c r="C67" s="9"/>
      <c r="D67" s="259"/>
      <c r="E67" s="260"/>
      <c r="F67" s="279"/>
      <c r="G67" s="260"/>
      <c r="H67" s="38"/>
      <c r="I67" s="11"/>
    </row>
    <row r="68" spans="1:9" ht="21" customHeight="1">
      <c r="A68" s="15"/>
      <c r="B68" s="6"/>
      <c r="C68" s="3"/>
      <c r="D68" s="259"/>
      <c r="E68" s="260"/>
      <c r="F68" s="279"/>
      <c r="G68" s="260"/>
      <c r="H68" s="38"/>
      <c r="I68" s="7"/>
    </row>
    <row r="69" spans="1:9" ht="21" customHeight="1">
      <c r="A69" s="15"/>
      <c r="B69" s="6"/>
      <c r="C69" s="9"/>
      <c r="D69" s="259"/>
      <c r="E69" s="260"/>
      <c r="F69" s="279"/>
      <c r="G69" s="260"/>
      <c r="H69" s="38"/>
      <c r="I69" s="7"/>
    </row>
    <row r="70" spans="1:9" ht="21" customHeight="1">
      <c r="A70" s="14"/>
      <c r="B70" s="6"/>
      <c r="C70" s="3"/>
      <c r="D70" s="259"/>
      <c r="E70" s="260"/>
      <c r="F70" s="279"/>
      <c r="G70" s="260"/>
      <c r="H70" s="38"/>
      <c r="I70" s="7"/>
    </row>
    <row r="71" spans="1:9" ht="21" customHeight="1">
      <c r="A71" s="15"/>
      <c r="B71" s="6"/>
      <c r="C71" s="3"/>
      <c r="D71" s="259"/>
      <c r="E71" s="260"/>
      <c r="F71" s="279"/>
      <c r="G71" s="260"/>
      <c r="H71" s="38"/>
      <c r="I71" s="7"/>
    </row>
    <row r="72" spans="1:9" ht="21" customHeight="1">
      <c r="A72" s="15"/>
      <c r="B72" s="6"/>
      <c r="C72" s="3"/>
      <c r="D72" s="259"/>
      <c r="E72" s="260"/>
      <c r="F72" s="279"/>
      <c r="G72" s="260"/>
      <c r="H72" s="38"/>
      <c r="I72" s="7"/>
    </row>
    <row r="73" spans="1:9" ht="21" customHeight="1">
      <c r="A73" s="14"/>
      <c r="B73" s="6"/>
      <c r="C73" s="3"/>
      <c r="D73" s="259"/>
      <c r="E73" s="260"/>
      <c r="F73" s="279"/>
      <c r="G73" s="260"/>
      <c r="H73" s="38"/>
      <c r="I73" s="7"/>
    </row>
    <row r="74" spans="1:9" ht="21" customHeight="1">
      <c r="A74" s="15"/>
      <c r="B74" s="6"/>
      <c r="C74" s="3"/>
      <c r="D74" s="259"/>
      <c r="E74" s="260"/>
      <c r="F74" s="279"/>
      <c r="G74" s="260"/>
      <c r="H74" s="38"/>
      <c r="I74" s="7"/>
    </row>
    <row r="75" spans="1:9" ht="21" customHeight="1">
      <c r="A75" s="15"/>
      <c r="B75" s="6"/>
      <c r="C75" s="3"/>
      <c r="D75" s="259"/>
      <c r="E75" s="260"/>
      <c r="F75" s="279"/>
      <c r="G75" s="260"/>
      <c r="H75" s="38"/>
      <c r="I75" s="7"/>
    </row>
    <row r="76" spans="1:9" ht="21" customHeight="1">
      <c r="A76" s="15"/>
      <c r="B76" s="6"/>
      <c r="C76" s="3"/>
      <c r="D76" s="259"/>
      <c r="E76" s="260"/>
      <c r="F76" s="279"/>
      <c r="G76" s="260"/>
      <c r="H76" s="38"/>
      <c r="I76" s="7"/>
    </row>
    <row r="77" spans="1:9" ht="21" customHeight="1">
      <c r="A77" s="14"/>
      <c r="B77" s="6"/>
      <c r="C77" s="3"/>
      <c r="D77" s="259"/>
      <c r="E77" s="260"/>
      <c r="F77" s="279"/>
      <c r="G77" s="260"/>
      <c r="H77" s="38"/>
      <c r="I77" s="7"/>
    </row>
    <row r="78" spans="1:9" ht="21" customHeight="1">
      <c r="A78" s="14"/>
      <c r="B78" s="6"/>
      <c r="C78" s="3"/>
      <c r="D78" s="259"/>
      <c r="E78" s="260"/>
      <c r="F78" s="279"/>
      <c r="G78" s="260"/>
      <c r="H78" s="38"/>
      <c r="I78" s="7"/>
    </row>
    <row r="79" spans="1:9" ht="21" customHeight="1">
      <c r="A79" s="14"/>
      <c r="B79" s="6"/>
      <c r="C79" s="3"/>
      <c r="D79" s="259"/>
      <c r="E79" s="260"/>
      <c r="F79" s="279"/>
      <c r="G79" s="260"/>
      <c r="H79" s="38"/>
      <c r="I79" s="7"/>
    </row>
    <row r="80" spans="1:9" ht="21" customHeight="1">
      <c r="A80" s="14"/>
      <c r="B80" s="6"/>
      <c r="C80" s="3"/>
      <c r="D80" s="259"/>
      <c r="E80" s="260"/>
      <c r="F80" s="279"/>
      <c r="G80" s="260"/>
      <c r="H80" s="38"/>
      <c r="I80" s="7"/>
    </row>
    <row r="81" spans="1:9" ht="21" customHeight="1">
      <c r="A81" s="14"/>
      <c r="B81" s="6"/>
      <c r="C81" s="3"/>
      <c r="D81" s="259"/>
      <c r="E81" s="260"/>
      <c r="F81" s="279"/>
      <c r="G81" s="260"/>
      <c r="H81" s="38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</sheetData>
  <mergeCells count="174">
    <mergeCell ref="D87:E87"/>
    <mergeCell ref="F38:G38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D74:E74"/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87:G87"/>
    <mergeCell ref="D63:E63"/>
    <mergeCell ref="D81:E81"/>
    <mergeCell ref="D65:E65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D28:E28"/>
    <mergeCell ref="F22:G22"/>
    <mergeCell ref="D12:E12"/>
    <mergeCell ref="D83:E83"/>
    <mergeCell ref="D25:E25"/>
    <mergeCell ref="F77:G77"/>
    <mergeCell ref="D55:E55"/>
    <mergeCell ref="D30:E30"/>
    <mergeCell ref="D67:E67"/>
    <mergeCell ref="F49:G49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A5:B5"/>
    <mergeCell ref="D14:E14"/>
    <mergeCell ref="E4:G4"/>
    <mergeCell ref="F14:G14"/>
    <mergeCell ref="D54:E54"/>
    <mergeCell ref="F11:G11"/>
    <mergeCell ref="D46:E46"/>
    <mergeCell ref="H4:I4"/>
    <mergeCell ref="D40:E40"/>
    <mergeCell ref="F40:G40"/>
    <mergeCell ref="D21:E21"/>
    <mergeCell ref="F59:G59"/>
    <mergeCell ref="F55:G55"/>
    <mergeCell ref="F12:G12"/>
    <mergeCell ref="F85:G85"/>
    <mergeCell ref="F42:G42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79:E79"/>
    <mergeCell ref="F64:G64"/>
    <mergeCell ref="F73:G73"/>
    <mergeCell ref="D85:E85"/>
    <mergeCell ref="D69:E69"/>
    <mergeCell ref="F69:G69"/>
    <mergeCell ref="F78:G78"/>
    <mergeCell ref="F65:G65"/>
    <mergeCell ref="D80:E80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D26:E26"/>
    <mergeCell ref="F57:G57"/>
    <mergeCell ref="D35:E35"/>
    <mergeCell ref="D10:E10"/>
    <mergeCell ref="F10:G10"/>
    <mergeCell ref="D19:E19"/>
    <mergeCell ref="F54:G54"/>
    <mergeCell ref="D34:E34"/>
    <mergeCell ref="F63:G63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34:G34"/>
    <mergeCell ref="F19:G19"/>
    <mergeCell ref="F74:G74"/>
    <mergeCell ref="F83:G83"/>
    <mergeCell ref="F30:G30"/>
    <mergeCell ref="D76:E76"/>
    <mergeCell ref="F20:G20"/>
    <mergeCell ref="F18:G18"/>
    <mergeCell ref="F33:G33"/>
    <mergeCell ref="F45:G45"/>
    <mergeCell ref="F76:G76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F6:G6"/>
    <mergeCell ref="D11:E11"/>
    <mergeCell ref="D9:E9"/>
    <mergeCell ref="F9:G9"/>
    <mergeCell ref="F24:G24"/>
    <mergeCell ref="D57:E5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O87"/>
  <sheetViews>
    <sheetView topLeftCell="A19" workbookViewId="0">
      <selection activeCell="I23" sqref="I2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615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616</v>
      </c>
      <c r="C3" s="263"/>
      <c r="D3" s="260"/>
      <c r="E3" s="266" t="s">
        <v>11</v>
      </c>
      <c r="F3" s="263"/>
      <c r="G3" s="260"/>
      <c r="H3" s="268" t="s">
        <v>617</v>
      </c>
      <c r="I3" s="269"/>
      <c r="J3" s="19" t="str">
        <f>B3</f>
        <v>Lexotan 3mg</v>
      </c>
      <c r="K3" s="34" t="s">
        <v>618</v>
      </c>
      <c r="L3" s="5">
        <f>H7</f>
        <v>3</v>
      </c>
      <c r="M3" s="3">
        <f>SUM(C$8:C$1048576)</f>
        <v>350</v>
      </c>
      <c r="N3" s="3">
        <f>SUM(F:F)</f>
        <v>308</v>
      </c>
      <c r="O3" s="3">
        <f>L3+M3-N3</f>
        <v>45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619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620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3</v>
      </c>
      <c r="D7" s="280"/>
      <c r="E7" s="260"/>
      <c r="F7" s="280"/>
      <c r="G7" s="260"/>
      <c r="H7" s="155">
        <v>3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334</v>
      </c>
      <c r="B8" s="38" t="s">
        <v>324</v>
      </c>
      <c r="C8" s="38">
        <v>30</v>
      </c>
      <c r="D8" s="279" t="s">
        <v>621</v>
      </c>
      <c r="E8" s="260"/>
      <c r="F8" s="279"/>
      <c r="G8" s="260"/>
      <c r="H8" s="38">
        <v>33</v>
      </c>
      <c r="I8" s="114" t="s">
        <v>437</v>
      </c>
      <c r="J8" s="12"/>
    </row>
    <row r="9" spans="1:15" ht="26.7" customHeight="1">
      <c r="A9" s="39" t="s">
        <v>463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5</v>
      </c>
      <c r="I9" s="37"/>
      <c r="J9" s="12"/>
    </row>
    <row r="10" spans="1:15" ht="26.7" customHeight="1">
      <c r="A10" s="39" t="s">
        <v>433</v>
      </c>
      <c r="B10" s="38" t="s">
        <v>323</v>
      </c>
      <c r="C10" s="38"/>
      <c r="D10" s="279"/>
      <c r="E10" s="260"/>
      <c r="F10" s="279">
        <v>30</v>
      </c>
      <c r="G10" s="260"/>
      <c r="H10" s="38">
        <f>H9-F10</f>
        <v>-25</v>
      </c>
      <c r="I10" s="114"/>
      <c r="J10" s="12"/>
    </row>
    <row r="11" spans="1:15" ht="26.7" customHeight="1">
      <c r="A11" s="39" t="s">
        <v>622</v>
      </c>
      <c r="B11" s="38" t="s">
        <v>324</v>
      </c>
      <c r="C11" s="38">
        <v>90</v>
      </c>
      <c r="D11" s="279" t="s">
        <v>621</v>
      </c>
      <c r="E11" s="260"/>
      <c r="F11" s="279"/>
      <c r="G11" s="260"/>
      <c r="H11" s="38">
        <v>65</v>
      </c>
      <c r="I11" s="114" t="s">
        <v>437</v>
      </c>
      <c r="J11" s="12"/>
    </row>
    <row r="12" spans="1:15" ht="26.7" customHeight="1">
      <c r="A12" s="39" t="s">
        <v>526</v>
      </c>
      <c r="B12" s="38" t="s">
        <v>323</v>
      </c>
      <c r="C12" s="38"/>
      <c r="D12" s="279"/>
      <c r="E12" s="260"/>
      <c r="F12" s="279">
        <v>30</v>
      </c>
      <c r="G12" s="260"/>
      <c r="H12" s="38">
        <f>H11-F12</f>
        <v>35</v>
      </c>
      <c r="I12" s="37"/>
      <c r="J12" s="12"/>
    </row>
    <row r="13" spans="1:15" ht="26.7" customHeight="1">
      <c r="A13" s="39" t="s">
        <v>438</v>
      </c>
      <c r="B13" s="38" t="s">
        <v>323</v>
      </c>
      <c r="C13" s="38"/>
      <c r="D13" s="279"/>
      <c r="E13" s="260"/>
      <c r="F13" s="279">
        <v>30</v>
      </c>
      <c r="G13" s="260"/>
      <c r="H13" s="38">
        <f>H12-F13</f>
        <v>5</v>
      </c>
      <c r="I13" s="37"/>
      <c r="J13" s="12"/>
    </row>
    <row r="14" spans="1:15" ht="26.7" customHeight="1">
      <c r="A14" s="39" t="s">
        <v>441</v>
      </c>
      <c r="B14" s="38" t="s">
        <v>323</v>
      </c>
      <c r="C14" s="38"/>
      <c r="D14" s="279"/>
      <c r="E14" s="260"/>
      <c r="F14" s="279">
        <v>30</v>
      </c>
      <c r="G14" s="260"/>
      <c r="H14" s="38">
        <f>H13-F14</f>
        <v>-25</v>
      </c>
      <c r="I14" s="37"/>
      <c r="J14" s="12"/>
    </row>
    <row r="15" spans="1:15">
      <c r="A15" s="39" t="s">
        <v>441</v>
      </c>
      <c r="B15" s="38" t="s">
        <v>324</v>
      </c>
      <c r="C15" s="38">
        <v>100</v>
      </c>
      <c r="D15" s="279" t="s">
        <v>623</v>
      </c>
      <c r="E15" s="260"/>
      <c r="F15" s="279"/>
      <c r="G15" s="260"/>
      <c r="H15" s="38">
        <v>75</v>
      </c>
      <c r="I15" s="114" t="s">
        <v>437</v>
      </c>
      <c r="J15" s="3"/>
    </row>
    <row r="16" spans="1:15">
      <c r="A16" s="39" t="s">
        <v>495</v>
      </c>
      <c r="B16" s="38" t="s">
        <v>323</v>
      </c>
      <c r="C16" s="38"/>
      <c r="D16" s="279"/>
      <c r="E16" s="260"/>
      <c r="F16" s="279">
        <v>30</v>
      </c>
      <c r="G16" s="260"/>
      <c r="H16" s="38">
        <f>H15-F16</f>
        <v>45</v>
      </c>
      <c r="I16" s="37"/>
    </row>
    <row r="17" spans="1:9">
      <c r="A17" s="39" t="s">
        <v>499</v>
      </c>
      <c r="B17" s="38" t="s">
        <v>323</v>
      </c>
      <c r="C17" s="38"/>
      <c r="D17" s="279"/>
      <c r="E17" s="260"/>
      <c r="F17" s="279">
        <v>14</v>
      </c>
      <c r="G17" s="260"/>
      <c r="H17" s="38">
        <f>H16-F17</f>
        <v>31</v>
      </c>
      <c r="I17" s="37"/>
    </row>
    <row r="18" spans="1:9">
      <c r="A18" s="39" t="s">
        <v>396</v>
      </c>
      <c r="B18" s="38" t="s">
        <v>323</v>
      </c>
      <c r="C18" s="38"/>
      <c r="D18" s="279"/>
      <c r="E18" s="260"/>
      <c r="F18" s="279">
        <v>30</v>
      </c>
      <c r="G18" s="260"/>
      <c r="H18" s="38">
        <f>H17-F18</f>
        <v>1</v>
      </c>
      <c r="I18" s="37"/>
    </row>
    <row r="19" spans="1:9">
      <c r="A19" s="39" t="s">
        <v>607</v>
      </c>
      <c r="B19" s="38" t="s">
        <v>324</v>
      </c>
      <c r="C19" s="38">
        <v>30</v>
      </c>
      <c r="D19" s="279" t="s">
        <v>623</v>
      </c>
      <c r="E19" s="260"/>
      <c r="F19" s="279"/>
      <c r="G19" s="260"/>
      <c r="H19" s="38">
        <v>31</v>
      </c>
      <c r="I19" s="37" t="s">
        <v>437</v>
      </c>
    </row>
    <row r="20" spans="1:9">
      <c r="A20" s="39" t="s">
        <v>502</v>
      </c>
      <c r="B20" s="38" t="s">
        <v>323</v>
      </c>
      <c r="C20" s="38"/>
      <c r="D20" s="279"/>
      <c r="E20" s="260"/>
      <c r="F20" s="279">
        <v>14</v>
      </c>
      <c r="G20" s="260"/>
      <c r="H20" s="38">
        <f>H19-F20</f>
        <v>17</v>
      </c>
      <c r="I20" s="37"/>
    </row>
    <row r="21" spans="1:9">
      <c r="A21" s="39" t="s">
        <v>552</v>
      </c>
      <c r="B21" s="38" t="s">
        <v>323</v>
      </c>
      <c r="C21" s="38"/>
      <c r="D21" s="279"/>
      <c r="E21" s="260"/>
      <c r="F21" s="279">
        <v>14</v>
      </c>
      <c r="G21" s="260"/>
      <c r="H21" s="38">
        <f>H20-F21</f>
        <v>3</v>
      </c>
      <c r="I21" s="37"/>
    </row>
    <row r="22" spans="1:9">
      <c r="A22" s="39" t="s">
        <v>507</v>
      </c>
      <c r="B22" s="38" t="s">
        <v>323</v>
      </c>
      <c r="C22" s="38"/>
      <c r="D22" s="279"/>
      <c r="E22" s="260"/>
      <c r="F22" s="279">
        <v>44</v>
      </c>
      <c r="G22" s="260"/>
      <c r="H22" s="38">
        <f>H21-F22</f>
        <v>-41</v>
      </c>
      <c r="I22" s="37"/>
    </row>
    <row r="23" spans="1:9">
      <c r="A23" s="39" t="s">
        <v>624</v>
      </c>
      <c r="B23" s="38" t="s">
        <v>324</v>
      </c>
      <c r="C23" s="38">
        <v>100</v>
      </c>
      <c r="D23" s="279" t="s">
        <v>625</v>
      </c>
      <c r="E23" s="260"/>
      <c r="F23" s="279"/>
      <c r="G23" s="260"/>
      <c r="H23" s="38">
        <v>59</v>
      </c>
      <c r="I23" s="37" t="s">
        <v>437</v>
      </c>
    </row>
    <row r="24" spans="1:9">
      <c r="A24" s="39" t="s">
        <v>626</v>
      </c>
      <c r="B24" s="38" t="s">
        <v>323</v>
      </c>
      <c r="C24" s="38"/>
      <c r="D24" s="279"/>
      <c r="E24" s="260"/>
      <c r="F24" s="279">
        <v>14</v>
      </c>
      <c r="G24" s="260"/>
      <c r="H24" s="38">
        <f>H23-F24</f>
        <v>45</v>
      </c>
      <c r="I24" s="37"/>
    </row>
    <row r="25" spans="1:9">
      <c r="A25" s="39"/>
      <c r="B25" s="38"/>
      <c r="C25" s="38"/>
      <c r="D25" s="279"/>
      <c r="E25" s="260"/>
      <c r="F25" s="279"/>
      <c r="G25" s="260"/>
      <c r="H25" s="38"/>
      <c r="I25" s="37"/>
    </row>
    <row r="26" spans="1:9">
      <c r="A26" s="39"/>
      <c r="B26" s="38"/>
      <c r="C26" s="38"/>
      <c r="D26" s="279"/>
      <c r="E26" s="260"/>
      <c r="F26" s="279"/>
      <c r="G26" s="260"/>
      <c r="H26" s="38"/>
      <c r="I26" s="37"/>
    </row>
    <row r="27" spans="1:9">
      <c r="A27" s="39"/>
      <c r="B27" s="38"/>
      <c r="C27" s="38"/>
      <c r="D27" s="279"/>
      <c r="E27" s="260"/>
      <c r="F27" s="279"/>
      <c r="G27" s="260"/>
      <c r="H27" s="38"/>
      <c r="I27" s="37"/>
    </row>
    <row r="28" spans="1:9" ht="21" customHeight="1">
      <c r="A28" s="13"/>
      <c r="B28" s="6"/>
      <c r="C28" s="3"/>
      <c r="D28" s="259"/>
      <c r="E28" s="260"/>
      <c r="F28" s="261"/>
      <c r="G28" s="260"/>
      <c r="H28" s="7"/>
      <c r="I28" s="7"/>
    </row>
    <row r="29" spans="1:9" ht="21" customHeight="1">
      <c r="A29" s="13"/>
      <c r="B29" s="6"/>
      <c r="C29" s="3"/>
      <c r="D29" s="259"/>
      <c r="E29" s="260"/>
      <c r="F29" s="261"/>
      <c r="G29" s="260"/>
      <c r="H29" s="7"/>
      <c r="I29" s="7"/>
    </row>
    <row r="30" spans="1:9" ht="21" customHeight="1">
      <c r="A30" s="13"/>
      <c r="B30" s="6"/>
      <c r="C30" s="3"/>
      <c r="D30" s="259"/>
      <c r="E30" s="260"/>
      <c r="F30" s="261"/>
      <c r="G30" s="260"/>
      <c r="H30" s="7"/>
      <c r="I30" s="7"/>
    </row>
    <row r="31" spans="1:9" ht="21" customHeight="1">
      <c r="A31" s="13"/>
      <c r="B31" s="6"/>
      <c r="C31" s="10"/>
      <c r="D31" s="259"/>
      <c r="E31" s="260"/>
      <c r="F31" s="261"/>
      <c r="G31" s="260"/>
      <c r="H31" s="7"/>
      <c r="I31" s="7"/>
    </row>
    <row r="32" spans="1:9" ht="21" customHeight="1">
      <c r="A32" s="13"/>
      <c r="B32" s="8"/>
      <c r="C32" s="10"/>
      <c r="D32" s="259"/>
      <c r="E32" s="260"/>
      <c r="F32" s="261"/>
      <c r="G32" s="260"/>
      <c r="H32" s="7"/>
      <c r="I32" s="11"/>
    </row>
    <row r="33" spans="1:9" ht="21" customHeight="1">
      <c r="A33" s="13"/>
      <c r="B33" s="6"/>
      <c r="C33" s="9"/>
      <c r="D33" s="259"/>
      <c r="E33" s="260"/>
      <c r="F33" s="261"/>
      <c r="G33" s="260"/>
      <c r="H33" s="7"/>
      <c r="I33" s="7"/>
    </row>
    <row r="34" spans="1:9" ht="21" customHeight="1">
      <c r="A34" s="14"/>
      <c r="B34" s="6"/>
      <c r="C34" s="3"/>
      <c r="D34" s="259"/>
      <c r="E34" s="260"/>
      <c r="F34" s="261"/>
      <c r="G34" s="260"/>
      <c r="H34" s="7"/>
      <c r="I34" s="7"/>
    </row>
    <row r="35" spans="1:9" ht="21" customHeight="1">
      <c r="A35" s="14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5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4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4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4"/>
      <c r="B39" s="6"/>
      <c r="C39" s="3"/>
      <c r="D39" s="259"/>
      <c r="E39" s="260"/>
      <c r="F39" s="261"/>
      <c r="G39" s="260"/>
      <c r="H39" s="7"/>
      <c r="I39" s="16"/>
    </row>
    <row r="40" spans="1:9" ht="21" customHeight="1">
      <c r="A40" s="15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5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5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4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4"/>
      <c r="B44" s="6"/>
      <c r="C44" s="9"/>
      <c r="D44" s="259"/>
      <c r="E44" s="260"/>
      <c r="F44" s="261"/>
      <c r="G44" s="260"/>
      <c r="H44" s="7"/>
      <c r="I44" s="7"/>
    </row>
    <row r="45" spans="1:9" ht="21" customHeight="1">
      <c r="A45" s="14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5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5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5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15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8"/>
      <c r="C65" s="9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8"/>
      <c r="C67" s="9"/>
      <c r="D67" s="259"/>
      <c r="E67" s="260"/>
      <c r="F67" s="261"/>
      <c r="G67" s="260"/>
      <c r="H67" s="7"/>
      <c r="I67" s="11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9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</sheetData>
  <mergeCells count="174">
    <mergeCell ref="D87:E87"/>
    <mergeCell ref="F38:G38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D74:E74"/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87:G87"/>
    <mergeCell ref="D63:E63"/>
    <mergeCell ref="D81:E81"/>
    <mergeCell ref="D65:E65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D28:E28"/>
    <mergeCell ref="F22:G22"/>
    <mergeCell ref="D12:E12"/>
    <mergeCell ref="D83:E83"/>
    <mergeCell ref="D25:E25"/>
    <mergeCell ref="F77:G77"/>
    <mergeCell ref="D55:E55"/>
    <mergeCell ref="D30:E30"/>
    <mergeCell ref="D67:E67"/>
    <mergeCell ref="F49:G49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A5:B5"/>
    <mergeCell ref="D14:E14"/>
    <mergeCell ref="E4:G4"/>
    <mergeCell ref="F14:G14"/>
    <mergeCell ref="D54:E54"/>
    <mergeCell ref="F11:G11"/>
    <mergeCell ref="D46:E46"/>
    <mergeCell ref="H4:I4"/>
    <mergeCell ref="D40:E40"/>
    <mergeCell ref="F40:G40"/>
    <mergeCell ref="D21:E21"/>
    <mergeCell ref="F59:G59"/>
    <mergeCell ref="F55:G55"/>
    <mergeCell ref="F12:G12"/>
    <mergeCell ref="F85:G85"/>
    <mergeCell ref="F42:G42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79:E79"/>
    <mergeCell ref="F64:G64"/>
    <mergeCell ref="F73:G73"/>
    <mergeCell ref="D85:E85"/>
    <mergeCell ref="D69:E69"/>
    <mergeCell ref="F69:G69"/>
    <mergeCell ref="F78:G78"/>
    <mergeCell ref="F65:G65"/>
    <mergeCell ref="D80:E80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D26:E26"/>
    <mergeCell ref="F57:G57"/>
    <mergeCell ref="D35:E35"/>
    <mergeCell ref="D10:E10"/>
    <mergeCell ref="F10:G10"/>
    <mergeCell ref="D19:E19"/>
    <mergeCell ref="F54:G54"/>
    <mergeCell ref="D34:E34"/>
    <mergeCell ref="F63:G63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34:G34"/>
    <mergeCell ref="F19:G19"/>
    <mergeCell ref="F74:G74"/>
    <mergeCell ref="F83:G83"/>
    <mergeCell ref="F30:G30"/>
    <mergeCell ref="D76:E76"/>
    <mergeCell ref="F20:G20"/>
    <mergeCell ref="F18:G18"/>
    <mergeCell ref="F33:G33"/>
    <mergeCell ref="F45:G45"/>
    <mergeCell ref="F76:G76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F6:G6"/>
    <mergeCell ref="D11:E11"/>
    <mergeCell ref="D9:E9"/>
    <mergeCell ref="F9:G9"/>
    <mergeCell ref="F24:G24"/>
    <mergeCell ref="D57:E5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A1:O95"/>
  <sheetViews>
    <sheetView tabSelected="1" topLeftCell="A4" workbookViewId="0">
      <selection activeCell="I13" sqref="I1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627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628</v>
      </c>
      <c r="C3" s="263"/>
      <c r="D3" s="260"/>
      <c r="E3" s="266" t="s">
        <v>11</v>
      </c>
      <c r="F3" s="263"/>
      <c r="G3" s="260"/>
      <c r="H3" s="268" t="s">
        <v>629</v>
      </c>
      <c r="I3" s="269"/>
      <c r="J3" s="19" t="str">
        <f>B3</f>
        <v>Modipanol 2mg</v>
      </c>
      <c r="K3" s="34" t="s">
        <v>630</v>
      </c>
      <c r="L3" s="5">
        <f>H7</f>
        <v>20</v>
      </c>
      <c r="M3" s="3">
        <f>SUM(C$8:C$1048576)</f>
        <v>150</v>
      </c>
      <c r="N3" s="3">
        <f>SUM(F:F)</f>
        <v>84</v>
      </c>
      <c r="O3" s="3">
        <f>L3+M3-N3</f>
        <v>86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631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632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20</v>
      </c>
      <c r="D7" s="280"/>
      <c r="E7" s="260"/>
      <c r="F7" s="280"/>
      <c r="G7" s="260"/>
      <c r="H7" s="155">
        <v>20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476</v>
      </c>
      <c r="B8" s="38" t="s">
        <v>324</v>
      </c>
      <c r="C8" s="7">
        <v>30</v>
      </c>
      <c r="D8" s="259" t="s">
        <v>633</v>
      </c>
      <c r="E8" s="260"/>
      <c r="F8" s="279"/>
      <c r="G8" s="260"/>
      <c r="H8" s="38">
        <v>50</v>
      </c>
      <c r="I8" s="26" t="s">
        <v>414</v>
      </c>
      <c r="J8" s="12"/>
    </row>
    <row r="9" spans="1:15" ht="26.7" customHeight="1">
      <c r="A9" s="39" t="s">
        <v>477</v>
      </c>
      <c r="B9" s="38" t="s">
        <v>324</v>
      </c>
      <c r="C9" s="7">
        <v>30</v>
      </c>
      <c r="D9" s="259" t="s">
        <v>633</v>
      </c>
      <c r="E9" s="260"/>
      <c r="F9" s="279"/>
      <c r="G9" s="260"/>
      <c r="H9" s="38">
        <v>80</v>
      </c>
      <c r="I9" s="114" t="s">
        <v>414</v>
      </c>
      <c r="J9" s="12"/>
    </row>
    <row r="10" spans="1:15" ht="26.7" customHeight="1">
      <c r="A10" s="39" t="s">
        <v>341</v>
      </c>
      <c r="B10" s="38" t="s">
        <v>323</v>
      </c>
      <c r="C10" s="7"/>
      <c r="D10" s="259"/>
      <c r="E10" s="260"/>
      <c r="F10" s="279">
        <v>42</v>
      </c>
      <c r="G10" s="260"/>
      <c r="H10" s="38">
        <f>H9-F10</f>
        <v>38</v>
      </c>
      <c r="I10" s="26"/>
      <c r="J10" s="12"/>
    </row>
    <row r="11" spans="1:15" ht="26.7" customHeight="1">
      <c r="A11" s="39" t="s">
        <v>634</v>
      </c>
      <c r="B11" s="38" t="s">
        <v>324</v>
      </c>
      <c r="C11" s="7">
        <v>10</v>
      </c>
      <c r="D11" s="259" t="s">
        <v>633</v>
      </c>
      <c r="E11" s="260"/>
      <c r="F11" s="279"/>
      <c r="G11" s="260"/>
      <c r="H11" s="38">
        <v>48</v>
      </c>
      <c r="I11" s="26" t="s">
        <v>414</v>
      </c>
      <c r="J11" s="12"/>
    </row>
    <row r="12" spans="1:15" ht="26.7" customHeight="1">
      <c r="A12" s="39" t="s">
        <v>350</v>
      </c>
      <c r="B12" s="38" t="s">
        <v>323</v>
      </c>
      <c r="C12" s="7"/>
      <c r="D12" s="259"/>
      <c r="E12" s="260"/>
      <c r="F12" s="279">
        <v>42</v>
      </c>
      <c r="G12" s="260"/>
      <c r="H12" s="38">
        <f>H11-F12</f>
        <v>6</v>
      </c>
      <c r="I12" s="236" t="s">
        <v>635</v>
      </c>
      <c r="J12" s="12"/>
    </row>
    <row r="13" spans="1:15" ht="26.7" customHeight="1">
      <c r="A13" s="39" t="s">
        <v>370</v>
      </c>
      <c r="B13" s="38" t="s">
        <v>324</v>
      </c>
      <c r="C13" s="7">
        <v>80</v>
      </c>
      <c r="D13" s="259" t="s">
        <v>636</v>
      </c>
      <c r="E13" s="260"/>
      <c r="F13" s="279"/>
      <c r="G13" s="260"/>
      <c r="H13" s="38">
        <v>86</v>
      </c>
      <c r="I13" s="26" t="s">
        <v>414</v>
      </c>
      <c r="J13" s="12"/>
    </row>
    <row r="14" spans="1:15" ht="26.7" customHeight="1">
      <c r="A14" s="39"/>
      <c r="B14" s="38"/>
      <c r="C14" s="7"/>
      <c r="D14" s="259"/>
      <c r="E14" s="260"/>
      <c r="F14" s="279"/>
      <c r="G14" s="260"/>
      <c r="H14" s="38"/>
      <c r="I14" s="26"/>
      <c r="J14" s="12"/>
    </row>
    <row r="15" spans="1:15" ht="26.7" customHeight="1">
      <c r="A15" s="39"/>
      <c r="B15" s="38"/>
      <c r="C15" s="7"/>
      <c r="D15" s="259"/>
      <c r="E15" s="260"/>
      <c r="F15" s="279"/>
      <c r="G15" s="260"/>
      <c r="H15" s="38"/>
      <c r="I15" s="26"/>
      <c r="J15" s="12"/>
    </row>
    <row r="16" spans="1:15" ht="26.7" customHeight="1">
      <c r="A16" s="25"/>
      <c r="B16" s="38"/>
      <c r="C16" s="7"/>
      <c r="D16" s="259"/>
      <c r="E16" s="260"/>
      <c r="F16" s="279"/>
      <c r="G16" s="260"/>
      <c r="H16" s="38"/>
      <c r="I16" s="28"/>
      <c r="J16" s="12"/>
    </row>
    <row r="17" spans="1:10" ht="26.7" customHeight="1">
      <c r="A17" s="25"/>
      <c r="B17" s="38"/>
      <c r="C17" s="7"/>
      <c r="D17" s="259"/>
      <c r="E17" s="260"/>
      <c r="F17" s="279"/>
      <c r="G17" s="260"/>
      <c r="H17" s="38"/>
      <c r="I17" s="26"/>
      <c r="J17" s="12"/>
    </row>
    <row r="18" spans="1:10" ht="26.7" customHeight="1">
      <c r="A18" s="25"/>
      <c r="B18" s="38"/>
      <c r="C18" s="7"/>
      <c r="D18" s="259"/>
      <c r="E18" s="260"/>
      <c r="F18" s="279"/>
      <c r="G18" s="260"/>
      <c r="H18" s="38"/>
      <c r="I18" s="26"/>
      <c r="J18" s="12"/>
    </row>
    <row r="19" spans="1:10" ht="26.7" customHeight="1">
      <c r="A19" s="25"/>
      <c r="B19" s="38"/>
      <c r="C19" s="7"/>
      <c r="D19" s="259"/>
      <c r="E19" s="260"/>
      <c r="F19" s="279"/>
      <c r="G19" s="260"/>
      <c r="H19" s="38"/>
      <c r="I19" s="26"/>
      <c r="J19" s="12"/>
    </row>
    <row r="20" spans="1:10" ht="26.7" customHeight="1">
      <c r="A20" s="25"/>
      <c r="B20" s="38"/>
      <c r="C20" s="7"/>
      <c r="D20" s="259"/>
      <c r="E20" s="260"/>
      <c r="F20" s="279"/>
      <c r="G20" s="260"/>
      <c r="H20" s="38"/>
      <c r="I20" s="26"/>
      <c r="J20" s="12"/>
    </row>
    <row r="21" spans="1:10" ht="26.7" customHeight="1">
      <c r="A21" s="25"/>
      <c r="B21" s="38"/>
      <c r="C21" s="7"/>
      <c r="D21" s="259"/>
      <c r="E21" s="260"/>
      <c r="F21" s="279"/>
      <c r="G21" s="260"/>
      <c r="H21" s="38"/>
      <c r="I21" s="26"/>
      <c r="J21" s="12"/>
    </row>
    <row r="22" spans="1:10" ht="26.7" customHeight="1" thickBot="1">
      <c r="A22" s="29"/>
      <c r="B22" s="38"/>
      <c r="C22" s="31"/>
      <c r="D22" s="264"/>
      <c r="E22" s="265"/>
      <c r="F22" s="279"/>
      <c r="G22" s="260"/>
      <c r="H22" s="38"/>
      <c r="I22" s="32"/>
      <c r="J22" s="12"/>
    </row>
    <row r="23" spans="1:10" ht="21" customHeight="1">
      <c r="A23" s="20"/>
      <c r="B23" s="38"/>
      <c r="C23" s="22"/>
      <c r="D23" s="276"/>
      <c r="E23" s="277"/>
      <c r="F23" s="279"/>
      <c r="G23" s="260"/>
      <c r="H23" s="38"/>
      <c r="I23" s="22"/>
      <c r="J23" s="3"/>
    </row>
    <row r="24" spans="1:10" ht="21" customHeight="1">
      <c r="A24" s="13"/>
      <c r="B24" s="38"/>
      <c r="C24" s="7"/>
      <c r="D24" s="259"/>
      <c r="E24" s="260"/>
      <c r="F24" s="279"/>
      <c r="G24" s="260"/>
      <c r="H24" s="38"/>
      <c r="I24" s="7"/>
    </row>
    <row r="25" spans="1:10" ht="21" customHeight="1">
      <c r="A25" s="13"/>
      <c r="B25" s="38"/>
      <c r="C25" s="7"/>
      <c r="D25" s="259"/>
      <c r="E25" s="260"/>
      <c r="F25" s="279"/>
      <c r="G25" s="260"/>
      <c r="H25" s="38"/>
      <c r="I25" s="16"/>
    </row>
    <row r="26" spans="1:10" ht="21" customHeight="1">
      <c r="A26" s="13"/>
      <c r="B26" s="38"/>
      <c r="C26" s="7"/>
      <c r="D26" s="259"/>
      <c r="E26" s="260"/>
      <c r="F26" s="279"/>
      <c r="G26" s="260"/>
      <c r="H26" s="38"/>
      <c r="I26" s="7"/>
    </row>
    <row r="27" spans="1:10" ht="21" customHeight="1">
      <c r="A27" s="13"/>
      <c r="B27" s="38"/>
      <c r="C27" s="7"/>
      <c r="D27" s="259"/>
      <c r="E27" s="260"/>
      <c r="F27" s="279"/>
      <c r="G27" s="260"/>
      <c r="H27" s="38"/>
      <c r="I27" s="7"/>
    </row>
    <row r="28" spans="1:10" ht="21" customHeight="1">
      <c r="A28" s="13"/>
      <c r="B28" s="38"/>
      <c r="C28" s="3"/>
      <c r="D28" s="259"/>
      <c r="E28" s="260"/>
      <c r="F28" s="279"/>
      <c r="G28" s="260"/>
      <c r="H28" s="38"/>
      <c r="I28" s="16"/>
    </row>
    <row r="29" spans="1:10" ht="21" customHeight="1">
      <c r="A29" s="13"/>
      <c r="B29" s="38"/>
      <c r="C29" s="3"/>
      <c r="D29" s="259"/>
      <c r="E29" s="260"/>
      <c r="F29" s="279"/>
      <c r="G29" s="260"/>
      <c r="H29" s="38"/>
      <c r="I29" s="7"/>
    </row>
    <row r="30" spans="1:10" ht="21" customHeight="1">
      <c r="A30" s="13"/>
      <c r="B30" s="38"/>
      <c r="C30" s="3"/>
      <c r="D30" s="259"/>
      <c r="E30" s="260"/>
      <c r="F30" s="279"/>
      <c r="G30" s="260"/>
      <c r="H30" s="38"/>
      <c r="I30" s="7"/>
    </row>
    <row r="31" spans="1:10" ht="21" customHeight="1">
      <c r="A31" s="13"/>
      <c r="B31" s="38"/>
      <c r="C31" s="3"/>
      <c r="D31" s="259"/>
      <c r="E31" s="260"/>
      <c r="F31" s="279"/>
      <c r="G31" s="260"/>
      <c r="H31" s="38"/>
      <c r="I31" s="7"/>
    </row>
    <row r="32" spans="1:10" ht="21" customHeight="1">
      <c r="A32" s="13"/>
      <c r="B32" s="38"/>
      <c r="C32" s="3"/>
      <c r="D32" s="259"/>
      <c r="E32" s="260"/>
      <c r="F32" s="279"/>
      <c r="G32" s="260"/>
      <c r="H32" s="38"/>
      <c r="I32" s="7"/>
    </row>
    <row r="33" spans="1:9" ht="21" customHeight="1">
      <c r="A33" s="13"/>
      <c r="B33" s="38"/>
      <c r="C33" s="3"/>
      <c r="D33" s="259"/>
      <c r="E33" s="260"/>
      <c r="F33" s="279"/>
      <c r="G33" s="260"/>
      <c r="H33" s="38"/>
      <c r="I33" s="7"/>
    </row>
    <row r="34" spans="1:9" ht="21" customHeight="1">
      <c r="A34" s="13"/>
      <c r="B34" s="38"/>
      <c r="C34" s="3"/>
      <c r="D34" s="259"/>
      <c r="E34" s="260"/>
      <c r="F34" s="279"/>
      <c r="G34" s="260"/>
      <c r="H34" s="38"/>
      <c r="I34" s="7"/>
    </row>
    <row r="35" spans="1:9" ht="21" customHeight="1">
      <c r="A35" s="13"/>
      <c r="B35" s="38"/>
      <c r="C35" s="3"/>
      <c r="D35" s="259"/>
      <c r="E35" s="260"/>
      <c r="F35" s="279"/>
      <c r="G35" s="260"/>
      <c r="H35" s="38"/>
      <c r="I35" s="7"/>
    </row>
    <row r="36" spans="1:9" ht="21" customHeight="1">
      <c r="A36" s="13"/>
      <c r="B36" s="6"/>
      <c r="C36" s="3"/>
      <c r="D36" s="259"/>
      <c r="E36" s="260"/>
      <c r="F36" s="279"/>
      <c r="G36" s="260"/>
      <c r="H36" s="38"/>
      <c r="I36" s="7"/>
    </row>
    <row r="37" spans="1:9" ht="21" customHeight="1">
      <c r="A37" s="13"/>
      <c r="B37" s="6"/>
      <c r="C37" s="3"/>
      <c r="D37" s="259"/>
      <c r="E37" s="260"/>
      <c r="F37" s="279"/>
      <c r="G37" s="260"/>
      <c r="H37" s="38"/>
      <c r="I37" s="7"/>
    </row>
    <row r="38" spans="1:9" ht="21" customHeight="1">
      <c r="A38" s="13"/>
      <c r="B38" s="6"/>
      <c r="C38" s="3"/>
      <c r="D38" s="259"/>
      <c r="E38" s="260"/>
      <c r="F38" s="279"/>
      <c r="G38" s="260"/>
      <c r="H38" s="38"/>
      <c r="I38" s="7"/>
    </row>
    <row r="39" spans="1:9" ht="21" customHeight="1">
      <c r="A39" s="13"/>
      <c r="B39" s="6"/>
      <c r="C39" s="10"/>
      <c r="D39" s="259"/>
      <c r="E39" s="260"/>
      <c r="F39" s="279"/>
      <c r="G39" s="260"/>
      <c r="H39" s="38"/>
      <c r="I39" s="7"/>
    </row>
    <row r="40" spans="1:9" ht="21" customHeight="1">
      <c r="A40" s="13"/>
      <c r="B40" s="8"/>
      <c r="C40" s="10"/>
      <c r="D40" s="259"/>
      <c r="E40" s="260"/>
      <c r="F40" s="279"/>
      <c r="G40" s="260"/>
      <c r="H40" s="38"/>
      <c r="I40" s="11"/>
    </row>
    <row r="41" spans="1:9" ht="21" customHeight="1">
      <c r="A41" s="13"/>
      <c r="B41" s="6"/>
      <c r="C41" s="9"/>
      <c r="D41" s="259"/>
      <c r="E41" s="260"/>
      <c r="F41" s="279"/>
      <c r="G41" s="260"/>
      <c r="H41" s="38"/>
      <c r="I41" s="7"/>
    </row>
    <row r="42" spans="1:9" ht="21" customHeight="1">
      <c r="A42" s="14"/>
      <c r="B42" s="6"/>
      <c r="C42" s="3"/>
      <c r="D42" s="259"/>
      <c r="E42" s="260"/>
      <c r="F42" s="279"/>
      <c r="G42" s="260"/>
      <c r="H42" s="38"/>
      <c r="I42" s="7"/>
    </row>
    <row r="43" spans="1:9" ht="21" customHeight="1">
      <c r="A43" s="14"/>
      <c r="B43" s="6"/>
      <c r="C43" s="3"/>
      <c r="D43" s="259"/>
      <c r="E43" s="260"/>
      <c r="F43" s="279"/>
      <c r="G43" s="260"/>
      <c r="H43" s="38"/>
      <c r="I43" s="7"/>
    </row>
    <row r="44" spans="1:9" ht="21" customHeight="1">
      <c r="A44" s="15"/>
      <c r="B44" s="6"/>
      <c r="C44" s="3"/>
      <c r="D44" s="259"/>
      <c r="E44" s="260"/>
      <c r="F44" s="279"/>
      <c r="G44" s="260"/>
      <c r="H44" s="38"/>
      <c r="I44" s="7"/>
    </row>
    <row r="45" spans="1:9" ht="21" customHeight="1">
      <c r="A45" s="14"/>
      <c r="B45" s="6"/>
      <c r="C45" s="3"/>
      <c r="D45" s="259"/>
      <c r="E45" s="260"/>
      <c r="F45" s="279"/>
      <c r="G45" s="260"/>
      <c r="H45" s="38"/>
      <c r="I45" s="7"/>
    </row>
    <row r="46" spans="1:9" ht="21" customHeight="1">
      <c r="A46" s="14"/>
      <c r="B46" s="6"/>
      <c r="C46" s="3"/>
      <c r="D46" s="259"/>
      <c r="E46" s="260"/>
      <c r="F46" s="261"/>
      <c r="G46" s="260"/>
      <c r="H46" s="38"/>
      <c r="I46" s="7"/>
    </row>
    <row r="47" spans="1:9" ht="21" customHeight="1">
      <c r="A47" s="14"/>
      <c r="B47" s="6"/>
      <c r="C47" s="3"/>
      <c r="D47" s="259"/>
      <c r="E47" s="260"/>
      <c r="F47" s="261"/>
      <c r="G47" s="260"/>
      <c r="H47" s="38"/>
      <c r="I47" s="16"/>
    </row>
    <row r="48" spans="1:9" ht="21" customHeight="1">
      <c r="A48" s="15"/>
      <c r="B48" s="6"/>
      <c r="C48" s="3"/>
      <c r="D48" s="259"/>
      <c r="E48" s="260"/>
      <c r="F48" s="261"/>
      <c r="G48" s="260"/>
      <c r="H48" s="38"/>
      <c r="I48" s="7"/>
    </row>
    <row r="49" spans="1:9" ht="21" customHeight="1">
      <c r="A49" s="15"/>
      <c r="B49" s="6"/>
      <c r="C49" s="3"/>
      <c r="D49" s="259"/>
      <c r="E49" s="260"/>
      <c r="F49" s="261"/>
      <c r="G49" s="260"/>
      <c r="H49" s="38"/>
      <c r="I49" s="7"/>
    </row>
    <row r="50" spans="1:9" ht="21" customHeight="1">
      <c r="A50" s="15"/>
      <c r="B50" s="6"/>
      <c r="C50" s="3"/>
      <c r="D50" s="259"/>
      <c r="E50" s="260"/>
      <c r="F50" s="261"/>
      <c r="G50" s="260"/>
      <c r="H50" s="38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38"/>
      <c r="I51" s="7"/>
    </row>
    <row r="52" spans="1:9" ht="21" customHeight="1">
      <c r="A52" s="14"/>
      <c r="B52" s="6"/>
      <c r="C52" s="9"/>
      <c r="D52" s="259"/>
      <c r="E52" s="260"/>
      <c r="F52" s="261"/>
      <c r="G52" s="260"/>
      <c r="H52" s="38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38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38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38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8"/>
      <c r="C73" s="9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8"/>
      <c r="C75" s="9"/>
      <c r="D75" s="259"/>
      <c r="E75" s="260"/>
      <c r="F75" s="261"/>
      <c r="G75" s="260"/>
      <c r="H75" s="7"/>
      <c r="I75" s="11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9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9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</sheetData>
  <mergeCells count="190">
    <mergeCell ref="D95:E95"/>
    <mergeCell ref="F24:G24"/>
    <mergeCell ref="F12:G12"/>
    <mergeCell ref="F95:G95"/>
    <mergeCell ref="D57:E57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D87:E87"/>
    <mergeCell ref="F38:G38"/>
    <mergeCell ref="F90:G90"/>
    <mergeCell ref="D43:E43"/>
    <mergeCell ref="E3:G3"/>
    <mergeCell ref="D58:E58"/>
    <mergeCell ref="D18:E18"/>
    <mergeCell ref="F58:G58"/>
    <mergeCell ref="F27:G27"/>
    <mergeCell ref="F52:G52"/>
    <mergeCell ref="D94:E94"/>
    <mergeCell ref="D69:E69"/>
    <mergeCell ref="F69:G69"/>
    <mergeCell ref="F11:G11"/>
    <mergeCell ref="F78:G78"/>
    <mergeCell ref="F65:G65"/>
    <mergeCell ref="D46:E46"/>
    <mergeCell ref="D40:E40"/>
    <mergeCell ref="H4:I4"/>
    <mergeCell ref="D80:E80"/>
    <mergeCell ref="F40:G40"/>
    <mergeCell ref="D21:E21"/>
    <mergeCell ref="F59:G59"/>
    <mergeCell ref="F55:G55"/>
    <mergeCell ref="F67:G67"/>
    <mergeCell ref="D8:E8"/>
    <mergeCell ref="F37:G37"/>
    <mergeCell ref="D74:E74"/>
    <mergeCell ref="D68:E68"/>
    <mergeCell ref="D42:E42"/>
    <mergeCell ref="D82:E82"/>
    <mergeCell ref="F82:G82"/>
    <mergeCell ref="F60:G60"/>
    <mergeCell ref="D50:E50"/>
    <mergeCell ref="F91:G91"/>
    <mergeCell ref="A5:B5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44:E44"/>
    <mergeCell ref="D59:E59"/>
    <mergeCell ref="F44:G44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E4:G4"/>
    <mergeCell ref="B3:D3"/>
    <mergeCell ref="F94:G94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D91:E91"/>
    <mergeCell ref="D90:E90"/>
    <mergeCell ref="F6:G6"/>
    <mergeCell ref="F74:G74"/>
    <mergeCell ref="F83:G83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D9:E9"/>
    <mergeCell ref="F9:G9"/>
    <mergeCell ref="D88:E88"/>
    <mergeCell ref="D26:E26"/>
    <mergeCell ref="F88:G88"/>
    <mergeCell ref="F57:G57"/>
    <mergeCell ref="D35:E35"/>
    <mergeCell ref="D10:E10"/>
    <mergeCell ref="F54:G54"/>
    <mergeCell ref="D19:E19"/>
    <mergeCell ref="D34:E34"/>
    <mergeCell ref="F10:G10"/>
    <mergeCell ref="F63:G63"/>
    <mergeCell ref="F34:G34"/>
    <mergeCell ref="F19:G19"/>
    <mergeCell ref="B4:D4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51:E51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F23:G23"/>
    <mergeCell ref="F81:G81"/>
    <mergeCell ref="D73:E7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A1:AB265"/>
  <sheetViews>
    <sheetView zoomScale="90" zoomScaleNormal="90" workbookViewId="0">
      <pane ySplit="6" topLeftCell="A13" activePane="bottomLeft" state="frozen"/>
      <selection activeCell="A21" sqref="A21"/>
      <selection pane="bottomLeft" activeCell="T19" sqref="T19:W209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11.44140625" style="246" customWidth="1"/>
    <col min="6" max="6" width="7.6640625" style="246" customWidth="1"/>
    <col min="7" max="7" width="5.33203125" style="246" customWidth="1"/>
    <col min="8" max="8" width="10.109375" style="246" customWidth="1"/>
    <col min="9" max="9" width="18.77734375" style="246" customWidth="1"/>
    <col min="10" max="10" width="16" style="246" bestFit="1" customWidth="1"/>
    <col min="20" max="20" width="12.21875" style="246" bestFit="1" customWidth="1"/>
  </cols>
  <sheetData>
    <row r="1" spans="1:20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09" t="s">
        <v>637</v>
      </c>
      <c r="K1" s="38" t="s">
        <v>515</v>
      </c>
      <c r="L1" s="38" t="s">
        <v>598</v>
      </c>
      <c r="M1" s="1"/>
      <c r="N1" s="1"/>
      <c r="O1" s="1"/>
    </row>
    <row r="2" spans="1:20" ht="34.950000000000003" customHeight="1">
      <c r="A2" s="33" t="s">
        <v>638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20" ht="19.5" customHeight="1">
      <c r="A3" s="23" t="s">
        <v>9</v>
      </c>
      <c r="B3" s="282" t="s">
        <v>639</v>
      </c>
      <c r="C3" s="263"/>
      <c r="D3" s="260"/>
      <c r="E3" s="266" t="s">
        <v>11</v>
      </c>
      <c r="F3" s="263"/>
      <c r="G3" s="260"/>
      <c r="H3" s="268" t="s">
        <v>429</v>
      </c>
      <c r="I3" s="269"/>
      <c r="J3" s="19" t="str">
        <f>B3</f>
        <v>Rivotril 0.5mg</v>
      </c>
      <c r="K3" s="34" t="s">
        <v>640</v>
      </c>
      <c r="L3" s="5">
        <f>H7</f>
        <v>991</v>
      </c>
      <c r="M3" s="3">
        <f>SUM(C$8:C$1048576)</f>
        <v>5100</v>
      </c>
      <c r="N3" s="3">
        <f>SUM(F:F)</f>
        <v>3391.5</v>
      </c>
      <c r="O3" s="3">
        <f>L3+M3-N3</f>
        <v>2699.5</v>
      </c>
    </row>
    <row r="4" spans="1:20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641</v>
      </c>
      <c r="I4" s="269"/>
      <c r="J4" s="12"/>
      <c r="K4" s="3"/>
      <c r="L4" s="3"/>
      <c r="M4" s="3"/>
      <c r="N4" s="3"/>
      <c r="O4" s="3"/>
      <c r="S4" s="150"/>
      <c r="T4" s="150"/>
    </row>
    <row r="5" spans="1:20" ht="19.5" customHeight="1">
      <c r="A5" s="272" t="s">
        <v>18</v>
      </c>
      <c r="B5" s="260"/>
      <c r="C5" s="262" t="s">
        <v>642</v>
      </c>
      <c r="D5" s="263"/>
      <c r="E5" s="263"/>
      <c r="F5" s="263"/>
      <c r="G5" s="260"/>
      <c r="H5" s="95" t="s">
        <v>20</v>
      </c>
      <c r="I5" s="24" t="s">
        <v>21</v>
      </c>
      <c r="J5" s="12"/>
      <c r="K5" s="3"/>
      <c r="L5" s="3"/>
      <c r="M5" s="3"/>
      <c r="N5" s="3"/>
      <c r="O5" s="3"/>
      <c r="S5" s="150"/>
      <c r="T5" s="150"/>
    </row>
    <row r="6" spans="1:20" s="88" customFormat="1" ht="22.95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  <c r="P6"/>
      <c r="S6" s="150"/>
      <c r="T6" s="150"/>
    </row>
    <row r="7" spans="1:20" s="88" customFormat="1" ht="28.5" customHeight="1">
      <c r="A7" s="196" t="s">
        <v>29</v>
      </c>
      <c r="B7" s="155" t="s">
        <v>5</v>
      </c>
      <c r="C7" s="155">
        <v>991</v>
      </c>
      <c r="D7" s="280"/>
      <c r="E7" s="260"/>
      <c r="F7" s="280"/>
      <c r="G7" s="260"/>
      <c r="H7" s="155">
        <v>991</v>
      </c>
      <c r="I7" s="210" t="s">
        <v>571</v>
      </c>
      <c r="J7" s="12"/>
      <c r="K7" s="3"/>
      <c r="L7" s="3"/>
      <c r="M7" s="3"/>
      <c r="N7" s="3"/>
      <c r="O7" s="3"/>
      <c r="S7" s="150"/>
      <c r="T7" s="150"/>
    </row>
    <row r="8" spans="1:20" ht="21" customHeight="1">
      <c r="A8" s="39" t="s">
        <v>29</v>
      </c>
      <c r="B8" s="39" t="s">
        <v>323</v>
      </c>
      <c r="C8" s="56"/>
      <c r="D8" s="279"/>
      <c r="E8" s="260"/>
      <c r="F8" s="279">
        <v>15</v>
      </c>
      <c r="G8" s="260"/>
      <c r="H8" s="38">
        <f t="shared" ref="H8:H30" si="0">H7-F8</f>
        <v>976</v>
      </c>
      <c r="I8" s="7"/>
    </row>
    <row r="9" spans="1:20" ht="26.7" customHeight="1">
      <c r="A9" s="39" t="s">
        <v>521</v>
      </c>
      <c r="B9" s="39" t="s">
        <v>323</v>
      </c>
      <c r="C9" s="38"/>
      <c r="D9" s="279"/>
      <c r="E9" s="260"/>
      <c r="F9" s="279">
        <v>4</v>
      </c>
      <c r="G9" s="260"/>
      <c r="H9" s="38">
        <f t="shared" si="0"/>
        <v>972</v>
      </c>
      <c r="I9" s="26"/>
      <c r="J9" s="12"/>
      <c r="K9" s="3"/>
      <c r="L9" s="3"/>
      <c r="M9" s="3"/>
      <c r="N9" s="3"/>
      <c r="O9" s="3"/>
      <c r="S9" s="150"/>
      <c r="T9" s="150"/>
    </row>
    <row r="10" spans="1:20" ht="26.7" customHeight="1">
      <c r="A10" s="39" t="s">
        <v>572</v>
      </c>
      <c r="B10" s="39" t="s">
        <v>323</v>
      </c>
      <c r="C10" s="38"/>
      <c r="D10" s="279"/>
      <c r="E10" s="260"/>
      <c r="F10" s="279">
        <v>14</v>
      </c>
      <c r="G10" s="260"/>
      <c r="H10" s="38">
        <f t="shared" si="0"/>
        <v>958</v>
      </c>
      <c r="I10" s="26"/>
      <c r="J10" s="12"/>
      <c r="K10" s="3"/>
      <c r="L10" s="3"/>
      <c r="M10" s="3"/>
      <c r="N10" s="3"/>
      <c r="O10" s="3"/>
      <c r="S10" s="150"/>
      <c r="T10" s="150"/>
    </row>
    <row r="11" spans="1:20" ht="26.7" customHeight="1">
      <c r="A11" s="39" t="s">
        <v>333</v>
      </c>
      <c r="B11" s="38" t="s">
        <v>323</v>
      </c>
      <c r="C11" s="38"/>
      <c r="D11" s="279"/>
      <c r="E11" s="260"/>
      <c r="F11" s="279">
        <v>64.5</v>
      </c>
      <c r="G11" s="260"/>
      <c r="H11" s="38">
        <f t="shared" si="0"/>
        <v>893.5</v>
      </c>
      <c r="I11" s="26"/>
      <c r="J11" s="12"/>
      <c r="K11" s="3"/>
      <c r="L11" s="3"/>
      <c r="M11" s="3"/>
      <c r="N11" s="3"/>
      <c r="O11" s="3"/>
      <c r="S11" s="150"/>
      <c r="T11" s="150"/>
    </row>
    <row r="12" spans="1:20" ht="26.7" customHeight="1">
      <c r="A12" s="39" t="s">
        <v>409</v>
      </c>
      <c r="B12" s="38" t="s">
        <v>323</v>
      </c>
      <c r="C12" s="38"/>
      <c r="D12" s="279"/>
      <c r="E12" s="260"/>
      <c r="F12" s="295">
        <v>15</v>
      </c>
      <c r="G12" s="260"/>
      <c r="H12" s="38">
        <f t="shared" si="0"/>
        <v>878.5</v>
      </c>
      <c r="I12" s="27"/>
      <c r="J12" s="12"/>
      <c r="K12" s="3"/>
      <c r="L12" s="3"/>
      <c r="M12" s="3"/>
      <c r="N12" s="3"/>
      <c r="O12" s="3"/>
      <c r="S12" s="150"/>
      <c r="T12" s="150"/>
    </row>
    <row r="13" spans="1:20" ht="26.7" customHeight="1">
      <c r="A13" s="39" t="s">
        <v>335</v>
      </c>
      <c r="B13" s="38" t="s">
        <v>323</v>
      </c>
      <c r="C13" s="38"/>
      <c r="D13" s="279"/>
      <c r="E13" s="260"/>
      <c r="F13" s="279">
        <v>28</v>
      </c>
      <c r="G13" s="260"/>
      <c r="H13" s="38">
        <f t="shared" si="0"/>
        <v>850.5</v>
      </c>
      <c r="I13" s="26"/>
      <c r="J13" s="12"/>
      <c r="K13" s="3"/>
      <c r="L13" s="3"/>
      <c r="M13" s="3"/>
      <c r="N13" s="3"/>
      <c r="O13" s="3"/>
      <c r="S13" s="150"/>
      <c r="T13" s="150"/>
    </row>
    <row r="14" spans="1:20" ht="26.7" customHeight="1">
      <c r="A14" s="39" t="s">
        <v>432</v>
      </c>
      <c r="B14" s="38" t="s">
        <v>323</v>
      </c>
      <c r="C14" s="7"/>
      <c r="D14" s="259"/>
      <c r="E14" s="260"/>
      <c r="F14" s="279">
        <v>14</v>
      </c>
      <c r="G14" s="260"/>
      <c r="H14" s="38">
        <f t="shared" si="0"/>
        <v>836.5</v>
      </c>
      <c r="I14" s="26"/>
      <c r="J14" s="12"/>
      <c r="K14" s="3"/>
      <c r="L14" s="3"/>
      <c r="M14" s="3"/>
      <c r="N14" s="3"/>
      <c r="O14" s="3"/>
      <c r="S14" s="150"/>
      <c r="T14" s="150"/>
    </row>
    <row r="15" spans="1:20" ht="26.7" customHeight="1">
      <c r="A15" s="41" t="s">
        <v>464</v>
      </c>
      <c r="B15" s="38" t="s">
        <v>323</v>
      </c>
      <c r="C15" s="7"/>
      <c r="D15" s="259"/>
      <c r="E15" s="260"/>
      <c r="F15" s="279">
        <v>1.5</v>
      </c>
      <c r="G15" s="260"/>
      <c r="H15" s="38">
        <f t="shared" si="0"/>
        <v>835</v>
      </c>
      <c r="I15" s="26"/>
      <c r="J15" s="12"/>
      <c r="K15" s="3"/>
      <c r="L15" s="3"/>
      <c r="M15" s="3"/>
      <c r="N15" s="3"/>
      <c r="O15" s="3"/>
    </row>
    <row r="16" spans="1:20" ht="26.7" customHeight="1">
      <c r="A16" s="39" t="s">
        <v>382</v>
      </c>
      <c r="B16" s="38" t="s">
        <v>323</v>
      </c>
      <c r="C16" s="7"/>
      <c r="D16" s="259"/>
      <c r="E16" s="260"/>
      <c r="F16" s="279">
        <v>14</v>
      </c>
      <c r="G16" s="260"/>
      <c r="H16" s="38">
        <f t="shared" si="0"/>
        <v>821</v>
      </c>
      <c r="I16" s="26"/>
      <c r="J16" s="12"/>
      <c r="K16" s="3"/>
      <c r="L16" s="3"/>
      <c r="M16" s="3"/>
      <c r="N16" s="3"/>
      <c r="O16" s="3"/>
    </row>
    <row r="17" spans="1:26" ht="26.7" customHeight="1">
      <c r="A17" s="39" t="s">
        <v>433</v>
      </c>
      <c r="B17" s="38" t="s">
        <v>323</v>
      </c>
      <c r="C17" s="7"/>
      <c r="D17" s="259"/>
      <c r="E17" s="260"/>
      <c r="F17" s="279">
        <v>4.5</v>
      </c>
      <c r="G17" s="260"/>
      <c r="H17" s="38">
        <f t="shared" si="0"/>
        <v>816.5</v>
      </c>
      <c r="I17" s="26"/>
      <c r="J17" s="12"/>
      <c r="K17" s="3"/>
      <c r="L17" s="3"/>
      <c r="M17" s="3"/>
      <c r="N17" s="3"/>
      <c r="O17" s="3"/>
      <c r="T17" s="39">
        <v>45292</v>
      </c>
      <c r="U17" s="139">
        <v>33.5</v>
      </c>
      <c r="V17" s="150" t="s">
        <v>643</v>
      </c>
      <c r="W17" s="150" t="s">
        <v>644</v>
      </c>
      <c r="X17" s="150">
        <v>33.5</v>
      </c>
      <c r="Z17">
        <f t="shared" ref="Z17:Z48" si="1">U17-X17</f>
        <v>0</v>
      </c>
    </row>
    <row r="18" spans="1:26" ht="26.7" customHeight="1">
      <c r="A18" s="39" t="s">
        <v>465</v>
      </c>
      <c r="B18" s="38" t="s">
        <v>323</v>
      </c>
      <c r="C18" s="7"/>
      <c r="D18" s="259"/>
      <c r="E18" s="260"/>
      <c r="F18" s="279">
        <v>46</v>
      </c>
      <c r="G18" s="260"/>
      <c r="H18" s="38">
        <f t="shared" si="0"/>
        <v>770.5</v>
      </c>
      <c r="I18" s="26"/>
      <c r="J18" s="12"/>
      <c r="T18" s="39">
        <v>45294</v>
      </c>
      <c r="U18" s="139">
        <f>60</f>
        <v>60</v>
      </c>
      <c r="V18" s="150" t="s">
        <v>645</v>
      </c>
      <c r="W18" s="150" t="s">
        <v>646</v>
      </c>
      <c r="X18" s="150">
        <v>60</v>
      </c>
      <c r="Z18">
        <f t="shared" si="1"/>
        <v>0</v>
      </c>
    </row>
    <row r="19" spans="1:26" ht="26.7" customHeight="1">
      <c r="A19" s="39" t="s">
        <v>647</v>
      </c>
      <c r="B19" s="38" t="s">
        <v>323</v>
      </c>
      <c r="C19" s="38"/>
      <c r="D19" s="279"/>
      <c r="E19" s="260"/>
      <c r="F19" s="279">
        <v>7</v>
      </c>
      <c r="G19" s="260"/>
      <c r="H19" s="38">
        <f t="shared" si="0"/>
        <v>763.5</v>
      </c>
      <c r="I19" s="90" t="s">
        <v>648</v>
      </c>
      <c r="J19" s="12"/>
      <c r="T19" s="41"/>
      <c r="U19" s="139"/>
      <c r="V19" s="150"/>
      <c r="W19" s="150"/>
      <c r="X19" s="150">
        <f>28+45</f>
        <v>73</v>
      </c>
      <c r="Z19">
        <f t="shared" si="1"/>
        <v>-73</v>
      </c>
    </row>
    <row r="20" spans="1:26" ht="26.7" customHeight="1">
      <c r="A20" s="39" t="s">
        <v>466</v>
      </c>
      <c r="B20" s="38" t="s">
        <v>323</v>
      </c>
      <c r="C20" s="7"/>
      <c r="D20" s="259"/>
      <c r="E20" s="260"/>
      <c r="F20" s="279">
        <v>30</v>
      </c>
      <c r="G20" s="260"/>
      <c r="H20" s="38">
        <f t="shared" si="0"/>
        <v>733.5</v>
      </c>
      <c r="I20" s="26"/>
      <c r="J20" s="12"/>
      <c r="T20" s="41"/>
      <c r="U20" s="139"/>
      <c r="V20" s="150"/>
      <c r="W20" s="150"/>
      <c r="X20" s="150">
        <f>56+227</f>
        <v>283</v>
      </c>
      <c r="Z20">
        <f t="shared" si="1"/>
        <v>-283</v>
      </c>
    </row>
    <row r="21" spans="1:26" ht="26.7" customHeight="1">
      <c r="A21" s="39" t="s">
        <v>469</v>
      </c>
      <c r="B21" s="38" t="s">
        <v>323</v>
      </c>
      <c r="C21" s="7"/>
      <c r="D21" s="259"/>
      <c r="E21" s="260"/>
      <c r="F21" s="279">
        <v>31.5</v>
      </c>
      <c r="G21" s="260"/>
      <c r="H21" s="38">
        <f t="shared" si="0"/>
        <v>702</v>
      </c>
      <c r="I21" s="26"/>
      <c r="J21" s="12"/>
      <c r="T21" s="39"/>
      <c r="U21" s="156"/>
      <c r="V21" s="150"/>
      <c r="W21" s="150"/>
      <c r="X21" s="150">
        <v>7</v>
      </c>
      <c r="Z21">
        <f t="shared" si="1"/>
        <v>-7</v>
      </c>
    </row>
    <row r="22" spans="1:26" ht="26.7" customHeight="1">
      <c r="A22" s="41" t="s">
        <v>573</v>
      </c>
      <c r="B22" s="38" t="s">
        <v>323</v>
      </c>
      <c r="C22" s="7"/>
      <c r="D22" s="259"/>
      <c r="E22" s="260"/>
      <c r="F22" s="279">
        <v>30</v>
      </c>
      <c r="G22" s="260"/>
      <c r="H22" s="38">
        <f t="shared" si="0"/>
        <v>672</v>
      </c>
      <c r="I22" s="26" t="s">
        <v>649</v>
      </c>
      <c r="J22" s="12"/>
      <c r="T22" s="39"/>
      <c r="U22" s="139"/>
      <c r="V22" s="150"/>
      <c r="W22" s="150"/>
      <c r="X22" s="150">
        <v>56</v>
      </c>
      <c r="Z22">
        <f t="shared" si="1"/>
        <v>-56</v>
      </c>
    </row>
    <row r="23" spans="1:26" ht="26.7" customHeight="1">
      <c r="A23" s="39" t="s">
        <v>470</v>
      </c>
      <c r="B23" s="38" t="s">
        <v>323</v>
      </c>
      <c r="C23" s="7"/>
      <c r="D23" s="259"/>
      <c r="E23" s="260"/>
      <c r="F23" s="279">
        <v>10</v>
      </c>
      <c r="G23" s="260"/>
      <c r="H23" s="38">
        <f t="shared" si="0"/>
        <v>662</v>
      </c>
      <c r="I23" s="26"/>
      <c r="J23" s="12"/>
      <c r="T23" s="41"/>
      <c r="U23" s="139"/>
      <c r="V23" s="150"/>
      <c r="W23" s="150"/>
      <c r="X23" s="150">
        <v>21</v>
      </c>
      <c r="Z23">
        <f t="shared" si="1"/>
        <v>-21</v>
      </c>
    </row>
    <row r="24" spans="1:26" ht="26.7" customHeight="1">
      <c r="A24" s="39" t="s">
        <v>471</v>
      </c>
      <c r="B24" s="38" t="s">
        <v>323</v>
      </c>
      <c r="C24" s="38"/>
      <c r="D24" s="279"/>
      <c r="E24" s="260"/>
      <c r="F24" s="279">
        <v>75.5</v>
      </c>
      <c r="G24" s="260"/>
      <c r="H24" s="38">
        <f t="shared" si="0"/>
        <v>586.5</v>
      </c>
      <c r="I24" s="26"/>
      <c r="J24" s="12"/>
      <c r="T24" s="39"/>
      <c r="U24" s="139"/>
      <c r="V24" s="150"/>
      <c r="W24" s="150"/>
      <c r="X24" s="150">
        <v>65</v>
      </c>
      <c r="Z24">
        <f t="shared" si="1"/>
        <v>-65</v>
      </c>
    </row>
    <row r="25" spans="1:26" ht="26.7" customHeight="1">
      <c r="A25" s="39" t="s">
        <v>650</v>
      </c>
      <c r="B25" s="38" t="s">
        <v>323</v>
      </c>
      <c r="C25" s="7"/>
      <c r="D25" s="259"/>
      <c r="E25" s="260"/>
      <c r="F25" s="279">
        <v>43.5</v>
      </c>
      <c r="G25" s="260"/>
      <c r="H25" s="38">
        <f t="shared" si="0"/>
        <v>543</v>
      </c>
      <c r="I25" s="26"/>
      <c r="J25" s="12"/>
      <c r="T25" s="41"/>
      <c r="U25" s="139"/>
      <c r="V25" s="150"/>
      <c r="W25" s="150"/>
      <c r="X25" s="150">
        <v>60</v>
      </c>
      <c r="Z25">
        <f t="shared" si="1"/>
        <v>-60</v>
      </c>
    </row>
    <row r="26" spans="1:26" ht="26.7" customHeight="1">
      <c r="A26" s="39" t="s">
        <v>337</v>
      </c>
      <c r="B26" s="38" t="s">
        <v>323</v>
      </c>
      <c r="C26" s="7"/>
      <c r="D26" s="259"/>
      <c r="E26" s="260"/>
      <c r="F26" s="279">
        <v>4</v>
      </c>
      <c r="G26" s="260"/>
      <c r="H26" s="38">
        <f t="shared" si="0"/>
        <v>539</v>
      </c>
      <c r="I26" s="28"/>
      <c r="J26" s="12"/>
      <c r="T26" s="41"/>
      <c r="U26" s="139"/>
      <c r="V26" s="150"/>
      <c r="W26" s="150"/>
      <c r="X26" s="150">
        <v>3</v>
      </c>
      <c r="Z26">
        <f t="shared" si="1"/>
        <v>-3</v>
      </c>
    </row>
    <row r="27" spans="1:26" ht="26.7" customHeight="1">
      <c r="A27" s="39" t="s">
        <v>338</v>
      </c>
      <c r="B27" s="38" t="s">
        <v>323</v>
      </c>
      <c r="C27" s="7"/>
      <c r="D27" s="259"/>
      <c r="E27" s="260"/>
      <c r="F27" s="279">
        <v>14</v>
      </c>
      <c r="G27" s="260"/>
      <c r="H27" s="38">
        <f t="shared" si="0"/>
        <v>525</v>
      </c>
      <c r="I27" s="26"/>
      <c r="J27" s="12"/>
      <c r="T27" s="39"/>
      <c r="U27" s="139"/>
      <c r="V27" s="150"/>
      <c r="W27" s="150"/>
      <c r="X27" s="150">
        <f>28+15.5</f>
        <v>43.5</v>
      </c>
      <c r="Z27">
        <f t="shared" si="1"/>
        <v>-43.5</v>
      </c>
    </row>
    <row r="28" spans="1:26" ht="26.7" customHeight="1">
      <c r="A28" s="39" t="s">
        <v>383</v>
      </c>
      <c r="B28" s="38" t="s">
        <v>323</v>
      </c>
      <c r="C28" s="7"/>
      <c r="D28" s="259"/>
      <c r="E28" s="260"/>
      <c r="F28" s="279">
        <v>4.5</v>
      </c>
      <c r="G28" s="260"/>
      <c r="H28" s="38">
        <f t="shared" si="0"/>
        <v>520.5</v>
      </c>
      <c r="I28" s="26"/>
      <c r="J28" s="12"/>
      <c r="T28" s="39"/>
      <c r="U28" s="139"/>
      <c r="V28" s="150"/>
      <c r="W28" s="150"/>
      <c r="X28" s="150">
        <v>8.5</v>
      </c>
      <c r="Z28">
        <f t="shared" si="1"/>
        <v>-8.5</v>
      </c>
    </row>
    <row r="29" spans="1:26" ht="26.7" customHeight="1">
      <c r="A29" s="39" t="s">
        <v>473</v>
      </c>
      <c r="B29" s="148" t="s">
        <v>323</v>
      </c>
      <c r="C29" s="7"/>
      <c r="D29" s="259"/>
      <c r="E29" s="260"/>
      <c r="F29" s="279">
        <v>28</v>
      </c>
      <c r="G29" s="260"/>
      <c r="H29" s="38">
        <f t="shared" si="0"/>
        <v>492.5</v>
      </c>
      <c r="I29" s="26"/>
      <c r="J29" s="12"/>
      <c r="T29" s="41"/>
      <c r="U29" s="139"/>
      <c r="V29" s="150"/>
      <c r="W29" s="150"/>
      <c r="X29" s="150">
        <v>1.5</v>
      </c>
      <c r="Z29">
        <f t="shared" si="1"/>
        <v>-1.5</v>
      </c>
    </row>
    <row r="30" spans="1:26" ht="26.7" customHeight="1">
      <c r="A30" s="39" t="s">
        <v>339</v>
      </c>
      <c r="B30" s="38" t="s">
        <v>323</v>
      </c>
      <c r="C30" s="7"/>
      <c r="D30" s="259"/>
      <c r="E30" s="260"/>
      <c r="F30" s="279">
        <v>43</v>
      </c>
      <c r="G30" s="260"/>
      <c r="H30" s="38">
        <f t="shared" si="0"/>
        <v>449.5</v>
      </c>
      <c r="I30" s="26"/>
      <c r="J30" s="12"/>
      <c r="T30" s="39"/>
      <c r="U30" s="139"/>
      <c r="V30" s="150"/>
      <c r="W30" s="150"/>
      <c r="X30" s="150">
        <v>1.5</v>
      </c>
      <c r="Z30">
        <f t="shared" si="1"/>
        <v>-1.5</v>
      </c>
    </row>
    <row r="31" spans="1:26" ht="26.7" customHeight="1" thickBot="1">
      <c r="A31" s="39" t="s">
        <v>577</v>
      </c>
      <c r="B31" s="38" t="s">
        <v>324</v>
      </c>
      <c r="C31" s="31">
        <v>600</v>
      </c>
      <c r="D31" s="264" t="s">
        <v>651</v>
      </c>
      <c r="E31" s="265"/>
      <c r="F31" s="279"/>
      <c r="G31" s="260"/>
      <c r="H31" s="38">
        <v>1049.5</v>
      </c>
      <c r="I31" s="32" t="s">
        <v>566</v>
      </c>
      <c r="J31" s="12"/>
      <c r="T31" s="41"/>
      <c r="U31" s="139"/>
      <c r="V31" s="150"/>
      <c r="W31" s="150"/>
      <c r="X31" s="150">
        <v>32.5</v>
      </c>
      <c r="Z31">
        <f t="shared" si="1"/>
        <v>-32.5</v>
      </c>
    </row>
    <row r="32" spans="1:26" ht="21" customHeight="1">
      <c r="A32" s="39" t="s">
        <v>435</v>
      </c>
      <c r="B32" s="38" t="s">
        <v>323</v>
      </c>
      <c r="C32" s="22"/>
      <c r="D32" s="276"/>
      <c r="E32" s="277"/>
      <c r="F32" s="279">
        <v>5</v>
      </c>
      <c r="G32" s="260"/>
      <c r="H32" s="38">
        <f t="shared" ref="H32:H39" si="2">H31-F32</f>
        <v>1044.5</v>
      </c>
      <c r="I32" s="22"/>
      <c r="J32" s="3"/>
      <c r="T32" s="39"/>
      <c r="U32" s="139"/>
      <c r="V32" s="150"/>
      <c r="W32" s="150"/>
      <c r="X32" s="150">
        <v>5</v>
      </c>
      <c r="Z32">
        <f t="shared" si="1"/>
        <v>-5</v>
      </c>
    </row>
    <row r="33" spans="1:26" ht="21" customHeight="1">
      <c r="A33" s="39" t="s">
        <v>412</v>
      </c>
      <c r="B33" s="38" t="s">
        <v>323</v>
      </c>
      <c r="C33" s="7"/>
      <c r="D33" s="259"/>
      <c r="E33" s="260"/>
      <c r="F33" s="279">
        <v>87</v>
      </c>
      <c r="G33" s="260"/>
      <c r="H33" s="38">
        <f t="shared" si="2"/>
        <v>957.5</v>
      </c>
      <c r="I33" s="7"/>
      <c r="T33" s="39"/>
      <c r="U33" s="139"/>
      <c r="V33" s="150"/>
      <c r="W33" s="150"/>
      <c r="X33" s="150">
        <v>1.5</v>
      </c>
      <c r="Z33">
        <f t="shared" si="1"/>
        <v>-1.5</v>
      </c>
    </row>
    <row r="34" spans="1:26" ht="21" customHeight="1">
      <c r="A34" s="39" t="s">
        <v>474</v>
      </c>
      <c r="B34" s="38" t="s">
        <v>323</v>
      </c>
      <c r="C34" s="7"/>
      <c r="D34" s="259"/>
      <c r="E34" s="260"/>
      <c r="F34" s="279">
        <v>28</v>
      </c>
      <c r="G34" s="260"/>
      <c r="H34" s="38">
        <f t="shared" si="2"/>
        <v>929.5</v>
      </c>
      <c r="I34" s="16"/>
      <c r="T34" s="41"/>
      <c r="U34" s="139"/>
      <c r="V34" s="150"/>
      <c r="W34" s="150"/>
      <c r="X34" s="150">
        <v>32.5</v>
      </c>
      <c r="Z34">
        <f t="shared" si="1"/>
        <v>-32.5</v>
      </c>
    </row>
    <row r="35" spans="1:26" ht="21" customHeight="1">
      <c r="A35" s="39" t="s">
        <v>436</v>
      </c>
      <c r="B35" s="38" t="s">
        <v>323</v>
      </c>
      <c r="C35" s="7"/>
      <c r="D35" s="259"/>
      <c r="E35" s="260"/>
      <c r="F35" s="279">
        <v>30</v>
      </c>
      <c r="G35" s="260"/>
      <c r="H35" s="38">
        <f t="shared" si="2"/>
        <v>899.5</v>
      </c>
      <c r="I35" s="7"/>
      <c r="T35" s="39"/>
      <c r="U35" s="139"/>
      <c r="V35" s="150"/>
      <c r="W35" s="150"/>
      <c r="X35" s="150">
        <v>56</v>
      </c>
      <c r="Z35">
        <f t="shared" si="1"/>
        <v>-56</v>
      </c>
    </row>
    <row r="36" spans="1:26" ht="21" customHeight="1">
      <c r="A36" s="39" t="s">
        <v>526</v>
      </c>
      <c r="B36" s="38" t="s">
        <v>323</v>
      </c>
      <c r="C36" s="7"/>
      <c r="D36" s="259"/>
      <c r="E36" s="260"/>
      <c r="F36" s="279">
        <v>15.5</v>
      </c>
      <c r="G36" s="260"/>
      <c r="H36" s="38">
        <f t="shared" si="2"/>
        <v>884</v>
      </c>
      <c r="I36" s="7"/>
      <c r="T36" s="39"/>
      <c r="U36" s="139"/>
      <c r="V36" s="150"/>
      <c r="W36" s="150"/>
      <c r="X36" s="150">
        <v>8</v>
      </c>
      <c r="Z36">
        <f t="shared" si="1"/>
        <v>-8</v>
      </c>
    </row>
    <row r="37" spans="1:26" ht="21" customHeight="1">
      <c r="A37" s="39" t="s">
        <v>385</v>
      </c>
      <c r="B37" s="38" t="s">
        <v>323</v>
      </c>
      <c r="C37" s="3"/>
      <c r="D37" s="259"/>
      <c r="E37" s="260"/>
      <c r="F37" s="279">
        <v>4</v>
      </c>
      <c r="G37" s="260"/>
      <c r="H37" s="38">
        <f t="shared" si="2"/>
        <v>880</v>
      </c>
      <c r="I37" s="16"/>
      <c r="T37" s="39"/>
      <c r="U37" s="139"/>
      <c r="V37" s="150"/>
      <c r="W37" s="150"/>
      <c r="X37" s="150">
        <v>3</v>
      </c>
      <c r="Z37">
        <f t="shared" si="1"/>
        <v>-3</v>
      </c>
    </row>
    <row r="38" spans="1:26" ht="21" customHeight="1">
      <c r="A38" s="39" t="s">
        <v>652</v>
      </c>
      <c r="B38" s="38" t="s">
        <v>323</v>
      </c>
      <c r="C38" s="3"/>
      <c r="D38" s="259"/>
      <c r="E38" s="260"/>
      <c r="F38" s="279">
        <v>2.5</v>
      </c>
      <c r="G38" s="260"/>
      <c r="H38" s="38">
        <f t="shared" si="2"/>
        <v>877.5</v>
      </c>
      <c r="I38" s="7"/>
      <c r="T38" s="41"/>
      <c r="U38" s="139"/>
      <c r="V38" s="150"/>
      <c r="W38" s="150"/>
      <c r="X38" s="150">
        <v>20</v>
      </c>
      <c r="Z38">
        <f t="shared" si="1"/>
        <v>-20</v>
      </c>
    </row>
    <row r="39" spans="1:26" ht="21" customHeight="1">
      <c r="A39" s="39" t="s">
        <v>475</v>
      </c>
      <c r="B39" s="38" t="s">
        <v>323</v>
      </c>
      <c r="C39" s="3"/>
      <c r="D39" s="259"/>
      <c r="E39" s="260"/>
      <c r="F39" s="279">
        <v>86</v>
      </c>
      <c r="G39" s="260"/>
      <c r="H39" s="38">
        <f t="shared" si="2"/>
        <v>791.5</v>
      </c>
      <c r="I39" s="7"/>
      <c r="T39" s="39"/>
      <c r="U39" s="139"/>
      <c r="V39" s="150"/>
      <c r="W39" s="150"/>
      <c r="X39" s="150">
        <v>75.5</v>
      </c>
      <c r="Z39">
        <f t="shared" si="1"/>
        <v>-75.5</v>
      </c>
    </row>
    <row r="40" spans="1:26" ht="21" customHeight="1">
      <c r="A40" s="39" t="s">
        <v>477</v>
      </c>
      <c r="B40" s="38" t="s">
        <v>324</v>
      </c>
      <c r="C40" s="3">
        <v>1500</v>
      </c>
      <c r="D40" s="259" t="s">
        <v>653</v>
      </c>
      <c r="E40" s="260"/>
      <c r="F40" s="279"/>
      <c r="G40" s="260"/>
      <c r="H40" s="38">
        <v>2291.5</v>
      </c>
      <c r="I40" s="109" t="s">
        <v>654</v>
      </c>
      <c r="T40" s="39"/>
      <c r="U40" s="139"/>
      <c r="V40" s="150"/>
      <c r="W40" s="150"/>
      <c r="X40" s="150">
        <v>33</v>
      </c>
      <c r="Z40">
        <f t="shared" si="1"/>
        <v>-33</v>
      </c>
    </row>
    <row r="41" spans="1:26" ht="21" customHeight="1">
      <c r="A41" s="39" t="s">
        <v>341</v>
      </c>
      <c r="B41" s="38" t="s">
        <v>323</v>
      </c>
      <c r="C41" s="3"/>
      <c r="D41" s="259"/>
      <c r="E41" s="260"/>
      <c r="F41" s="279">
        <v>43.5</v>
      </c>
      <c r="G41" s="260"/>
      <c r="H41" s="38">
        <f t="shared" ref="H41:H83" si="3">H40-F41</f>
        <v>2248</v>
      </c>
      <c r="I41" s="7"/>
      <c r="T41" s="41"/>
      <c r="U41" s="139"/>
      <c r="V41" s="150"/>
      <c r="W41" s="150"/>
      <c r="X41" s="150">
        <v>117</v>
      </c>
      <c r="Z41">
        <f t="shared" si="1"/>
        <v>-117</v>
      </c>
    </row>
    <row r="42" spans="1:26" ht="21" customHeight="1">
      <c r="A42" s="39" t="s">
        <v>655</v>
      </c>
      <c r="B42" s="38" t="s">
        <v>323</v>
      </c>
      <c r="C42" s="38"/>
      <c r="D42" s="287"/>
      <c r="E42" s="260"/>
      <c r="F42" s="279">
        <v>3</v>
      </c>
      <c r="G42" s="260"/>
      <c r="H42" s="38">
        <f t="shared" si="3"/>
        <v>2245</v>
      </c>
      <c r="I42" s="109"/>
      <c r="T42" s="39"/>
      <c r="U42" s="139"/>
      <c r="V42" s="150"/>
      <c r="W42" s="150"/>
      <c r="X42" s="150">
        <v>3</v>
      </c>
      <c r="Z42">
        <f t="shared" si="1"/>
        <v>-3</v>
      </c>
    </row>
    <row r="43" spans="1:26" ht="21" customHeight="1">
      <c r="A43" s="39" t="s">
        <v>342</v>
      </c>
      <c r="B43" s="38" t="s">
        <v>323</v>
      </c>
      <c r="C43" s="3"/>
      <c r="D43" s="259"/>
      <c r="E43" s="260"/>
      <c r="F43" s="279">
        <v>85.5</v>
      </c>
      <c r="G43" s="260"/>
      <c r="H43" s="38">
        <f t="shared" si="3"/>
        <v>2159.5</v>
      </c>
      <c r="I43" s="7"/>
      <c r="T43" s="39"/>
      <c r="U43" s="139"/>
      <c r="V43" s="150"/>
      <c r="W43" s="150"/>
      <c r="X43" s="150">
        <v>34.5</v>
      </c>
      <c r="Z43">
        <f t="shared" si="1"/>
        <v>-34.5</v>
      </c>
    </row>
    <row r="44" spans="1:26" ht="21" customHeight="1">
      <c r="A44" s="39" t="s">
        <v>478</v>
      </c>
      <c r="B44" s="38" t="s">
        <v>323</v>
      </c>
      <c r="C44" s="3"/>
      <c r="D44" s="259"/>
      <c r="E44" s="260"/>
      <c r="F44" s="279">
        <v>3</v>
      </c>
      <c r="G44" s="260"/>
      <c r="H44" s="38">
        <f t="shared" si="3"/>
        <v>2156.5</v>
      </c>
      <c r="I44" s="7"/>
      <c r="T44" s="41"/>
      <c r="U44" s="139"/>
      <c r="V44" s="150"/>
      <c r="W44" s="150"/>
      <c r="X44" s="150">
        <v>214</v>
      </c>
      <c r="Z44">
        <f t="shared" si="1"/>
        <v>-214</v>
      </c>
    </row>
    <row r="45" spans="1:26" ht="21" customHeight="1">
      <c r="A45" s="39" t="s">
        <v>346</v>
      </c>
      <c r="B45" s="38" t="s">
        <v>323</v>
      </c>
      <c r="C45" s="3"/>
      <c r="D45" s="259"/>
      <c r="E45" s="260"/>
      <c r="F45" s="279">
        <v>1.5</v>
      </c>
      <c r="G45" s="260"/>
      <c r="H45" s="38">
        <f t="shared" si="3"/>
        <v>2155</v>
      </c>
      <c r="I45" s="7"/>
      <c r="T45" s="39"/>
      <c r="U45" s="139"/>
      <c r="V45" s="150"/>
      <c r="W45" s="150"/>
      <c r="X45" s="150">
        <v>4.5</v>
      </c>
      <c r="Z45">
        <f t="shared" si="1"/>
        <v>-4.5</v>
      </c>
    </row>
    <row r="46" spans="1:26" ht="21" customHeight="1">
      <c r="A46" s="39" t="s">
        <v>479</v>
      </c>
      <c r="B46" s="38" t="s">
        <v>323</v>
      </c>
      <c r="C46" s="3"/>
      <c r="D46" s="259"/>
      <c r="E46" s="260"/>
      <c r="F46" s="279">
        <v>7</v>
      </c>
      <c r="G46" s="260"/>
      <c r="H46" s="38">
        <f t="shared" si="3"/>
        <v>2148</v>
      </c>
      <c r="I46" s="7"/>
      <c r="T46" s="39"/>
      <c r="U46" s="139"/>
      <c r="V46" s="150"/>
      <c r="W46" s="150"/>
      <c r="X46" s="150">
        <v>35</v>
      </c>
      <c r="Z46">
        <f t="shared" si="1"/>
        <v>-35</v>
      </c>
    </row>
    <row r="47" spans="1:26" ht="21" customHeight="1">
      <c r="A47" s="39" t="s">
        <v>527</v>
      </c>
      <c r="B47" s="38" t="s">
        <v>323</v>
      </c>
      <c r="C47" s="3"/>
      <c r="D47" s="259"/>
      <c r="E47" s="260"/>
      <c r="F47" s="279">
        <v>16.5</v>
      </c>
      <c r="G47" s="260"/>
      <c r="H47" s="38">
        <f t="shared" si="3"/>
        <v>2131.5</v>
      </c>
      <c r="I47" s="7"/>
      <c r="T47" s="39"/>
      <c r="U47" s="139"/>
      <c r="V47" s="150"/>
      <c r="W47" s="150"/>
      <c r="X47" s="150">
        <v>11</v>
      </c>
      <c r="Z47">
        <f t="shared" si="1"/>
        <v>-11</v>
      </c>
    </row>
    <row r="48" spans="1:26" ht="21" customHeight="1">
      <c r="A48" s="39" t="s">
        <v>480</v>
      </c>
      <c r="B48" s="38" t="s">
        <v>323</v>
      </c>
      <c r="C48" s="10"/>
      <c r="D48" s="259"/>
      <c r="E48" s="260"/>
      <c r="F48" s="279">
        <v>1.5</v>
      </c>
      <c r="G48" s="260"/>
      <c r="H48" s="38">
        <f t="shared" si="3"/>
        <v>2130</v>
      </c>
      <c r="I48" s="92"/>
      <c r="T48" s="39"/>
      <c r="U48" s="139"/>
      <c r="V48" s="150"/>
      <c r="W48" s="150"/>
      <c r="X48" s="150">
        <v>1.5</v>
      </c>
      <c r="Z48">
        <f t="shared" si="1"/>
        <v>-1.5</v>
      </c>
    </row>
    <row r="49" spans="1:26" ht="21" customHeight="1">
      <c r="A49" s="39" t="s">
        <v>387</v>
      </c>
      <c r="B49" s="38" t="s">
        <v>323</v>
      </c>
      <c r="C49" s="10"/>
      <c r="D49" s="259"/>
      <c r="E49" s="260"/>
      <c r="F49" s="279">
        <v>3</v>
      </c>
      <c r="G49" s="260"/>
      <c r="H49" s="38">
        <f t="shared" si="3"/>
        <v>2127</v>
      </c>
      <c r="I49" s="11"/>
      <c r="T49" s="39"/>
      <c r="U49" s="139"/>
      <c r="V49" s="150"/>
      <c r="W49" s="150"/>
      <c r="X49" s="150">
        <v>6.5</v>
      </c>
      <c r="Z49">
        <f t="shared" ref="Z49:Z76" si="4">U49-X49</f>
        <v>-6.5</v>
      </c>
    </row>
    <row r="50" spans="1:26" ht="21" customHeight="1">
      <c r="A50" s="39" t="s">
        <v>481</v>
      </c>
      <c r="B50" s="38" t="s">
        <v>323</v>
      </c>
      <c r="C50" s="9"/>
      <c r="D50" s="259"/>
      <c r="E50" s="260"/>
      <c r="F50" s="279">
        <v>56</v>
      </c>
      <c r="G50" s="260"/>
      <c r="H50" s="38">
        <f t="shared" si="3"/>
        <v>2071</v>
      </c>
      <c r="I50" s="7"/>
      <c r="T50" s="39"/>
      <c r="U50" s="139"/>
      <c r="V50" s="150"/>
      <c r="W50" s="150"/>
      <c r="X50" s="150">
        <v>33</v>
      </c>
      <c r="Z50">
        <f t="shared" si="4"/>
        <v>-33</v>
      </c>
    </row>
    <row r="51" spans="1:26" ht="21" customHeight="1">
      <c r="A51" s="39" t="s">
        <v>528</v>
      </c>
      <c r="B51" s="38" t="s">
        <v>323</v>
      </c>
      <c r="C51" s="3"/>
      <c r="D51" s="259"/>
      <c r="E51" s="260"/>
      <c r="F51" s="279">
        <v>4.5</v>
      </c>
      <c r="G51" s="260"/>
      <c r="H51" s="38">
        <f t="shared" si="3"/>
        <v>2066.5</v>
      </c>
      <c r="I51" s="7"/>
      <c r="T51" s="39"/>
      <c r="U51" s="139"/>
      <c r="V51" s="150"/>
      <c r="W51" s="150"/>
      <c r="X51" s="150">
        <v>10</v>
      </c>
      <c r="Z51">
        <f t="shared" si="4"/>
        <v>-10</v>
      </c>
    </row>
    <row r="52" spans="1:26" ht="21" customHeight="1">
      <c r="A52" s="39" t="s">
        <v>634</v>
      </c>
      <c r="B52" s="38" t="s">
        <v>323</v>
      </c>
      <c r="C52" s="3"/>
      <c r="D52" s="259"/>
      <c r="E52" s="260"/>
      <c r="F52" s="279">
        <v>14</v>
      </c>
      <c r="G52" s="260"/>
      <c r="H52" s="38">
        <f t="shared" si="3"/>
        <v>2052.5</v>
      </c>
      <c r="I52" s="7"/>
      <c r="T52" s="39"/>
      <c r="U52" s="139"/>
      <c r="V52" s="150"/>
      <c r="W52" s="150"/>
      <c r="X52" s="150">
        <v>63</v>
      </c>
      <c r="Z52">
        <f t="shared" si="4"/>
        <v>-63</v>
      </c>
    </row>
    <row r="53" spans="1:26" ht="21" customHeight="1">
      <c r="A53" s="39" t="s">
        <v>529</v>
      </c>
      <c r="B53" s="38" t="s">
        <v>323</v>
      </c>
      <c r="C53" s="3"/>
      <c r="D53" s="259"/>
      <c r="E53" s="260"/>
      <c r="F53" s="279">
        <v>4</v>
      </c>
      <c r="G53" s="260"/>
      <c r="H53" s="38">
        <f t="shared" si="3"/>
        <v>2048.5</v>
      </c>
      <c r="I53" s="7"/>
      <c r="T53" s="39"/>
      <c r="U53" s="139"/>
      <c r="V53" s="150"/>
      <c r="W53" s="150"/>
      <c r="X53" s="150">
        <v>3</v>
      </c>
      <c r="Z53">
        <f t="shared" si="4"/>
        <v>-3</v>
      </c>
    </row>
    <row r="54" spans="1:26" ht="21" customHeight="1">
      <c r="A54" s="39" t="s">
        <v>530</v>
      </c>
      <c r="B54" s="38" t="s">
        <v>323</v>
      </c>
      <c r="C54" s="3"/>
      <c r="D54" s="259"/>
      <c r="E54" s="260"/>
      <c r="F54" s="279">
        <v>50</v>
      </c>
      <c r="G54" s="260"/>
      <c r="H54" s="38">
        <f t="shared" si="3"/>
        <v>1998.5</v>
      </c>
      <c r="I54" s="7"/>
      <c r="T54" s="39"/>
      <c r="U54" s="139"/>
      <c r="V54" s="150"/>
      <c r="W54" s="150"/>
      <c r="X54" s="150">
        <v>3.5</v>
      </c>
      <c r="Z54">
        <f t="shared" si="4"/>
        <v>-3.5</v>
      </c>
    </row>
    <row r="55" spans="1:26" ht="21" customHeight="1">
      <c r="A55" s="41" t="s">
        <v>349</v>
      </c>
      <c r="B55" s="38" t="s">
        <v>323</v>
      </c>
      <c r="C55" s="3"/>
      <c r="D55" s="259"/>
      <c r="E55" s="260"/>
      <c r="F55" s="279">
        <v>87.5</v>
      </c>
      <c r="G55" s="260"/>
      <c r="H55" s="38">
        <f t="shared" si="3"/>
        <v>1911</v>
      </c>
      <c r="I55" s="7"/>
      <c r="T55" s="39"/>
      <c r="U55" s="139"/>
      <c r="V55" s="150"/>
      <c r="W55" s="150"/>
      <c r="X55" s="150">
        <v>3</v>
      </c>
      <c r="Z55">
        <f t="shared" si="4"/>
        <v>-3</v>
      </c>
    </row>
    <row r="56" spans="1:26" ht="21" customHeight="1">
      <c r="A56" s="39" t="s">
        <v>531</v>
      </c>
      <c r="B56" s="38" t="s">
        <v>323</v>
      </c>
      <c r="C56" s="3"/>
      <c r="D56" s="259"/>
      <c r="E56" s="260"/>
      <c r="F56" s="279">
        <v>5.5</v>
      </c>
      <c r="G56" s="260"/>
      <c r="H56" s="38">
        <f t="shared" si="3"/>
        <v>1905.5</v>
      </c>
      <c r="I56" s="16"/>
      <c r="T56" s="39"/>
      <c r="U56" s="139"/>
      <c r="V56" s="150"/>
      <c r="W56" s="150"/>
      <c r="X56" s="150">
        <v>4.5</v>
      </c>
      <c r="Z56">
        <f t="shared" si="4"/>
        <v>-4.5</v>
      </c>
    </row>
    <row r="57" spans="1:26" ht="25.2" customHeight="1">
      <c r="A57" s="39" t="s">
        <v>388</v>
      </c>
      <c r="B57" s="38" t="s">
        <v>323</v>
      </c>
      <c r="C57" s="38"/>
      <c r="D57" s="279"/>
      <c r="E57" s="260"/>
      <c r="F57" s="279">
        <v>30</v>
      </c>
      <c r="G57" s="260"/>
      <c r="H57" s="38">
        <f t="shared" si="3"/>
        <v>1875.5</v>
      </c>
      <c r="I57" s="109"/>
      <c r="T57" s="39"/>
      <c r="U57" s="139"/>
      <c r="V57" s="150"/>
      <c r="W57" s="150"/>
      <c r="X57" s="150">
        <v>2.5</v>
      </c>
      <c r="Z57">
        <f t="shared" si="4"/>
        <v>-2.5</v>
      </c>
    </row>
    <row r="58" spans="1:26" ht="21" customHeight="1">
      <c r="A58" s="39" t="s">
        <v>350</v>
      </c>
      <c r="B58" s="38" t="s">
        <v>323</v>
      </c>
      <c r="C58" s="3"/>
      <c r="D58" s="259"/>
      <c r="E58" s="260"/>
      <c r="F58" s="279">
        <v>57.5</v>
      </c>
      <c r="G58" s="260"/>
      <c r="H58" s="38">
        <f t="shared" si="3"/>
        <v>1818</v>
      </c>
      <c r="I58" s="7"/>
      <c r="T58" s="39"/>
      <c r="U58" s="139"/>
      <c r="V58" s="150"/>
      <c r="W58" s="150"/>
      <c r="X58" s="150">
        <v>157</v>
      </c>
      <c r="Z58">
        <f t="shared" si="4"/>
        <v>-157</v>
      </c>
    </row>
    <row r="59" spans="1:26" ht="21" customHeight="1">
      <c r="A59" s="39" t="s">
        <v>533</v>
      </c>
      <c r="B59" s="38" t="s">
        <v>323</v>
      </c>
      <c r="C59" s="3"/>
      <c r="D59" s="259"/>
      <c r="E59" s="260"/>
      <c r="F59" s="279">
        <v>40</v>
      </c>
      <c r="G59" s="260"/>
      <c r="H59" s="38">
        <f t="shared" si="3"/>
        <v>1778</v>
      </c>
      <c r="I59" s="7"/>
      <c r="T59" s="39"/>
      <c r="U59" s="139"/>
      <c r="V59" s="150"/>
      <c r="W59" s="150"/>
      <c r="X59" s="150">
        <v>4</v>
      </c>
      <c r="Z59">
        <f t="shared" si="4"/>
        <v>-4</v>
      </c>
    </row>
    <row r="60" spans="1:26" ht="21" customHeight="1">
      <c r="A60" s="39" t="s">
        <v>439</v>
      </c>
      <c r="B60" s="38" t="s">
        <v>323</v>
      </c>
      <c r="C60" s="3"/>
      <c r="D60" s="259"/>
      <c r="E60" s="260"/>
      <c r="F60" s="279">
        <v>1.5</v>
      </c>
      <c r="G60" s="260"/>
      <c r="H60" s="38">
        <f t="shared" si="3"/>
        <v>1776.5</v>
      </c>
      <c r="I60" s="7"/>
      <c r="T60" s="39"/>
      <c r="U60" s="139"/>
      <c r="V60" s="150"/>
      <c r="W60" s="150"/>
      <c r="X60" s="150">
        <v>145.5</v>
      </c>
      <c r="Z60">
        <f t="shared" si="4"/>
        <v>-145.5</v>
      </c>
    </row>
    <row r="61" spans="1:26" ht="21" customHeight="1">
      <c r="A61" s="39" t="s">
        <v>535</v>
      </c>
      <c r="B61" s="38" t="s">
        <v>323</v>
      </c>
      <c r="C61" s="9"/>
      <c r="D61" s="259"/>
      <c r="E61" s="260"/>
      <c r="F61" s="279">
        <v>3</v>
      </c>
      <c r="G61" s="260"/>
      <c r="H61" s="38">
        <f t="shared" si="3"/>
        <v>1773.5</v>
      </c>
      <c r="I61" s="7"/>
      <c r="T61" s="39"/>
      <c r="U61" s="139"/>
      <c r="V61" s="150"/>
      <c r="W61" s="150"/>
      <c r="X61" s="150">
        <v>2.5</v>
      </c>
      <c r="Z61">
        <f t="shared" si="4"/>
        <v>-2.5</v>
      </c>
    </row>
    <row r="62" spans="1:26" ht="21" customHeight="1">
      <c r="A62" s="39" t="s">
        <v>536</v>
      </c>
      <c r="B62" s="38" t="s">
        <v>323</v>
      </c>
      <c r="C62" s="3"/>
      <c r="D62" s="259"/>
      <c r="E62" s="260"/>
      <c r="F62" s="279">
        <v>65</v>
      </c>
      <c r="G62" s="260"/>
      <c r="H62" s="38">
        <f t="shared" si="3"/>
        <v>1708.5</v>
      </c>
      <c r="I62" s="7"/>
      <c r="T62" s="39"/>
      <c r="U62" s="139"/>
      <c r="V62" s="150"/>
      <c r="W62" s="150"/>
      <c r="X62" s="150">
        <v>34</v>
      </c>
      <c r="Z62">
        <f t="shared" si="4"/>
        <v>-34</v>
      </c>
    </row>
    <row r="63" spans="1:26" ht="21" customHeight="1">
      <c r="A63" s="39" t="s">
        <v>537</v>
      </c>
      <c r="B63" s="38" t="s">
        <v>323</v>
      </c>
      <c r="C63" s="3"/>
      <c r="D63" s="259"/>
      <c r="E63" s="260"/>
      <c r="F63" s="279">
        <v>60</v>
      </c>
      <c r="G63" s="260"/>
      <c r="H63" s="38">
        <f t="shared" si="3"/>
        <v>1648.5</v>
      </c>
      <c r="I63" s="7"/>
      <c r="T63" s="41"/>
      <c r="U63" s="139"/>
      <c r="V63" s="150"/>
      <c r="W63" s="150"/>
      <c r="X63" s="150">
        <v>1.5</v>
      </c>
      <c r="Z63">
        <f t="shared" si="4"/>
        <v>-1.5</v>
      </c>
    </row>
    <row r="64" spans="1:26" ht="21" customHeight="1">
      <c r="A64" s="39" t="s">
        <v>351</v>
      </c>
      <c r="B64" s="38" t="s">
        <v>323</v>
      </c>
      <c r="C64" s="3"/>
      <c r="D64" s="259"/>
      <c r="E64" s="260"/>
      <c r="F64" s="279">
        <v>17</v>
      </c>
      <c r="G64" s="260"/>
      <c r="H64" s="38">
        <f t="shared" si="3"/>
        <v>1631.5</v>
      </c>
      <c r="I64" s="109"/>
      <c r="T64" s="39"/>
      <c r="U64" s="139"/>
      <c r="V64" s="150"/>
      <c r="W64" s="150"/>
      <c r="X64" s="150">
        <v>3.5</v>
      </c>
      <c r="Z64">
        <f t="shared" si="4"/>
        <v>-3.5</v>
      </c>
    </row>
    <row r="65" spans="1:28" ht="21" customHeight="1">
      <c r="A65" s="39" t="s">
        <v>440</v>
      </c>
      <c r="B65" s="38" t="s">
        <v>323</v>
      </c>
      <c r="C65" s="3"/>
      <c r="D65" s="259"/>
      <c r="E65" s="260"/>
      <c r="F65" s="279">
        <v>3</v>
      </c>
      <c r="G65" s="260"/>
      <c r="H65" s="38">
        <f t="shared" si="3"/>
        <v>1628.5</v>
      </c>
      <c r="I65" s="7"/>
      <c r="T65" s="39"/>
      <c r="U65" s="139"/>
      <c r="V65" s="150"/>
      <c r="W65" s="150"/>
      <c r="X65" s="150">
        <v>70</v>
      </c>
      <c r="Z65">
        <f t="shared" si="4"/>
        <v>-70</v>
      </c>
    </row>
    <row r="66" spans="1:28" ht="21" customHeight="1">
      <c r="A66" s="39" t="s">
        <v>484</v>
      </c>
      <c r="B66" s="38" t="s">
        <v>323</v>
      </c>
      <c r="C66" s="3"/>
      <c r="D66" s="259"/>
      <c r="E66" s="260"/>
      <c r="F66" s="279">
        <v>3.5</v>
      </c>
      <c r="G66" s="260"/>
      <c r="H66" s="38">
        <f t="shared" si="3"/>
        <v>1625</v>
      </c>
      <c r="I66" s="7"/>
      <c r="T66" s="39"/>
      <c r="U66" s="139"/>
      <c r="V66" s="150"/>
      <c r="W66" s="150"/>
      <c r="X66" s="150">
        <v>3</v>
      </c>
      <c r="Z66">
        <f t="shared" si="4"/>
        <v>-3</v>
      </c>
    </row>
    <row r="67" spans="1:28" ht="21" customHeight="1">
      <c r="A67" s="39" t="s">
        <v>485</v>
      </c>
      <c r="B67" s="38" t="s">
        <v>323</v>
      </c>
      <c r="C67" s="3"/>
      <c r="D67" s="259"/>
      <c r="E67" s="260"/>
      <c r="F67" s="279">
        <v>30</v>
      </c>
      <c r="G67" s="260"/>
      <c r="H67" s="38">
        <f t="shared" si="3"/>
        <v>1595</v>
      </c>
      <c r="I67" s="7"/>
      <c r="T67" s="39"/>
      <c r="U67" s="139"/>
      <c r="V67" s="150"/>
      <c r="W67" s="150"/>
      <c r="X67" s="150">
        <v>3</v>
      </c>
      <c r="Z67">
        <f t="shared" si="4"/>
        <v>-3</v>
      </c>
    </row>
    <row r="68" spans="1:28" ht="21" customHeight="1">
      <c r="A68" s="39" t="s">
        <v>486</v>
      </c>
      <c r="B68" s="38" t="s">
        <v>323</v>
      </c>
      <c r="C68" s="3"/>
      <c r="D68" s="259"/>
      <c r="E68" s="260"/>
      <c r="F68" s="279">
        <v>3</v>
      </c>
      <c r="G68" s="260"/>
      <c r="H68" s="38">
        <f t="shared" si="3"/>
        <v>1592</v>
      </c>
      <c r="I68" s="7"/>
      <c r="T68" s="39"/>
      <c r="U68" s="139"/>
      <c r="V68" s="150"/>
      <c r="W68" s="150"/>
      <c r="X68" s="150">
        <v>36.5</v>
      </c>
      <c r="Z68">
        <f t="shared" si="4"/>
        <v>-36.5</v>
      </c>
    </row>
    <row r="69" spans="1:28" ht="21" customHeight="1">
      <c r="A69" s="39" t="s">
        <v>487</v>
      </c>
      <c r="B69" s="38" t="s">
        <v>323</v>
      </c>
      <c r="C69" s="3"/>
      <c r="D69" s="259"/>
      <c r="E69" s="260"/>
      <c r="F69" s="279">
        <v>6.5</v>
      </c>
      <c r="G69" s="260"/>
      <c r="H69" s="38">
        <f t="shared" si="3"/>
        <v>1585.5</v>
      </c>
      <c r="I69" s="7"/>
      <c r="T69" s="39"/>
      <c r="U69" s="139"/>
      <c r="V69" s="150"/>
      <c r="W69" s="150"/>
      <c r="X69" s="150">
        <v>30</v>
      </c>
      <c r="Z69">
        <f t="shared" si="4"/>
        <v>-30</v>
      </c>
    </row>
    <row r="70" spans="1:28" ht="21" customHeight="1">
      <c r="A70" s="39" t="s">
        <v>415</v>
      </c>
      <c r="B70" s="38" t="s">
        <v>323</v>
      </c>
      <c r="C70" s="3"/>
      <c r="D70" s="259"/>
      <c r="E70" s="260"/>
      <c r="F70" s="279">
        <v>14</v>
      </c>
      <c r="G70" s="260"/>
      <c r="H70" s="38">
        <f t="shared" si="3"/>
        <v>1571.5</v>
      </c>
      <c r="I70" s="7"/>
      <c r="T70" s="150"/>
      <c r="V70" s="150"/>
      <c r="W70" s="150"/>
      <c r="X70" s="150">
        <v>32.5</v>
      </c>
      <c r="Z70">
        <f t="shared" si="4"/>
        <v>-32.5</v>
      </c>
      <c r="AB70">
        <v>30</v>
      </c>
    </row>
    <row r="71" spans="1:28" ht="21" customHeight="1">
      <c r="A71" s="39" t="s">
        <v>441</v>
      </c>
      <c r="B71" s="38" t="s">
        <v>323</v>
      </c>
      <c r="C71" s="3"/>
      <c r="D71" s="259"/>
      <c r="E71" s="260"/>
      <c r="F71" s="279">
        <v>43</v>
      </c>
      <c r="G71" s="260"/>
      <c r="H71" s="38">
        <f t="shared" si="3"/>
        <v>1528.5</v>
      </c>
      <c r="I71" s="7"/>
      <c r="T71" s="150"/>
      <c r="V71" s="150"/>
      <c r="W71" s="150"/>
      <c r="X71" s="150">
        <v>34.5</v>
      </c>
      <c r="Z71">
        <f t="shared" si="4"/>
        <v>-34.5</v>
      </c>
      <c r="AB71">
        <v>32.5</v>
      </c>
    </row>
    <row r="72" spans="1:28">
      <c r="A72" s="39" t="s">
        <v>488</v>
      </c>
      <c r="B72" s="38" t="s">
        <v>323</v>
      </c>
      <c r="C72" s="56"/>
      <c r="D72" s="279"/>
      <c r="E72" s="260"/>
      <c r="F72" s="279">
        <v>5.5</v>
      </c>
      <c r="G72" s="260"/>
      <c r="H72" s="38">
        <f t="shared" si="3"/>
        <v>1523</v>
      </c>
      <c r="I72" s="109"/>
      <c r="T72" s="39"/>
      <c r="V72" s="150"/>
      <c r="W72" s="150"/>
      <c r="X72" s="150">
        <v>1.5</v>
      </c>
      <c r="Z72">
        <f t="shared" si="4"/>
        <v>-1.5</v>
      </c>
      <c r="AB72">
        <v>34.5</v>
      </c>
    </row>
    <row r="73" spans="1:28" ht="21" customHeight="1">
      <c r="A73" s="39" t="s">
        <v>539</v>
      </c>
      <c r="B73" s="38" t="s">
        <v>323</v>
      </c>
      <c r="C73" s="56"/>
      <c r="D73" s="279"/>
      <c r="E73" s="260"/>
      <c r="F73" s="279">
        <v>5</v>
      </c>
      <c r="G73" s="260"/>
      <c r="H73" s="38">
        <f t="shared" si="3"/>
        <v>1518</v>
      </c>
      <c r="I73" s="7"/>
      <c r="T73" s="39"/>
      <c r="V73" s="150"/>
      <c r="W73" s="150"/>
      <c r="X73" s="150">
        <v>28</v>
      </c>
      <c r="Z73">
        <f t="shared" si="4"/>
        <v>-28</v>
      </c>
      <c r="AB73">
        <v>1.5</v>
      </c>
    </row>
    <row r="74" spans="1:28" ht="21" customHeight="1">
      <c r="A74" s="39" t="s">
        <v>352</v>
      </c>
      <c r="B74" s="38" t="s">
        <v>323</v>
      </c>
      <c r="C74" s="56"/>
      <c r="D74" s="279"/>
      <c r="E74" s="260"/>
      <c r="F74" s="279">
        <v>18.5</v>
      </c>
      <c r="G74" s="260"/>
      <c r="H74" s="38">
        <f t="shared" si="3"/>
        <v>1499.5</v>
      </c>
      <c r="I74" s="7"/>
      <c r="T74" s="39"/>
      <c r="V74" s="150"/>
      <c r="W74" s="150"/>
      <c r="X74" s="150">
        <v>56</v>
      </c>
      <c r="Z74">
        <f t="shared" si="4"/>
        <v>-56</v>
      </c>
      <c r="AB74">
        <v>28</v>
      </c>
    </row>
    <row r="75" spans="1:28" ht="21" customHeight="1">
      <c r="A75" s="39" t="s">
        <v>489</v>
      </c>
      <c r="B75" s="38" t="s">
        <v>323</v>
      </c>
      <c r="C75" s="56"/>
      <c r="D75" s="279"/>
      <c r="E75" s="260"/>
      <c r="F75" s="279">
        <v>60</v>
      </c>
      <c r="G75" s="260"/>
      <c r="H75" s="38">
        <f t="shared" si="3"/>
        <v>1439.5</v>
      </c>
      <c r="I75" s="7"/>
      <c r="T75" s="39"/>
      <c r="V75" s="150"/>
      <c r="W75" s="150"/>
      <c r="X75" s="150">
        <v>31</v>
      </c>
      <c r="Z75">
        <f t="shared" si="4"/>
        <v>-31</v>
      </c>
      <c r="AB75">
        <v>56</v>
      </c>
    </row>
    <row r="76" spans="1:28" ht="21" customHeight="1">
      <c r="A76" s="39" t="s">
        <v>353</v>
      </c>
      <c r="B76" s="38" t="s">
        <v>323</v>
      </c>
      <c r="C76" s="56"/>
      <c r="D76" s="279"/>
      <c r="E76" s="260"/>
      <c r="F76" s="279">
        <v>1.5</v>
      </c>
      <c r="G76" s="260"/>
      <c r="H76" s="38">
        <f t="shared" si="3"/>
        <v>1438</v>
      </c>
      <c r="I76" s="7"/>
      <c r="T76" s="39"/>
      <c r="V76" s="150"/>
      <c r="W76" s="150"/>
      <c r="X76" s="150">
        <v>6</v>
      </c>
      <c r="Z76">
        <f t="shared" si="4"/>
        <v>-6</v>
      </c>
      <c r="AB76">
        <v>31</v>
      </c>
    </row>
    <row r="77" spans="1:28" ht="21" customHeight="1">
      <c r="A77" s="39" t="s">
        <v>391</v>
      </c>
      <c r="B77" s="38" t="s">
        <v>323</v>
      </c>
      <c r="C77" s="56"/>
      <c r="D77" s="279"/>
      <c r="E77" s="260"/>
      <c r="F77" s="279">
        <v>3</v>
      </c>
      <c r="G77" s="260"/>
      <c r="H77" s="38">
        <f t="shared" si="3"/>
        <v>1435</v>
      </c>
      <c r="I77" s="7"/>
      <c r="T77" s="39"/>
      <c r="V77" s="150"/>
      <c r="W77" s="150"/>
      <c r="X77" s="150"/>
    </row>
    <row r="78" spans="1:28" ht="21" customHeight="1">
      <c r="A78" s="39" t="s">
        <v>490</v>
      </c>
      <c r="B78" s="38" t="s">
        <v>323</v>
      </c>
      <c r="C78" s="56"/>
      <c r="D78" s="279"/>
      <c r="E78" s="260"/>
      <c r="F78" s="279">
        <v>3</v>
      </c>
      <c r="G78" s="260"/>
      <c r="H78" s="38">
        <f t="shared" si="3"/>
        <v>1432</v>
      </c>
      <c r="I78" s="7"/>
      <c r="T78" s="39"/>
      <c r="V78" s="150"/>
      <c r="W78" s="150"/>
      <c r="X78" s="150">
        <v>34.5</v>
      </c>
      <c r="Z78">
        <f t="shared" ref="Z78:Z88" si="5">U78-X78</f>
        <v>-34.5</v>
      </c>
      <c r="AB78">
        <v>6</v>
      </c>
    </row>
    <row r="79" spans="1:28" ht="21" customHeight="1">
      <c r="A79" s="39" t="s">
        <v>541</v>
      </c>
      <c r="B79" s="38" t="s">
        <v>323</v>
      </c>
      <c r="C79" s="56"/>
      <c r="D79" s="279"/>
      <c r="E79" s="260"/>
      <c r="F79" s="279">
        <v>33</v>
      </c>
      <c r="G79" s="260"/>
      <c r="H79" s="38">
        <f t="shared" si="3"/>
        <v>1399</v>
      </c>
      <c r="I79" s="7"/>
      <c r="T79" s="39"/>
      <c r="V79" s="150"/>
      <c r="W79" s="150"/>
      <c r="X79" s="150">
        <v>1.5</v>
      </c>
      <c r="Z79">
        <f t="shared" si="5"/>
        <v>-1.5</v>
      </c>
      <c r="AB79">
        <v>34.5</v>
      </c>
    </row>
    <row r="80" spans="1:28" ht="21" customHeight="1">
      <c r="A80" s="39" t="s">
        <v>491</v>
      </c>
      <c r="B80" s="38" t="s">
        <v>323</v>
      </c>
      <c r="C80" s="56"/>
      <c r="D80" s="279"/>
      <c r="E80" s="260"/>
      <c r="F80" s="279">
        <v>31.5</v>
      </c>
      <c r="G80" s="260"/>
      <c r="H80" s="38">
        <f t="shared" si="3"/>
        <v>1367.5</v>
      </c>
      <c r="I80" s="7"/>
      <c r="T80" s="39"/>
      <c r="V80" s="150"/>
      <c r="W80" s="150"/>
      <c r="X80" s="150">
        <v>3.5</v>
      </c>
      <c r="Z80">
        <f t="shared" si="5"/>
        <v>-3.5</v>
      </c>
      <c r="AB80">
        <v>1.5</v>
      </c>
    </row>
    <row r="81" spans="1:28" ht="21" customHeight="1">
      <c r="A81" s="39" t="s">
        <v>542</v>
      </c>
      <c r="B81" s="38" t="s">
        <v>323</v>
      </c>
      <c r="C81" s="56"/>
      <c r="D81" s="279"/>
      <c r="E81" s="260"/>
      <c r="F81" s="279">
        <v>14</v>
      </c>
      <c r="G81" s="260"/>
      <c r="H81" s="38">
        <f t="shared" si="3"/>
        <v>1353.5</v>
      </c>
      <c r="I81" s="7"/>
      <c r="T81" s="39"/>
      <c r="V81" s="150"/>
      <c r="W81" s="150"/>
      <c r="X81" s="150">
        <v>1.5</v>
      </c>
      <c r="Z81">
        <f t="shared" si="5"/>
        <v>-1.5</v>
      </c>
      <c r="AB81">
        <v>3.5</v>
      </c>
    </row>
    <row r="82" spans="1:28" ht="21" customHeight="1">
      <c r="A82" s="39" t="s">
        <v>354</v>
      </c>
      <c r="B82" s="38" t="s">
        <v>323</v>
      </c>
      <c r="C82" s="56"/>
      <c r="D82" s="279"/>
      <c r="E82" s="260"/>
      <c r="F82" s="279">
        <v>30</v>
      </c>
      <c r="G82" s="260"/>
      <c r="H82" s="38">
        <f t="shared" si="3"/>
        <v>1323.5</v>
      </c>
      <c r="I82" s="7"/>
      <c r="T82" s="39"/>
      <c r="V82" s="150"/>
      <c r="W82" s="150"/>
      <c r="X82" s="150">
        <v>31.5</v>
      </c>
      <c r="Z82">
        <f t="shared" si="5"/>
        <v>-31.5</v>
      </c>
      <c r="AB82">
        <v>1.5</v>
      </c>
    </row>
    <row r="83" spans="1:28" ht="21" customHeight="1">
      <c r="A83" s="39" t="s">
        <v>543</v>
      </c>
      <c r="B83" s="38" t="s">
        <v>323</v>
      </c>
      <c r="C83" s="56"/>
      <c r="D83" s="279"/>
      <c r="E83" s="260"/>
      <c r="F83" s="279">
        <v>14</v>
      </c>
      <c r="G83" s="260"/>
      <c r="H83" s="38">
        <f t="shared" si="3"/>
        <v>1309.5</v>
      </c>
      <c r="I83" s="7"/>
      <c r="T83" s="39"/>
      <c r="V83" s="150"/>
      <c r="W83" s="150"/>
      <c r="X83" s="150">
        <v>169.5</v>
      </c>
      <c r="Z83">
        <f t="shared" si="5"/>
        <v>-169.5</v>
      </c>
      <c r="AB83">
        <v>31.5</v>
      </c>
    </row>
    <row r="84" spans="1:28" ht="21" customHeight="1">
      <c r="A84" s="39" t="s">
        <v>355</v>
      </c>
      <c r="B84" s="38" t="s">
        <v>324</v>
      </c>
      <c r="C84" s="56">
        <v>1500</v>
      </c>
      <c r="D84" s="279" t="s">
        <v>656</v>
      </c>
      <c r="E84" s="260"/>
      <c r="F84" s="279"/>
      <c r="G84" s="260"/>
      <c r="H84" s="38">
        <v>2809.5</v>
      </c>
      <c r="I84" s="7" t="s">
        <v>657</v>
      </c>
      <c r="T84" s="39"/>
      <c r="V84" s="150"/>
      <c r="W84" s="150"/>
      <c r="X84" s="150">
        <v>38.5</v>
      </c>
      <c r="Z84">
        <f t="shared" si="5"/>
        <v>-38.5</v>
      </c>
      <c r="AB84">
        <v>169.5</v>
      </c>
    </row>
    <row r="85" spans="1:28" ht="21" customHeight="1">
      <c r="A85" s="39" t="s">
        <v>355</v>
      </c>
      <c r="B85" s="38" t="s">
        <v>323</v>
      </c>
      <c r="C85" s="56"/>
      <c r="D85" s="279"/>
      <c r="E85" s="260"/>
      <c r="F85" s="279">
        <v>70</v>
      </c>
      <c r="G85" s="260"/>
      <c r="H85" s="38">
        <f t="shared" ref="H85:H116" si="6">H84-F85</f>
        <v>2739.5</v>
      </c>
      <c r="I85" s="7"/>
      <c r="T85" s="39"/>
      <c r="V85" s="150"/>
      <c r="W85" s="150"/>
      <c r="X85" s="150">
        <v>31.5</v>
      </c>
      <c r="Z85">
        <f t="shared" si="5"/>
        <v>-31.5</v>
      </c>
      <c r="AB85">
        <v>38.5</v>
      </c>
    </row>
    <row r="86" spans="1:28" ht="21" customHeight="1">
      <c r="A86" s="39" t="s">
        <v>393</v>
      </c>
      <c r="B86" s="38" t="s">
        <v>323</v>
      </c>
      <c r="C86" s="56"/>
      <c r="D86" s="279"/>
      <c r="E86" s="260"/>
      <c r="F86" s="279">
        <v>33</v>
      </c>
      <c r="G86" s="260"/>
      <c r="H86" s="38">
        <f t="shared" si="6"/>
        <v>2706.5</v>
      </c>
      <c r="I86" s="7"/>
      <c r="T86" s="39"/>
      <c r="V86" s="150"/>
      <c r="W86" s="150"/>
      <c r="X86" s="150">
        <v>16.5</v>
      </c>
      <c r="Z86">
        <f t="shared" si="5"/>
        <v>-16.5</v>
      </c>
      <c r="AB86">
        <v>31.5</v>
      </c>
    </row>
    <row r="87" spans="1:28" ht="21" customHeight="1">
      <c r="A87" s="39" t="s">
        <v>416</v>
      </c>
      <c r="B87" s="38" t="s">
        <v>323</v>
      </c>
      <c r="C87" s="56"/>
      <c r="D87" s="279"/>
      <c r="E87" s="260"/>
      <c r="F87" s="279">
        <v>3</v>
      </c>
      <c r="G87" s="260"/>
      <c r="H87" s="38">
        <f t="shared" si="6"/>
        <v>2703.5</v>
      </c>
      <c r="I87" s="7"/>
      <c r="T87" s="39"/>
      <c r="V87" s="150"/>
      <c r="W87" s="150"/>
      <c r="X87" s="150">
        <v>3</v>
      </c>
      <c r="Z87">
        <f t="shared" si="5"/>
        <v>-3</v>
      </c>
      <c r="AB87">
        <v>16.5</v>
      </c>
    </row>
    <row r="88" spans="1:28" ht="21" customHeight="1">
      <c r="A88" s="39" t="s">
        <v>418</v>
      </c>
      <c r="B88" s="38" t="s">
        <v>323</v>
      </c>
      <c r="C88" s="56"/>
      <c r="D88" s="279"/>
      <c r="E88" s="260"/>
      <c r="F88" s="279">
        <v>1.5</v>
      </c>
      <c r="G88" s="260"/>
      <c r="H88" s="38">
        <f t="shared" si="6"/>
        <v>2702</v>
      </c>
      <c r="I88" s="7"/>
      <c r="T88" s="39"/>
      <c r="V88" s="150"/>
      <c r="W88" s="150"/>
      <c r="X88" s="150">
        <v>3</v>
      </c>
      <c r="Z88">
        <f t="shared" si="5"/>
        <v>-3</v>
      </c>
      <c r="AB88">
        <v>3</v>
      </c>
    </row>
    <row r="89" spans="1:28" ht="21" customHeight="1">
      <c r="A89" s="39" t="s">
        <v>394</v>
      </c>
      <c r="B89" s="38" t="s">
        <v>323</v>
      </c>
      <c r="C89" s="56"/>
      <c r="D89" s="139"/>
      <c r="E89" s="241"/>
      <c r="F89" s="242">
        <v>56</v>
      </c>
      <c r="G89" s="174"/>
      <c r="H89" s="38">
        <f t="shared" si="6"/>
        <v>2646</v>
      </c>
      <c r="I89" s="7"/>
      <c r="T89" s="39"/>
      <c r="V89" s="150"/>
      <c r="W89" s="150"/>
      <c r="X89" s="150"/>
    </row>
    <row r="90" spans="1:28" ht="21" customHeight="1">
      <c r="A90" s="39" t="s">
        <v>444</v>
      </c>
      <c r="B90" s="38" t="s">
        <v>323</v>
      </c>
      <c r="C90" s="56"/>
      <c r="D90" s="279"/>
      <c r="E90" s="260"/>
      <c r="F90" s="283">
        <v>38</v>
      </c>
      <c r="G90" s="284"/>
      <c r="H90" s="38">
        <f t="shared" si="6"/>
        <v>2608</v>
      </c>
      <c r="I90" s="7"/>
      <c r="T90" s="39"/>
      <c r="V90" s="150"/>
      <c r="W90" s="150"/>
      <c r="X90" s="150">
        <v>89</v>
      </c>
      <c r="Z90">
        <f t="shared" ref="Z90:Z121" si="7">U90-X90</f>
        <v>-89</v>
      </c>
      <c r="AB90">
        <v>3</v>
      </c>
    </row>
    <row r="91" spans="1:28" ht="21" customHeight="1">
      <c r="A91" s="39" t="s">
        <v>493</v>
      </c>
      <c r="B91" s="38" t="s">
        <v>323</v>
      </c>
      <c r="C91" s="56"/>
      <c r="D91" s="279"/>
      <c r="E91" s="260"/>
      <c r="F91" s="279">
        <v>14</v>
      </c>
      <c r="G91" s="260"/>
      <c r="H91" s="38">
        <f t="shared" si="6"/>
        <v>2594</v>
      </c>
      <c r="I91" s="7"/>
      <c r="T91" s="39"/>
      <c r="V91" s="150"/>
      <c r="W91" s="150"/>
      <c r="X91" s="150">
        <v>1.5</v>
      </c>
      <c r="Z91">
        <f t="shared" si="7"/>
        <v>-1.5</v>
      </c>
      <c r="AB91">
        <v>89</v>
      </c>
    </row>
    <row r="92" spans="1:28" ht="21" customHeight="1">
      <c r="A92" s="39" t="s">
        <v>445</v>
      </c>
      <c r="B92" s="38" t="s">
        <v>323</v>
      </c>
      <c r="C92" s="56"/>
      <c r="D92" s="279"/>
      <c r="E92" s="260"/>
      <c r="F92" s="279">
        <v>31</v>
      </c>
      <c r="G92" s="260"/>
      <c r="H92" s="38">
        <f t="shared" si="6"/>
        <v>2563</v>
      </c>
      <c r="I92" s="7"/>
      <c r="T92" s="39"/>
      <c r="V92" s="150"/>
      <c r="W92" s="150"/>
      <c r="X92" s="150">
        <v>56</v>
      </c>
      <c r="Z92">
        <f t="shared" si="7"/>
        <v>-56</v>
      </c>
      <c r="AB92">
        <v>1.5</v>
      </c>
    </row>
    <row r="93" spans="1:28" ht="21" customHeight="1">
      <c r="A93" s="39" t="s">
        <v>356</v>
      </c>
      <c r="B93" s="38" t="s">
        <v>323</v>
      </c>
      <c r="C93" s="56"/>
      <c r="D93" s="279"/>
      <c r="E93" s="260"/>
      <c r="F93" s="279">
        <v>56</v>
      </c>
      <c r="G93" s="260"/>
      <c r="H93" s="38">
        <f t="shared" si="6"/>
        <v>2507</v>
      </c>
      <c r="I93" s="7"/>
      <c r="T93" s="39"/>
      <c r="V93" s="150"/>
      <c r="W93" s="150"/>
      <c r="X93" s="150">
        <v>102.5</v>
      </c>
      <c r="Z93">
        <f t="shared" si="7"/>
        <v>-102.5</v>
      </c>
      <c r="AB93">
        <v>56</v>
      </c>
    </row>
    <row r="94" spans="1:28" ht="21" customHeight="1">
      <c r="A94" s="39" t="s">
        <v>494</v>
      </c>
      <c r="B94" s="38" t="s">
        <v>323</v>
      </c>
      <c r="C94" s="56"/>
      <c r="D94" s="279"/>
      <c r="E94" s="260"/>
      <c r="F94" s="279">
        <v>4</v>
      </c>
      <c r="G94" s="260"/>
      <c r="H94" s="38">
        <f t="shared" si="6"/>
        <v>2503</v>
      </c>
      <c r="I94" s="7"/>
      <c r="T94" s="39"/>
      <c r="V94" s="150"/>
      <c r="W94" s="150"/>
      <c r="X94" s="150">
        <v>1.5</v>
      </c>
      <c r="Z94">
        <f t="shared" si="7"/>
        <v>-1.5</v>
      </c>
      <c r="AB94">
        <v>102.5</v>
      </c>
    </row>
    <row r="95" spans="1:28" ht="21" customHeight="1">
      <c r="A95" s="39" t="s">
        <v>495</v>
      </c>
      <c r="B95" s="38" t="s">
        <v>323</v>
      </c>
      <c r="C95" s="56"/>
      <c r="D95" s="279"/>
      <c r="E95" s="260"/>
      <c r="F95" s="279">
        <v>30.5</v>
      </c>
      <c r="G95" s="260"/>
      <c r="H95" s="38">
        <f t="shared" si="6"/>
        <v>2472.5</v>
      </c>
      <c r="I95" s="7"/>
      <c r="T95" s="39"/>
      <c r="V95" s="150"/>
      <c r="W95" s="150"/>
      <c r="X95" s="150">
        <v>33</v>
      </c>
      <c r="Z95">
        <f t="shared" si="7"/>
        <v>-33</v>
      </c>
      <c r="AB95">
        <v>1.5</v>
      </c>
    </row>
    <row r="96" spans="1:28" ht="21" customHeight="1">
      <c r="A96" s="39" t="s">
        <v>446</v>
      </c>
      <c r="B96" s="38" t="s">
        <v>323</v>
      </c>
      <c r="C96" s="56"/>
      <c r="D96" s="279"/>
      <c r="E96" s="260"/>
      <c r="F96" s="279">
        <v>10</v>
      </c>
      <c r="G96" s="260"/>
      <c r="H96" s="38">
        <f t="shared" si="6"/>
        <v>2462.5</v>
      </c>
      <c r="I96" s="7"/>
      <c r="T96" s="39"/>
      <c r="V96" s="150"/>
      <c r="W96" s="150"/>
      <c r="X96" s="150">
        <v>90.5</v>
      </c>
      <c r="Z96">
        <f t="shared" si="7"/>
        <v>-90.5</v>
      </c>
      <c r="AB96">
        <v>33</v>
      </c>
    </row>
    <row r="97" spans="1:28" ht="21" customHeight="1">
      <c r="A97" s="39" t="s">
        <v>357</v>
      </c>
      <c r="B97" s="38" t="s">
        <v>323</v>
      </c>
      <c r="C97" s="56"/>
      <c r="D97" s="279"/>
      <c r="E97" s="260"/>
      <c r="F97" s="279">
        <v>18.5</v>
      </c>
      <c r="G97" s="260"/>
      <c r="H97" s="38">
        <f t="shared" si="6"/>
        <v>2444</v>
      </c>
      <c r="I97" s="7"/>
      <c r="T97" s="39"/>
      <c r="V97" s="150"/>
      <c r="W97" s="150"/>
      <c r="X97" s="150">
        <v>56</v>
      </c>
      <c r="Z97">
        <f t="shared" si="7"/>
        <v>-56</v>
      </c>
      <c r="AB97">
        <v>90.5</v>
      </c>
    </row>
    <row r="98" spans="1:28">
      <c r="A98" s="39" t="s">
        <v>546</v>
      </c>
      <c r="B98" s="38" t="s">
        <v>323</v>
      </c>
      <c r="C98" s="56"/>
      <c r="D98" s="279"/>
      <c r="E98" s="260"/>
      <c r="F98" s="279">
        <v>33</v>
      </c>
      <c r="G98" s="260"/>
      <c r="H98" s="38">
        <f t="shared" si="6"/>
        <v>2411</v>
      </c>
      <c r="I98" s="109" t="s">
        <v>654</v>
      </c>
      <c r="T98" s="39"/>
      <c r="V98" s="150"/>
      <c r="W98" s="150"/>
      <c r="X98" s="150">
        <v>58</v>
      </c>
      <c r="Z98">
        <f t="shared" si="7"/>
        <v>-58</v>
      </c>
      <c r="AB98">
        <v>56</v>
      </c>
    </row>
    <row r="99" spans="1:28" ht="21" customHeight="1">
      <c r="A99" s="39" t="s">
        <v>358</v>
      </c>
      <c r="B99" s="38" t="s">
        <v>323</v>
      </c>
      <c r="C99" s="56"/>
      <c r="D99" s="279"/>
      <c r="E99" s="260"/>
      <c r="F99" s="279">
        <v>30</v>
      </c>
      <c r="G99" s="260"/>
      <c r="H99" s="38">
        <f t="shared" si="6"/>
        <v>2381</v>
      </c>
      <c r="I99" s="7"/>
      <c r="T99" s="39"/>
      <c r="V99" s="150"/>
      <c r="W99" s="150"/>
      <c r="X99" s="150">
        <v>3.5</v>
      </c>
      <c r="Z99">
        <f t="shared" si="7"/>
        <v>-3.5</v>
      </c>
      <c r="AB99">
        <v>58</v>
      </c>
    </row>
    <row r="100" spans="1:28" ht="21" customHeight="1">
      <c r="A100" s="39" t="s">
        <v>583</v>
      </c>
      <c r="B100" s="38" t="s">
        <v>323</v>
      </c>
      <c r="C100" s="56"/>
      <c r="D100" s="279"/>
      <c r="E100" s="260"/>
      <c r="F100" s="279">
        <v>56</v>
      </c>
      <c r="G100" s="260"/>
      <c r="H100" s="38">
        <f t="shared" si="6"/>
        <v>2325</v>
      </c>
      <c r="I100" s="7"/>
      <c r="T100" s="39"/>
      <c r="V100" s="150"/>
      <c r="W100" s="150"/>
      <c r="X100" s="150">
        <v>6</v>
      </c>
      <c r="Z100">
        <f t="shared" si="7"/>
        <v>-6</v>
      </c>
      <c r="AB100">
        <v>3.5</v>
      </c>
    </row>
    <row r="101" spans="1:28" ht="21" customHeight="1">
      <c r="A101" s="39" t="s">
        <v>498</v>
      </c>
      <c r="B101" s="38" t="s">
        <v>323</v>
      </c>
      <c r="C101" s="56"/>
      <c r="D101" s="279"/>
      <c r="E101" s="260"/>
      <c r="F101" s="279">
        <v>33</v>
      </c>
      <c r="G101" s="260"/>
      <c r="H101" s="38">
        <f t="shared" si="6"/>
        <v>2292</v>
      </c>
      <c r="I101" s="7"/>
      <c r="T101" s="39"/>
      <c r="V101" s="150"/>
      <c r="W101" s="150"/>
      <c r="X101" s="150">
        <v>7.5</v>
      </c>
      <c r="Z101">
        <f t="shared" si="7"/>
        <v>-7.5</v>
      </c>
      <c r="AB101">
        <v>6</v>
      </c>
    </row>
    <row r="102" spans="1:28" ht="21" customHeight="1">
      <c r="A102" s="39" t="s">
        <v>658</v>
      </c>
      <c r="B102" s="38" t="s">
        <v>323</v>
      </c>
      <c r="C102" s="56"/>
      <c r="D102" s="279"/>
      <c r="E102" s="260"/>
      <c r="F102" s="279">
        <v>60</v>
      </c>
      <c r="G102" s="260"/>
      <c r="H102" s="38">
        <f t="shared" si="6"/>
        <v>2232</v>
      </c>
      <c r="I102" s="7"/>
      <c r="T102" s="39"/>
      <c r="V102" s="150"/>
      <c r="W102" s="150"/>
      <c r="X102" s="150">
        <v>1.5</v>
      </c>
      <c r="Z102">
        <f t="shared" si="7"/>
        <v>-1.5</v>
      </c>
      <c r="AB102">
        <v>7.5</v>
      </c>
    </row>
    <row r="103" spans="1:28" ht="21" customHeight="1">
      <c r="A103" s="39" t="s">
        <v>499</v>
      </c>
      <c r="B103" s="38" t="s">
        <v>323</v>
      </c>
      <c r="C103" s="56"/>
      <c r="D103" s="279"/>
      <c r="E103" s="260"/>
      <c r="F103" s="279">
        <v>28</v>
      </c>
      <c r="G103" s="260"/>
      <c r="H103" s="38">
        <f t="shared" si="6"/>
        <v>2204</v>
      </c>
      <c r="I103" s="7"/>
      <c r="T103" s="39"/>
      <c r="V103" s="150"/>
      <c r="W103" s="150"/>
      <c r="X103" s="150">
        <v>60.5</v>
      </c>
      <c r="Z103">
        <f t="shared" si="7"/>
        <v>-60.5</v>
      </c>
      <c r="AB103">
        <v>1.5</v>
      </c>
    </row>
    <row r="104" spans="1:28" ht="21" customHeight="1">
      <c r="A104" s="39" t="s">
        <v>547</v>
      </c>
      <c r="B104" s="38" t="s">
        <v>323</v>
      </c>
      <c r="C104" s="56"/>
      <c r="D104" s="279"/>
      <c r="E104" s="260"/>
      <c r="F104" s="279">
        <v>1.5</v>
      </c>
      <c r="G104" s="260"/>
      <c r="H104" s="38">
        <f t="shared" si="6"/>
        <v>2202.5</v>
      </c>
      <c r="I104" s="7"/>
      <c r="T104" s="39"/>
      <c r="V104" s="150"/>
      <c r="W104" s="150"/>
      <c r="X104" s="150">
        <v>3</v>
      </c>
      <c r="Z104">
        <f t="shared" si="7"/>
        <v>-3</v>
      </c>
      <c r="AB104">
        <v>60.5</v>
      </c>
    </row>
    <row r="105" spans="1:28" ht="21" customHeight="1">
      <c r="A105" s="39" t="s">
        <v>548</v>
      </c>
      <c r="B105" s="38" t="s">
        <v>323</v>
      </c>
      <c r="C105" s="56"/>
      <c r="D105" s="279"/>
      <c r="E105" s="260"/>
      <c r="F105" s="279">
        <v>1.5</v>
      </c>
      <c r="G105" s="260"/>
      <c r="H105" s="38">
        <f t="shared" si="6"/>
        <v>2201</v>
      </c>
      <c r="I105" s="7"/>
      <c r="T105" s="39"/>
      <c r="V105" s="150"/>
      <c r="W105" s="150"/>
      <c r="X105" s="150">
        <v>35</v>
      </c>
      <c r="Z105">
        <f t="shared" si="7"/>
        <v>-35</v>
      </c>
      <c r="AB105">
        <v>3</v>
      </c>
    </row>
    <row r="106" spans="1:28" ht="21" customHeight="1">
      <c r="A106" s="39" t="s">
        <v>584</v>
      </c>
      <c r="B106" s="38" t="s">
        <v>323</v>
      </c>
      <c r="C106" s="56"/>
      <c r="D106" s="279"/>
      <c r="E106" s="260"/>
      <c r="F106" s="279">
        <v>4.5</v>
      </c>
      <c r="G106" s="260"/>
      <c r="H106" s="38">
        <f t="shared" si="6"/>
        <v>2196.5</v>
      </c>
      <c r="I106" s="7"/>
      <c r="T106" s="39"/>
      <c r="V106" s="150"/>
      <c r="W106" s="150"/>
      <c r="X106" s="150">
        <v>91</v>
      </c>
      <c r="Z106">
        <f t="shared" si="7"/>
        <v>-91</v>
      </c>
      <c r="AB106">
        <v>35</v>
      </c>
    </row>
    <row r="107" spans="1:28" ht="21" customHeight="1">
      <c r="A107" s="39" t="s">
        <v>500</v>
      </c>
      <c r="B107" s="38" t="s">
        <v>323</v>
      </c>
      <c r="C107" s="56"/>
      <c r="D107" s="279"/>
      <c r="E107" s="260"/>
      <c r="F107" s="279">
        <v>30</v>
      </c>
      <c r="G107" s="260"/>
      <c r="H107" s="38">
        <f t="shared" si="6"/>
        <v>2166.5</v>
      </c>
      <c r="I107" s="7"/>
      <c r="T107" s="39"/>
      <c r="V107" s="150"/>
      <c r="W107" s="150"/>
      <c r="X107" s="150">
        <v>7</v>
      </c>
      <c r="Z107">
        <f t="shared" si="7"/>
        <v>-7</v>
      </c>
      <c r="AB107">
        <v>91</v>
      </c>
    </row>
    <row r="108" spans="1:28" ht="21" customHeight="1">
      <c r="A108" s="39" t="s">
        <v>501</v>
      </c>
      <c r="B108" s="38" t="s">
        <v>323</v>
      </c>
      <c r="C108" s="56"/>
      <c r="D108" s="279"/>
      <c r="E108" s="260"/>
      <c r="F108" s="279">
        <v>3</v>
      </c>
      <c r="G108" s="260"/>
      <c r="H108" s="38">
        <f t="shared" si="6"/>
        <v>2163.5</v>
      </c>
      <c r="I108" s="7"/>
      <c r="T108" s="39"/>
      <c r="V108" s="150"/>
      <c r="W108" s="150"/>
      <c r="X108" s="150">
        <v>3</v>
      </c>
      <c r="Z108">
        <f t="shared" si="7"/>
        <v>-3</v>
      </c>
      <c r="AB108">
        <v>7</v>
      </c>
    </row>
    <row r="109" spans="1:28" ht="21" customHeight="1">
      <c r="A109" s="39" t="s">
        <v>359</v>
      </c>
      <c r="B109" s="38" t="s">
        <v>323</v>
      </c>
      <c r="C109" s="56"/>
      <c r="D109" s="279"/>
      <c r="E109" s="260"/>
      <c r="F109" s="279">
        <v>7</v>
      </c>
      <c r="G109" s="260"/>
      <c r="H109" s="38">
        <f t="shared" si="6"/>
        <v>2156.5</v>
      </c>
      <c r="I109" s="7"/>
      <c r="T109" s="39"/>
      <c r="V109" s="150"/>
      <c r="W109" s="150"/>
      <c r="X109" s="150">
        <v>15</v>
      </c>
      <c r="Z109">
        <f t="shared" si="7"/>
        <v>-15</v>
      </c>
      <c r="AB109">
        <v>3</v>
      </c>
    </row>
    <row r="110" spans="1:28" ht="21" customHeight="1">
      <c r="A110" s="39" t="s">
        <v>396</v>
      </c>
      <c r="B110" s="38" t="s">
        <v>323</v>
      </c>
      <c r="C110" s="56"/>
      <c r="D110" s="279"/>
      <c r="E110" s="260"/>
      <c r="F110" s="279">
        <v>59</v>
      </c>
      <c r="G110" s="260"/>
      <c r="H110" s="38">
        <f t="shared" si="6"/>
        <v>2097.5</v>
      </c>
      <c r="I110" s="7"/>
      <c r="T110" s="39"/>
      <c r="V110" s="150"/>
      <c r="W110" s="150"/>
      <c r="X110" s="150">
        <v>1.5</v>
      </c>
      <c r="Z110">
        <f t="shared" si="7"/>
        <v>-1.5</v>
      </c>
      <c r="AB110">
        <v>15</v>
      </c>
    </row>
    <row r="111" spans="1:28" ht="21" customHeight="1">
      <c r="A111" s="39" t="s">
        <v>360</v>
      </c>
      <c r="B111" s="38" t="s">
        <v>323</v>
      </c>
      <c r="C111" s="56"/>
      <c r="D111" s="279"/>
      <c r="E111" s="260"/>
      <c r="F111" s="279">
        <v>21</v>
      </c>
      <c r="G111" s="260"/>
      <c r="H111" s="38">
        <f t="shared" si="6"/>
        <v>2076.5</v>
      </c>
      <c r="I111" s="7"/>
      <c r="T111" s="39"/>
      <c r="V111" s="150"/>
      <c r="W111" s="150"/>
      <c r="X111" s="150">
        <v>33</v>
      </c>
      <c r="Z111">
        <f t="shared" si="7"/>
        <v>-33</v>
      </c>
      <c r="AB111">
        <v>1.5</v>
      </c>
    </row>
    <row r="112" spans="1:28" ht="21" customHeight="1">
      <c r="A112" s="39" t="s">
        <v>502</v>
      </c>
      <c r="B112" s="38" t="s">
        <v>323</v>
      </c>
      <c r="C112" s="56"/>
      <c r="D112" s="279"/>
      <c r="E112" s="260"/>
      <c r="F112" s="279">
        <v>38</v>
      </c>
      <c r="G112" s="260"/>
      <c r="H112" s="38">
        <f t="shared" si="6"/>
        <v>2038.5</v>
      </c>
      <c r="I112" s="7"/>
      <c r="T112" s="39"/>
      <c r="V112" s="150"/>
      <c r="W112" s="150"/>
      <c r="X112" s="150">
        <v>30</v>
      </c>
      <c r="Z112">
        <f t="shared" si="7"/>
        <v>-30</v>
      </c>
      <c r="AB112">
        <v>33</v>
      </c>
    </row>
    <row r="113" spans="1:28" ht="21" customHeight="1">
      <c r="A113" s="39" t="s">
        <v>503</v>
      </c>
      <c r="B113" s="38" t="s">
        <v>323</v>
      </c>
      <c r="C113" s="56"/>
      <c r="D113" s="279"/>
      <c r="E113" s="260"/>
      <c r="F113" s="279">
        <v>3</v>
      </c>
      <c r="G113" s="260"/>
      <c r="H113" s="38">
        <f t="shared" si="6"/>
        <v>2035.5</v>
      </c>
      <c r="I113" s="7"/>
      <c r="T113" s="39"/>
      <c r="V113" s="150"/>
      <c r="W113" s="150"/>
      <c r="X113" s="150">
        <v>30</v>
      </c>
      <c r="Z113">
        <f t="shared" si="7"/>
        <v>-30</v>
      </c>
      <c r="AB113">
        <v>30</v>
      </c>
    </row>
    <row r="114" spans="1:28" ht="21" customHeight="1">
      <c r="A114" s="39" t="s">
        <v>549</v>
      </c>
      <c r="B114" s="38" t="s">
        <v>323</v>
      </c>
      <c r="C114" s="56"/>
      <c r="D114" s="279"/>
      <c r="E114" s="260"/>
      <c r="F114" s="279">
        <v>28</v>
      </c>
      <c r="G114" s="260"/>
      <c r="H114" s="38">
        <f t="shared" si="6"/>
        <v>2007.5</v>
      </c>
      <c r="I114" s="7"/>
      <c r="T114" s="39"/>
      <c r="V114" s="150"/>
      <c r="W114" s="150"/>
      <c r="X114" s="150">
        <v>57.5</v>
      </c>
      <c r="Z114">
        <f t="shared" si="7"/>
        <v>-57.5</v>
      </c>
      <c r="AB114">
        <v>30</v>
      </c>
    </row>
    <row r="115" spans="1:28" ht="21" customHeight="1">
      <c r="A115" s="58" t="s">
        <v>361</v>
      </c>
      <c r="B115" s="38" t="s">
        <v>323</v>
      </c>
      <c r="C115" s="56"/>
      <c r="D115" s="279"/>
      <c r="E115" s="260"/>
      <c r="F115" s="279">
        <v>56</v>
      </c>
      <c r="G115" s="260"/>
      <c r="H115" s="38">
        <f t="shared" si="6"/>
        <v>1951.5</v>
      </c>
      <c r="I115" s="7"/>
      <c r="T115" s="39"/>
      <c r="V115" s="150"/>
      <c r="W115" s="150"/>
      <c r="X115" s="150">
        <v>29.5</v>
      </c>
      <c r="Z115">
        <f t="shared" si="7"/>
        <v>-29.5</v>
      </c>
      <c r="AB115">
        <v>57.5</v>
      </c>
    </row>
    <row r="116" spans="1:28" ht="21" customHeight="1">
      <c r="A116" s="39" t="s">
        <v>550</v>
      </c>
      <c r="B116" s="38" t="s">
        <v>323</v>
      </c>
      <c r="C116" s="56"/>
      <c r="D116" s="279"/>
      <c r="E116" s="260"/>
      <c r="F116" s="279">
        <v>1.5</v>
      </c>
      <c r="G116" s="260"/>
      <c r="H116" s="38">
        <f t="shared" si="6"/>
        <v>1950</v>
      </c>
      <c r="I116" s="7"/>
      <c r="T116" s="39"/>
      <c r="V116" s="150"/>
      <c r="W116" s="150"/>
      <c r="X116" s="150">
        <v>59</v>
      </c>
      <c r="Z116">
        <f t="shared" si="7"/>
        <v>-59</v>
      </c>
      <c r="AB116">
        <v>29.5</v>
      </c>
    </row>
    <row r="117" spans="1:28" ht="21" customHeight="1">
      <c r="A117" s="39" t="s">
        <v>551</v>
      </c>
      <c r="B117" s="38" t="s">
        <v>323</v>
      </c>
      <c r="C117" s="56"/>
      <c r="D117" s="279"/>
      <c r="E117" s="260"/>
      <c r="F117" s="279">
        <v>33</v>
      </c>
      <c r="G117" s="260"/>
      <c r="H117" s="38">
        <f t="shared" ref="H117:H139" si="8">H116-F117</f>
        <v>1917</v>
      </c>
      <c r="I117" s="7"/>
      <c r="T117" s="39"/>
      <c r="V117" s="150"/>
      <c r="W117" s="150"/>
      <c r="X117" s="150">
        <v>6.5</v>
      </c>
      <c r="Z117">
        <f t="shared" si="7"/>
        <v>-6.5</v>
      </c>
      <c r="AB117">
        <v>59</v>
      </c>
    </row>
    <row r="118" spans="1:28" ht="21" customHeight="1">
      <c r="A118" s="39" t="s">
        <v>362</v>
      </c>
      <c r="B118" s="38" t="s">
        <v>323</v>
      </c>
      <c r="C118" s="56"/>
      <c r="D118" s="279"/>
      <c r="E118" s="260"/>
      <c r="F118" s="279">
        <v>56</v>
      </c>
      <c r="G118" s="260"/>
      <c r="H118" s="38">
        <f t="shared" si="8"/>
        <v>1861</v>
      </c>
      <c r="I118" s="7"/>
      <c r="T118" s="39"/>
      <c r="V118" s="150"/>
      <c r="W118" s="150"/>
      <c r="X118" s="150">
        <v>6.5</v>
      </c>
      <c r="Z118">
        <f t="shared" si="7"/>
        <v>-6.5</v>
      </c>
      <c r="AB118">
        <v>6.5</v>
      </c>
    </row>
    <row r="119" spans="1:28" ht="21" customHeight="1">
      <c r="A119" s="39" t="s">
        <v>363</v>
      </c>
      <c r="B119" s="38" t="s">
        <v>323</v>
      </c>
      <c r="C119" s="56"/>
      <c r="D119" s="279"/>
      <c r="E119" s="260"/>
      <c r="F119" s="279">
        <v>3</v>
      </c>
      <c r="G119" s="260"/>
      <c r="H119" s="38">
        <f t="shared" si="8"/>
        <v>1858</v>
      </c>
      <c r="I119" s="7"/>
      <c r="T119" s="39"/>
      <c r="V119" s="150"/>
      <c r="W119" s="150"/>
      <c r="X119" s="150">
        <v>3</v>
      </c>
      <c r="Z119">
        <f t="shared" si="7"/>
        <v>-3</v>
      </c>
      <c r="AB119">
        <v>6.5</v>
      </c>
    </row>
    <row r="120" spans="1:28" ht="21" customHeight="1">
      <c r="A120" s="39" t="s">
        <v>506</v>
      </c>
      <c r="B120" s="38" t="s">
        <v>323</v>
      </c>
      <c r="C120" s="56"/>
      <c r="D120" s="279"/>
      <c r="E120" s="260"/>
      <c r="F120" s="279">
        <v>33</v>
      </c>
      <c r="G120" s="260"/>
      <c r="H120" s="38">
        <f t="shared" si="8"/>
        <v>1825</v>
      </c>
      <c r="I120" s="7"/>
      <c r="T120" s="39"/>
      <c r="V120" s="150"/>
      <c r="W120" s="150"/>
      <c r="X120" s="150">
        <v>3</v>
      </c>
      <c r="Z120">
        <f t="shared" si="7"/>
        <v>-3</v>
      </c>
      <c r="AB120">
        <v>3</v>
      </c>
    </row>
    <row r="121" spans="1:28" ht="21" customHeight="1">
      <c r="A121" s="39" t="s">
        <v>552</v>
      </c>
      <c r="B121" s="38" t="s">
        <v>323</v>
      </c>
      <c r="C121" s="56"/>
      <c r="D121" s="279"/>
      <c r="E121" s="260"/>
      <c r="F121" s="279">
        <v>88</v>
      </c>
      <c r="G121" s="260"/>
      <c r="H121" s="38">
        <f t="shared" si="8"/>
        <v>1737</v>
      </c>
      <c r="I121" s="7"/>
      <c r="T121" s="39"/>
      <c r="V121" s="150"/>
      <c r="W121" s="150"/>
      <c r="X121" s="150">
        <v>2.5</v>
      </c>
      <c r="Z121">
        <f t="shared" si="7"/>
        <v>-2.5</v>
      </c>
      <c r="AB121">
        <v>3</v>
      </c>
    </row>
    <row r="122" spans="1:28" ht="21" customHeight="1">
      <c r="A122" s="39" t="s">
        <v>451</v>
      </c>
      <c r="B122" s="38" t="s">
        <v>323</v>
      </c>
      <c r="C122" s="56"/>
      <c r="D122" s="279"/>
      <c r="E122" s="260"/>
      <c r="F122" s="279">
        <v>31</v>
      </c>
      <c r="G122" s="260"/>
      <c r="H122" s="38">
        <f t="shared" si="8"/>
        <v>1706</v>
      </c>
      <c r="I122" s="7"/>
      <c r="T122" s="39"/>
      <c r="V122" s="150"/>
      <c r="W122" s="150"/>
      <c r="X122" s="150">
        <v>70</v>
      </c>
      <c r="Z122">
        <f t="shared" ref="Z122:Z153" si="9">U122-X122</f>
        <v>-70</v>
      </c>
      <c r="AB122">
        <v>2.5</v>
      </c>
    </row>
    <row r="123" spans="1:28" ht="21" customHeight="1">
      <c r="A123" s="39" t="s">
        <v>554</v>
      </c>
      <c r="B123" s="38" t="s">
        <v>323</v>
      </c>
      <c r="C123" s="56"/>
      <c r="D123" s="279"/>
      <c r="E123" s="260"/>
      <c r="F123" s="279">
        <v>33</v>
      </c>
      <c r="G123" s="260"/>
      <c r="H123" s="38">
        <f t="shared" si="8"/>
        <v>1673</v>
      </c>
      <c r="I123" s="7"/>
      <c r="T123" s="39"/>
      <c r="V123" s="150"/>
      <c r="W123" s="150"/>
      <c r="X123" s="150">
        <v>3.5</v>
      </c>
      <c r="Z123">
        <f t="shared" si="9"/>
        <v>-3.5</v>
      </c>
      <c r="AB123">
        <v>70</v>
      </c>
    </row>
    <row r="124" spans="1:28" ht="21" customHeight="1">
      <c r="A124" s="39" t="s">
        <v>452</v>
      </c>
      <c r="B124" s="38" t="s">
        <v>323</v>
      </c>
      <c r="C124" s="56"/>
      <c r="D124" s="279"/>
      <c r="E124" s="260"/>
      <c r="F124" s="279">
        <v>8.5</v>
      </c>
      <c r="G124" s="260"/>
      <c r="H124" s="38">
        <f t="shared" si="8"/>
        <v>1664.5</v>
      </c>
      <c r="I124" s="7"/>
      <c r="T124" s="39"/>
      <c r="V124" s="150"/>
      <c r="W124" s="150"/>
      <c r="X124" s="150">
        <v>1.5</v>
      </c>
      <c r="Z124">
        <f t="shared" si="9"/>
        <v>-1.5</v>
      </c>
      <c r="AB124">
        <v>3.5</v>
      </c>
    </row>
    <row r="125" spans="1:28" ht="21" customHeight="1">
      <c r="A125" s="39" t="s">
        <v>454</v>
      </c>
      <c r="B125" s="38" t="s">
        <v>323</v>
      </c>
      <c r="C125" s="56"/>
      <c r="D125" s="279"/>
      <c r="E125" s="260"/>
      <c r="F125" s="279">
        <v>18.5</v>
      </c>
      <c r="G125" s="260"/>
      <c r="H125" s="38">
        <f t="shared" si="8"/>
        <v>1646</v>
      </c>
      <c r="I125" s="7"/>
      <c r="T125" s="39"/>
      <c r="V125" s="150"/>
      <c r="W125" s="150"/>
      <c r="X125" s="150">
        <v>3</v>
      </c>
      <c r="Z125">
        <f t="shared" si="9"/>
        <v>-3</v>
      </c>
      <c r="AB125">
        <v>1.5</v>
      </c>
    </row>
    <row r="126" spans="1:28" ht="21" customHeight="1">
      <c r="A126" s="39" t="s">
        <v>365</v>
      </c>
      <c r="B126" s="38" t="s">
        <v>323</v>
      </c>
      <c r="C126" s="56"/>
      <c r="D126" s="279"/>
      <c r="E126" s="260"/>
      <c r="F126" s="279">
        <v>35</v>
      </c>
      <c r="G126" s="260"/>
      <c r="H126" s="38">
        <f t="shared" si="8"/>
        <v>1611</v>
      </c>
      <c r="I126" s="7"/>
      <c r="T126" s="39"/>
      <c r="V126" s="150"/>
      <c r="W126" s="150"/>
      <c r="X126" s="150">
        <v>42</v>
      </c>
      <c r="Z126">
        <f t="shared" si="9"/>
        <v>-42</v>
      </c>
      <c r="AB126">
        <v>3</v>
      </c>
    </row>
    <row r="127" spans="1:28" ht="21" customHeight="1">
      <c r="A127" s="39" t="s">
        <v>399</v>
      </c>
      <c r="B127" s="38" t="s">
        <v>323</v>
      </c>
      <c r="C127" s="56"/>
      <c r="D127" s="279"/>
      <c r="E127" s="260"/>
      <c r="F127" s="279">
        <v>9</v>
      </c>
      <c r="G127" s="260"/>
      <c r="H127" s="38">
        <f t="shared" si="8"/>
        <v>1602</v>
      </c>
      <c r="I127" s="7"/>
      <c r="T127" s="39"/>
      <c r="V127" s="150"/>
      <c r="W127" s="150"/>
      <c r="X127" s="150">
        <v>6</v>
      </c>
      <c r="Z127">
        <f t="shared" si="9"/>
        <v>-6</v>
      </c>
      <c r="AB127">
        <v>42</v>
      </c>
    </row>
    <row r="128" spans="1:28" ht="21" customHeight="1">
      <c r="A128" s="39" t="s">
        <v>456</v>
      </c>
      <c r="B128" s="38" t="s">
        <v>323</v>
      </c>
      <c r="C128" s="56"/>
      <c r="D128" s="279"/>
      <c r="E128" s="260"/>
      <c r="F128" s="279">
        <v>7.5</v>
      </c>
      <c r="G128" s="260"/>
      <c r="H128" s="38">
        <f t="shared" si="8"/>
        <v>1594.5</v>
      </c>
      <c r="I128" s="7"/>
      <c r="T128" s="39"/>
      <c r="V128" s="150"/>
      <c r="W128" s="150"/>
      <c r="X128" s="150">
        <v>4</v>
      </c>
      <c r="Z128">
        <f t="shared" si="9"/>
        <v>-4</v>
      </c>
      <c r="AB128">
        <v>6</v>
      </c>
    </row>
    <row r="129" spans="1:28" ht="21" customHeight="1">
      <c r="A129" s="39" t="s">
        <v>507</v>
      </c>
      <c r="B129" s="38" t="s">
        <v>323</v>
      </c>
      <c r="C129" s="56"/>
      <c r="D129" s="279"/>
      <c r="E129" s="260"/>
      <c r="F129" s="279">
        <v>28</v>
      </c>
      <c r="G129" s="260"/>
      <c r="H129" s="38">
        <f t="shared" si="8"/>
        <v>1566.5</v>
      </c>
      <c r="I129" s="7"/>
      <c r="T129" s="39"/>
      <c r="V129" s="150"/>
      <c r="W129" s="150"/>
      <c r="X129" s="150">
        <v>143.5</v>
      </c>
      <c r="Z129">
        <f t="shared" si="9"/>
        <v>-143.5</v>
      </c>
      <c r="AB129">
        <v>4</v>
      </c>
    </row>
    <row r="130" spans="1:28" ht="21" customHeight="1">
      <c r="A130" s="39" t="s">
        <v>508</v>
      </c>
      <c r="B130" s="38" t="s">
        <v>323</v>
      </c>
      <c r="C130" s="56"/>
      <c r="D130" s="279"/>
      <c r="E130" s="260"/>
      <c r="F130" s="279">
        <v>20</v>
      </c>
      <c r="G130" s="260"/>
      <c r="H130" s="38">
        <f t="shared" si="8"/>
        <v>1546.5</v>
      </c>
      <c r="I130" s="7"/>
      <c r="T130" s="39"/>
      <c r="V130" s="150"/>
      <c r="W130" s="150"/>
      <c r="X130" s="150">
        <v>2</v>
      </c>
      <c r="Z130">
        <f t="shared" si="9"/>
        <v>-2</v>
      </c>
      <c r="AB130">
        <v>143.5</v>
      </c>
    </row>
    <row r="131" spans="1:28" ht="21" customHeight="1">
      <c r="A131" s="39" t="s">
        <v>587</v>
      </c>
      <c r="B131" s="38" t="s">
        <v>323</v>
      </c>
      <c r="C131" s="56"/>
      <c r="D131" s="279"/>
      <c r="E131" s="260"/>
      <c r="F131" s="279">
        <v>33.5</v>
      </c>
      <c r="G131" s="260"/>
      <c r="H131" s="38">
        <f t="shared" si="8"/>
        <v>1513</v>
      </c>
      <c r="I131" s="7"/>
      <c r="T131" s="39"/>
      <c r="V131" s="150"/>
      <c r="W131" s="150"/>
      <c r="X131" s="150">
        <v>3</v>
      </c>
      <c r="Z131">
        <f t="shared" si="9"/>
        <v>-3</v>
      </c>
      <c r="AB131">
        <v>2</v>
      </c>
    </row>
    <row r="132" spans="1:28" ht="21" customHeight="1">
      <c r="A132" s="39" t="s">
        <v>588</v>
      </c>
      <c r="B132" s="38" t="s">
        <v>323</v>
      </c>
      <c r="C132" s="56"/>
      <c r="D132" s="279"/>
      <c r="E132" s="260"/>
      <c r="F132" s="279">
        <v>59</v>
      </c>
      <c r="G132" s="260"/>
      <c r="H132" s="38">
        <f t="shared" si="8"/>
        <v>1454</v>
      </c>
      <c r="I132" s="7"/>
      <c r="T132" s="39"/>
      <c r="V132" s="150"/>
      <c r="W132" s="150"/>
      <c r="X132" s="150">
        <v>1.5</v>
      </c>
      <c r="Z132">
        <f t="shared" si="9"/>
        <v>-1.5</v>
      </c>
      <c r="AB132">
        <v>3</v>
      </c>
    </row>
    <row r="133" spans="1:28" ht="21" customHeight="1">
      <c r="A133" s="39" t="s">
        <v>511</v>
      </c>
      <c r="B133" s="38" t="s">
        <v>323</v>
      </c>
      <c r="C133" s="56"/>
      <c r="D133" s="279"/>
      <c r="E133" s="260"/>
      <c r="F133" s="279">
        <v>3</v>
      </c>
      <c r="G133" s="260"/>
      <c r="H133" s="38">
        <f t="shared" si="8"/>
        <v>1451</v>
      </c>
      <c r="I133" s="7"/>
      <c r="T133" s="39"/>
      <c r="V133" s="150"/>
      <c r="W133" s="150"/>
      <c r="X133" s="150">
        <v>34</v>
      </c>
      <c r="Z133">
        <f t="shared" si="9"/>
        <v>-34</v>
      </c>
      <c r="AB133">
        <v>1.5</v>
      </c>
    </row>
    <row r="134" spans="1:28" ht="21" customHeight="1">
      <c r="A134" s="39" t="s">
        <v>366</v>
      </c>
      <c r="B134" s="38" t="s">
        <v>323</v>
      </c>
      <c r="C134" s="56"/>
      <c r="D134" s="279"/>
      <c r="E134" s="260"/>
      <c r="F134" s="279">
        <v>1.5</v>
      </c>
      <c r="G134" s="260"/>
      <c r="H134" s="38">
        <f t="shared" si="8"/>
        <v>1449.5</v>
      </c>
      <c r="I134" s="7"/>
      <c r="T134" s="39"/>
      <c r="V134" s="150"/>
      <c r="W134" s="150"/>
      <c r="X134" s="150">
        <v>68</v>
      </c>
      <c r="Z134">
        <f t="shared" si="9"/>
        <v>-68</v>
      </c>
      <c r="AB134">
        <v>34</v>
      </c>
    </row>
    <row r="135" spans="1:28" ht="21" customHeight="1">
      <c r="A135" s="39" t="s">
        <v>367</v>
      </c>
      <c r="B135" s="38" t="s">
        <v>323</v>
      </c>
      <c r="C135" s="56"/>
      <c r="D135" s="279"/>
      <c r="E135" s="260"/>
      <c r="F135" s="279">
        <v>7</v>
      </c>
      <c r="G135" s="260"/>
      <c r="H135" s="38">
        <f t="shared" si="8"/>
        <v>1442.5</v>
      </c>
      <c r="I135" s="7"/>
      <c r="T135" s="39"/>
      <c r="V135" s="150"/>
      <c r="W135" s="150"/>
      <c r="X135" s="150">
        <v>4</v>
      </c>
      <c r="Z135">
        <f t="shared" si="9"/>
        <v>-4</v>
      </c>
      <c r="AB135">
        <v>68</v>
      </c>
    </row>
    <row r="136" spans="1:28" ht="21" customHeight="1">
      <c r="A136" s="103" t="s">
        <v>512</v>
      </c>
      <c r="B136" s="38" t="s">
        <v>323</v>
      </c>
      <c r="C136" s="56"/>
      <c r="D136" s="279"/>
      <c r="E136" s="260"/>
      <c r="F136" s="279">
        <v>51.5</v>
      </c>
      <c r="G136" s="260"/>
      <c r="H136" s="38">
        <f t="shared" si="8"/>
        <v>1391</v>
      </c>
      <c r="I136" s="7"/>
      <c r="T136" s="39"/>
      <c r="V136" s="150"/>
      <c r="W136" s="150"/>
      <c r="X136" s="150">
        <v>14</v>
      </c>
      <c r="Z136">
        <f t="shared" si="9"/>
        <v>-14</v>
      </c>
      <c r="AB136">
        <v>4</v>
      </c>
    </row>
    <row r="137" spans="1:28" ht="21" customHeight="1">
      <c r="A137" s="39" t="s">
        <v>659</v>
      </c>
      <c r="B137" s="38" t="s">
        <v>323</v>
      </c>
      <c r="C137" s="56"/>
      <c r="D137" s="279"/>
      <c r="E137" s="260"/>
      <c r="F137" s="279">
        <v>4.5</v>
      </c>
      <c r="G137" s="260"/>
      <c r="H137" s="38">
        <f t="shared" si="8"/>
        <v>1386.5</v>
      </c>
      <c r="I137" s="7"/>
      <c r="T137" s="39"/>
      <c r="V137" s="150"/>
      <c r="W137" s="150"/>
      <c r="X137" s="150">
        <v>47</v>
      </c>
      <c r="Z137">
        <f t="shared" si="9"/>
        <v>-47</v>
      </c>
      <c r="AB137">
        <v>14</v>
      </c>
    </row>
    <row r="138" spans="1:28" ht="21" customHeight="1">
      <c r="A138" s="39" t="s">
        <v>368</v>
      </c>
      <c r="B138" s="38" t="s">
        <v>323</v>
      </c>
      <c r="C138" s="56"/>
      <c r="D138" s="279"/>
      <c r="E138" s="260"/>
      <c r="F138" s="279">
        <v>33</v>
      </c>
      <c r="G138" s="260"/>
      <c r="H138" s="38">
        <f t="shared" si="8"/>
        <v>1353.5</v>
      </c>
      <c r="I138" s="7"/>
      <c r="T138" s="39"/>
      <c r="V138" s="150"/>
      <c r="W138" s="150"/>
      <c r="X138" s="150">
        <v>32.5</v>
      </c>
      <c r="Z138">
        <f t="shared" si="9"/>
        <v>-32.5</v>
      </c>
      <c r="AB138">
        <v>47</v>
      </c>
    </row>
    <row r="139" spans="1:28" ht="21" customHeight="1">
      <c r="A139" s="39" t="s">
        <v>626</v>
      </c>
      <c r="B139" s="38" t="s">
        <v>323</v>
      </c>
      <c r="C139" s="56"/>
      <c r="D139" s="279"/>
      <c r="E139" s="260"/>
      <c r="F139" s="279">
        <v>52</v>
      </c>
      <c r="G139" s="260"/>
      <c r="H139" s="38">
        <f t="shared" si="8"/>
        <v>1301.5</v>
      </c>
      <c r="I139" s="7"/>
      <c r="T139" s="39"/>
      <c r="V139" s="150"/>
      <c r="W139" s="150"/>
      <c r="X139" s="150">
        <v>1.5</v>
      </c>
      <c r="Z139">
        <f t="shared" si="9"/>
        <v>-1.5</v>
      </c>
      <c r="AB139">
        <v>32.5</v>
      </c>
    </row>
    <row r="140" spans="1:28" ht="21" customHeight="1">
      <c r="A140" s="39" t="s">
        <v>369</v>
      </c>
      <c r="B140" s="38" t="s">
        <v>324</v>
      </c>
      <c r="C140" s="56">
        <v>1500</v>
      </c>
      <c r="D140" s="279" t="s">
        <v>660</v>
      </c>
      <c r="E140" s="260"/>
      <c r="F140" s="279"/>
      <c r="G140" s="260"/>
      <c r="H140" s="38">
        <v>2801.5</v>
      </c>
      <c r="I140" s="7" t="s">
        <v>649</v>
      </c>
      <c r="T140" s="39"/>
      <c r="V140" s="150"/>
      <c r="W140" s="150"/>
      <c r="X140" s="150">
        <v>6.5</v>
      </c>
      <c r="Z140">
        <f t="shared" si="9"/>
        <v>-6.5</v>
      </c>
      <c r="AB140">
        <v>1.5</v>
      </c>
    </row>
    <row r="141" spans="1:28" ht="21" customHeight="1">
      <c r="A141" s="41" t="s">
        <v>661</v>
      </c>
      <c r="B141" s="38" t="s">
        <v>323</v>
      </c>
      <c r="C141" s="56"/>
      <c r="D141" s="279"/>
      <c r="E141" s="260"/>
      <c r="F141" s="279">
        <v>84</v>
      </c>
      <c r="G141" s="260"/>
      <c r="H141" s="38">
        <f>H140-F141</f>
        <v>2717.5</v>
      </c>
      <c r="I141" s="7"/>
      <c r="T141" s="39"/>
      <c r="V141" s="150"/>
      <c r="W141" s="150"/>
      <c r="X141" s="150">
        <v>18.5</v>
      </c>
      <c r="Z141">
        <f t="shared" si="9"/>
        <v>-18.5</v>
      </c>
      <c r="AB141">
        <v>6.5</v>
      </c>
    </row>
    <row r="142" spans="1:28" ht="21" customHeight="1">
      <c r="A142" s="41" t="s">
        <v>421</v>
      </c>
      <c r="B142" s="38" t="s">
        <v>323</v>
      </c>
      <c r="C142" s="56"/>
      <c r="D142" s="279"/>
      <c r="E142" s="260"/>
      <c r="F142" s="279">
        <v>15</v>
      </c>
      <c r="G142" s="260"/>
      <c r="H142" s="38">
        <f>H141-F142</f>
        <v>2702.5</v>
      </c>
      <c r="I142" s="7"/>
      <c r="T142" s="39"/>
      <c r="V142" s="150"/>
      <c r="W142" s="150"/>
      <c r="X142" s="150">
        <v>31</v>
      </c>
      <c r="Z142">
        <f t="shared" si="9"/>
        <v>-31</v>
      </c>
      <c r="AB142">
        <v>18.5</v>
      </c>
    </row>
    <row r="143" spans="1:28" ht="21" customHeight="1">
      <c r="A143" s="41" t="s">
        <v>370</v>
      </c>
      <c r="B143" s="38" t="s">
        <v>323</v>
      </c>
      <c r="C143" s="56"/>
      <c r="D143" s="279"/>
      <c r="E143" s="260"/>
      <c r="F143" s="279">
        <v>3</v>
      </c>
      <c r="G143" s="260"/>
      <c r="H143" s="38">
        <f>H142-F143</f>
        <v>2699.5</v>
      </c>
      <c r="I143" s="7"/>
      <c r="T143" s="103"/>
      <c r="V143" s="150"/>
      <c r="W143" s="150"/>
      <c r="X143" s="150">
        <v>58.5</v>
      </c>
      <c r="Z143">
        <f t="shared" si="9"/>
        <v>-58.5</v>
      </c>
      <c r="AB143">
        <v>31</v>
      </c>
    </row>
    <row r="144" spans="1:28" ht="21" customHeight="1">
      <c r="A144" s="39"/>
      <c r="B144" s="38"/>
      <c r="C144" s="56"/>
      <c r="D144" s="279"/>
      <c r="E144" s="260"/>
      <c r="F144" s="279"/>
      <c r="G144" s="260"/>
      <c r="H144" s="38"/>
      <c r="I144" s="7"/>
      <c r="T144" s="39"/>
      <c r="V144" s="150"/>
      <c r="W144" s="150"/>
      <c r="X144" s="150">
        <v>4</v>
      </c>
      <c r="Z144">
        <f t="shared" si="9"/>
        <v>-4</v>
      </c>
      <c r="AB144">
        <v>58.5</v>
      </c>
    </row>
    <row r="145" spans="1:28" ht="21" customHeight="1">
      <c r="A145" s="41"/>
      <c r="B145" s="38"/>
      <c r="C145" s="56"/>
      <c r="D145" s="279"/>
      <c r="E145" s="260"/>
      <c r="F145" s="279"/>
      <c r="G145" s="260"/>
      <c r="H145" s="38"/>
      <c r="I145" s="7"/>
      <c r="T145" s="39"/>
      <c r="V145" s="150"/>
      <c r="W145" s="150"/>
      <c r="X145" s="150">
        <v>30</v>
      </c>
      <c r="Z145">
        <f t="shared" si="9"/>
        <v>-30</v>
      </c>
      <c r="AB145">
        <v>4</v>
      </c>
    </row>
    <row r="146" spans="1:28" ht="21" customHeight="1">
      <c r="A146" s="39"/>
      <c r="B146" s="38"/>
      <c r="C146" s="56"/>
      <c r="D146" s="279"/>
      <c r="E146" s="260"/>
      <c r="F146" s="279"/>
      <c r="G146" s="260"/>
      <c r="H146" s="38"/>
      <c r="I146" s="7"/>
      <c r="T146" s="39"/>
      <c r="V146" s="150"/>
      <c r="W146" s="150"/>
      <c r="X146" s="150">
        <v>3</v>
      </c>
      <c r="Z146">
        <f t="shared" si="9"/>
        <v>-3</v>
      </c>
      <c r="AB146">
        <v>30</v>
      </c>
    </row>
    <row r="147" spans="1:28" ht="21" customHeight="1">
      <c r="A147" s="41"/>
      <c r="B147" s="38"/>
      <c r="C147" s="56"/>
      <c r="D147" s="279"/>
      <c r="E147" s="260"/>
      <c r="F147" s="279"/>
      <c r="G147" s="260"/>
      <c r="H147" s="38"/>
      <c r="I147" s="7"/>
      <c r="T147" s="39"/>
      <c r="V147" s="150"/>
      <c r="W147" s="150"/>
      <c r="X147" s="150">
        <v>5.5</v>
      </c>
      <c r="Z147">
        <f t="shared" si="9"/>
        <v>-5.5</v>
      </c>
      <c r="AB147">
        <v>3</v>
      </c>
    </row>
    <row r="148" spans="1:28" ht="21" customHeight="1">
      <c r="A148" s="41"/>
      <c r="B148" s="38"/>
      <c r="C148" s="56"/>
      <c r="D148" s="279"/>
      <c r="E148" s="260"/>
      <c r="F148" s="279"/>
      <c r="G148" s="260"/>
      <c r="H148" s="38"/>
      <c r="I148" s="7"/>
      <c r="T148" s="41"/>
      <c r="V148" s="150"/>
      <c r="W148" s="150"/>
      <c r="X148" s="150">
        <v>57.5</v>
      </c>
      <c r="Z148">
        <f t="shared" si="9"/>
        <v>-57.5</v>
      </c>
      <c r="AB148">
        <v>5.5</v>
      </c>
    </row>
    <row r="149" spans="1:28" ht="21" customHeight="1">
      <c r="A149" s="41"/>
      <c r="B149" s="38"/>
      <c r="C149" s="56"/>
      <c r="D149" s="279"/>
      <c r="E149" s="260"/>
      <c r="F149" s="279"/>
      <c r="G149" s="260"/>
      <c r="H149" s="38"/>
      <c r="I149" s="7"/>
      <c r="T149" s="41"/>
      <c r="V149" s="150"/>
      <c r="W149" s="150"/>
      <c r="X149" s="150">
        <v>1.5</v>
      </c>
      <c r="Z149">
        <f t="shared" si="9"/>
        <v>-1.5</v>
      </c>
      <c r="AB149">
        <v>57.5</v>
      </c>
    </row>
    <row r="150" spans="1:28" ht="21" customHeight="1">
      <c r="A150" s="41"/>
      <c r="B150" s="38"/>
      <c r="C150" s="56"/>
      <c r="D150" s="279"/>
      <c r="E150" s="260"/>
      <c r="F150" s="279"/>
      <c r="G150" s="260"/>
      <c r="H150" s="38"/>
      <c r="I150" s="7"/>
      <c r="T150" s="41"/>
      <c r="V150" s="150"/>
      <c r="W150" s="150"/>
      <c r="X150" s="150">
        <v>60.5</v>
      </c>
      <c r="Z150">
        <f t="shared" si="9"/>
        <v>-60.5</v>
      </c>
      <c r="AB150">
        <v>1.5</v>
      </c>
    </row>
    <row r="151" spans="1:28" ht="21" customHeight="1">
      <c r="A151" s="39"/>
      <c r="B151" s="38"/>
      <c r="C151" s="56"/>
      <c r="D151" s="279"/>
      <c r="E151" s="260"/>
      <c r="F151" s="279"/>
      <c r="G151" s="260"/>
      <c r="H151" s="38"/>
      <c r="I151" s="7"/>
      <c r="T151" s="39"/>
      <c r="V151" s="150"/>
      <c r="W151" s="150"/>
      <c r="X151" s="150">
        <v>8.5</v>
      </c>
      <c r="Z151">
        <f t="shared" si="9"/>
        <v>-8.5</v>
      </c>
      <c r="AB151">
        <v>60.5</v>
      </c>
    </row>
    <row r="152" spans="1:28" ht="21" customHeight="1">
      <c r="A152" s="41"/>
      <c r="B152" s="38"/>
      <c r="C152" s="56"/>
      <c r="D152" s="279"/>
      <c r="E152" s="260"/>
      <c r="F152" s="279"/>
      <c r="G152" s="260"/>
      <c r="H152" s="38"/>
      <c r="I152" s="7"/>
      <c r="T152" s="41"/>
      <c r="V152" s="150"/>
      <c r="W152" s="150"/>
      <c r="X152" s="150">
        <v>44</v>
      </c>
      <c r="Z152">
        <f t="shared" si="9"/>
        <v>-44</v>
      </c>
      <c r="AB152">
        <v>8.5</v>
      </c>
    </row>
    <row r="153" spans="1:28" ht="21" customHeight="1">
      <c r="A153" s="41"/>
      <c r="B153" s="38"/>
      <c r="C153" s="56"/>
      <c r="D153" s="279"/>
      <c r="E153" s="260"/>
      <c r="F153" s="279"/>
      <c r="G153" s="260"/>
      <c r="H153" s="38"/>
      <c r="I153" s="7"/>
      <c r="T153" s="39"/>
      <c r="V153" s="150"/>
      <c r="W153" s="150"/>
      <c r="X153" s="150">
        <v>70</v>
      </c>
      <c r="Z153">
        <f t="shared" si="9"/>
        <v>-70</v>
      </c>
      <c r="AB153">
        <v>44</v>
      </c>
    </row>
    <row r="154" spans="1:28" ht="21" customHeight="1">
      <c r="A154" s="39"/>
      <c r="B154" s="38"/>
      <c r="C154" s="56"/>
      <c r="D154" s="279"/>
      <c r="E154" s="260"/>
      <c r="F154" s="279"/>
      <c r="G154" s="260"/>
      <c r="H154" s="38"/>
      <c r="I154" s="7"/>
      <c r="T154" s="41"/>
      <c r="V154" s="150"/>
      <c r="W154" s="150"/>
      <c r="X154" s="150">
        <v>1.5</v>
      </c>
      <c r="Z154">
        <f t="shared" ref="Z154:Z172" si="10">U154-X154</f>
        <v>-1.5</v>
      </c>
      <c r="AB154">
        <v>70</v>
      </c>
    </row>
    <row r="155" spans="1:28" ht="21" customHeight="1">
      <c r="A155" s="39"/>
      <c r="B155" s="38"/>
      <c r="C155" s="56"/>
      <c r="D155" s="279"/>
      <c r="E155" s="260"/>
      <c r="F155" s="279"/>
      <c r="G155" s="260"/>
      <c r="H155" s="38"/>
      <c r="I155" s="7"/>
      <c r="T155" s="41"/>
      <c r="V155" s="150"/>
      <c r="W155" s="150"/>
      <c r="X155" s="150">
        <v>1.5</v>
      </c>
      <c r="Z155">
        <f t="shared" si="10"/>
        <v>-1.5</v>
      </c>
      <c r="AB155">
        <v>1.5</v>
      </c>
    </row>
    <row r="156" spans="1:28" ht="21" customHeight="1">
      <c r="A156" s="41"/>
      <c r="B156" s="38"/>
      <c r="C156" s="56"/>
      <c r="D156" s="279"/>
      <c r="E156" s="260"/>
      <c r="F156" s="279"/>
      <c r="G156" s="260"/>
      <c r="H156" s="38"/>
      <c r="I156" s="7"/>
      <c r="T156" s="41"/>
      <c r="V156" s="150"/>
      <c r="W156" s="150"/>
      <c r="X156" s="150">
        <v>30</v>
      </c>
      <c r="Z156">
        <f t="shared" si="10"/>
        <v>-30</v>
      </c>
      <c r="AB156">
        <v>1.5</v>
      </c>
    </row>
    <row r="157" spans="1:28" ht="21" customHeight="1">
      <c r="A157" s="39"/>
      <c r="B157" s="38"/>
      <c r="C157" s="56"/>
      <c r="D157" s="279"/>
      <c r="E157" s="260"/>
      <c r="F157" s="279"/>
      <c r="G157" s="260"/>
      <c r="H157" s="38"/>
      <c r="I157" s="7"/>
      <c r="T157" s="41"/>
      <c r="V157" s="150"/>
      <c r="W157" s="150"/>
      <c r="X157" s="150">
        <v>3</v>
      </c>
      <c r="Z157">
        <f t="shared" si="10"/>
        <v>-3</v>
      </c>
      <c r="AB157">
        <v>30</v>
      </c>
    </row>
    <row r="158" spans="1:28" ht="21" customHeight="1">
      <c r="A158" s="41"/>
      <c r="B158" s="38"/>
      <c r="C158" s="56"/>
      <c r="D158" s="279"/>
      <c r="E158" s="260"/>
      <c r="F158" s="279"/>
      <c r="G158" s="260"/>
      <c r="H158" s="38"/>
      <c r="I158" s="7"/>
      <c r="T158" s="39"/>
      <c r="V158" s="150"/>
      <c r="W158" s="150"/>
      <c r="X158" s="150">
        <v>88</v>
      </c>
      <c r="Z158">
        <f t="shared" si="10"/>
        <v>-88</v>
      </c>
      <c r="AB158">
        <v>3</v>
      </c>
    </row>
    <row r="159" spans="1:28" ht="21" customHeight="1">
      <c r="A159" s="39"/>
      <c r="B159" s="38"/>
      <c r="C159" s="56"/>
      <c r="D159" s="279"/>
      <c r="E159" s="260"/>
      <c r="F159" s="279"/>
      <c r="G159" s="260"/>
      <c r="H159" s="38"/>
      <c r="I159" s="7"/>
      <c r="T159" s="41"/>
      <c r="V159" s="150"/>
      <c r="W159" s="150"/>
      <c r="X159" s="150">
        <v>2.5</v>
      </c>
      <c r="Z159">
        <f t="shared" si="10"/>
        <v>-2.5</v>
      </c>
      <c r="AB159">
        <v>88</v>
      </c>
    </row>
    <row r="160" spans="1:28" ht="21" customHeight="1">
      <c r="A160" s="41"/>
      <c r="B160" s="38"/>
      <c r="C160" s="56"/>
      <c r="D160" s="279"/>
      <c r="E160" s="260"/>
      <c r="F160" s="279"/>
      <c r="G160" s="260"/>
      <c r="H160" s="38"/>
      <c r="I160" s="7"/>
      <c r="T160" s="41"/>
      <c r="V160" s="150"/>
      <c r="W160" s="150"/>
      <c r="X160" s="150">
        <v>59.5</v>
      </c>
      <c r="Z160">
        <f t="shared" si="10"/>
        <v>-59.5</v>
      </c>
      <c r="AB160">
        <v>2.5</v>
      </c>
    </row>
    <row r="161" spans="1:28" ht="21" customHeight="1">
      <c r="A161" s="41"/>
      <c r="B161" s="38"/>
      <c r="C161" s="56"/>
      <c r="D161" s="279"/>
      <c r="E161" s="260"/>
      <c r="F161" s="279"/>
      <c r="G161" s="260"/>
      <c r="H161" s="38"/>
      <c r="I161" s="7"/>
      <c r="T161" s="39"/>
      <c r="V161" s="150"/>
      <c r="W161" s="150"/>
      <c r="X161" s="150">
        <v>4.5</v>
      </c>
      <c r="Z161">
        <f t="shared" si="10"/>
        <v>-4.5</v>
      </c>
      <c r="AB161">
        <v>59.5</v>
      </c>
    </row>
    <row r="162" spans="1:28" ht="21" customHeight="1">
      <c r="A162" s="41"/>
      <c r="B162" s="38"/>
      <c r="C162" s="56"/>
      <c r="D162" s="279"/>
      <c r="E162" s="260"/>
      <c r="F162" s="279"/>
      <c r="G162" s="260"/>
      <c r="H162" s="38"/>
      <c r="I162" s="7"/>
      <c r="T162" s="39"/>
      <c r="V162" s="150"/>
      <c r="W162" s="150"/>
      <c r="X162" s="150">
        <v>15.5</v>
      </c>
      <c r="Z162">
        <f t="shared" si="10"/>
        <v>-15.5</v>
      </c>
      <c r="AB162">
        <v>4.5</v>
      </c>
    </row>
    <row r="163" spans="1:28" ht="21" customHeight="1">
      <c r="A163" s="39"/>
      <c r="B163" s="38"/>
      <c r="C163" s="56"/>
      <c r="D163" s="279"/>
      <c r="E163" s="260"/>
      <c r="F163" s="279"/>
      <c r="G163" s="260"/>
      <c r="H163" s="38"/>
      <c r="I163" s="7"/>
      <c r="T163" s="41"/>
      <c r="V163" s="150"/>
      <c r="W163" s="150"/>
      <c r="X163" s="150">
        <v>1.5</v>
      </c>
      <c r="Z163">
        <f t="shared" si="10"/>
        <v>-1.5</v>
      </c>
      <c r="AB163">
        <v>15.5</v>
      </c>
    </row>
    <row r="164" spans="1:28" ht="21" customHeight="1">
      <c r="A164" s="41"/>
      <c r="B164" s="38"/>
      <c r="C164" s="56"/>
      <c r="D164" s="279"/>
      <c r="E164" s="260"/>
      <c r="F164" s="279"/>
      <c r="G164" s="260"/>
      <c r="H164" s="38"/>
      <c r="I164" s="7"/>
      <c r="T164" s="39"/>
      <c r="V164" s="150"/>
      <c r="W164" s="150"/>
      <c r="X164" s="150">
        <v>1.5</v>
      </c>
      <c r="Z164">
        <f t="shared" si="10"/>
        <v>-1.5</v>
      </c>
      <c r="AB164">
        <v>1.5</v>
      </c>
    </row>
    <row r="165" spans="1:28" ht="21" customHeight="1">
      <c r="A165" s="41"/>
      <c r="B165" s="38"/>
      <c r="C165" s="56"/>
      <c r="D165" s="279"/>
      <c r="E165" s="260"/>
      <c r="F165" s="279"/>
      <c r="G165" s="260"/>
      <c r="H165" s="38"/>
      <c r="I165" s="7"/>
      <c r="T165" s="41"/>
      <c r="V165" s="150"/>
      <c r="W165" s="150"/>
      <c r="X165" s="150">
        <v>59</v>
      </c>
      <c r="Z165">
        <f t="shared" si="10"/>
        <v>-59</v>
      </c>
      <c r="AB165">
        <v>1.5</v>
      </c>
    </row>
    <row r="166" spans="1:28" ht="21" customHeight="1">
      <c r="A166" s="41"/>
      <c r="B166" s="38"/>
      <c r="C166" s="56"/>
      <c r="D166" s="279"/>
      <c r="E166" s="260"/>
      <c r="F166" s="279"/>
      <c r="G166" s="260"/>
      <c r="H166" s="38"/>
      <c r="I166" s="7"/>
      <c r="T166" s="39"/>
      <c r="V166" s="150"/>
      <c r="W166" s="150"/>
      <c r="X166" s="150">
        <v>11.5</v>
      </c>
      <c r="Z166">
        <f t="shared" si="10"/>
        <v>-11.5</v>
      </c>
      <c r="AB166">
        <v>59</v>
      </c>
    </row>
    <row r="167" spans="1:28" ht="21" customHeight="1">
      <c r="A167" s="41"/>
      <c r="B167" s="38"/>
      <c r="C167" s="56"/>
      <c r="D167" s="279"/>
      <c r="E167" s="260"/>
      <c r="F167" s="279"/>
      <c r="G167" s="260"/>
      <c r="H167" s="38"/>
      <c r="I167" s="7"/>
      <c r="T167" s="41"/>
      <c r="V167" s="150"/>
      <c r="W167" s="150"/>
      <c r="X167" s="150">
        <v>1.5</v>
      </c>
      <c r="Z167">
        <f t="shared" si="10"/>
        <v>-1.5</v>
      </c>
      <c r="AB167">
        <v>11.5</v>
      </c>
    </row>
    <row r="168" spans="1:28" ht="21" customHeight="1">
      <c r="A168" s="39"/>
      <c r="B168" s="38"/>
      <c r="C168" s="56"/>
      <c r="D168" s="279"/>
      <c r="E168" s="260"/>
      <c r="F168" s="279"/>
      <c r="G168" s="260"/>
      <c r="H168" s="38"/>
      <c r="I168" s="7"/>
      <c r="T168" s="41"/>
      <c r="V168" s="150"/>
      <c r="W168" s="150"/>
      <c r="X168" s="150">
        <v>2.5</v>
      </c>
      <c r="Z168">
        <f t="shared" si="10"/>
        <v>-2.5</v>
      </c>
      <c r="AB168">
        <v>1.5</v>
      </c>
    </row>
    <row r="169" spans="1:28" ht="21" customHeight="1">
      <c r="A169" s="41"/>
      <c r="B169" s="38"/>
      <c r="C169" s="56"/>
      <c r="D169" s="279"/>
      <c r="E169" s="260"/>
      <c r="F169" s="279"/>
      <c r="G169" s="260"/>
      <c r="H169" s="38"/>
      <c r="I169" s="7"/>
      <c r="T169" s="41"/>
      <c r="V169" s="150"/>
      <c r="W169" s="150"/>
      <c r="X169" s="150">
        <v>14</v>
      </c>
      <c r="Z169">
        <f t="shared" si="10"/>
        <v>-14</v>
      </c>
      <c r="AB169">
        <v>2.5</v>
      </c>
    </row>
    <row r="170" spans="1:28" ht="21" customHeight="1">
      <c r="A170" s="39"/>
      <c r="B170" s="38"/>
      <c r="C170" s="56"/>
      <c r="D170" s="279"/>
      <c r="E170" s="260"/>
      <c r="F170" s="279"/>
      <c r="G170" s="260"/>
      <c r="H170" s="38"/>
      <c r="I170" s="7"/>
      <c r="T170" s="39"/>
      <c r="V170" s="150"/>
      <c r="W170" s="150"/>
      <c r="X170" s="150">
        <v>15.5</v>
      </c>
      <c r="Z170">
        <f t="shared" si="10"/>
        <v>-15.5</v>
      </c>
      <c r="AB170">
        <v>14</v>
      </c>
    </row>
    <row r="171" spans="1:28" ht="21" customHeight="1">
      <c r="A171" s="41"/>
      <c r="B171" s="38"/>
      <c r="C171" s="56"/>
      <c r="D171" s="279"/>
      <c r="E171" s="260"/>
      <c r="F171" s="279"/>
      <c r="G171" s="260"/>
      <c r="H171" s="38"/>
      <c r="I171" s="7"/>
      <c r="T171" s="41"/>
      <c r="V171" s="150"/>
      <c r="W171" s="150"/>
      <c r="X171" s="150">
        <v>19</v>
      </c>
      <c r="Z171">
        <f t="shared" si="10"/>
        <v>-19</v>
      </c>
      <c r="AB171">
        <v>15.5</v>
      </c>
    </row>
    <row r="172" spans="1:28" ht="21" customHeight="1">
      <c r="A172" s="41"/>
      <c r="B172" s="38"/>
      <c r="C172" s="56"/>
      <c r="D172" s="279"/>
      <c r="E172" s="260"/>
      <c r="F172" s="279"/>
      <c r="G172" s="260"/>
      <c r="H172" s="38"/>
      <c r="I172" s="7"/>
      <c r="T172" s="41"/>
      <c r="V172" s="150"/>
      <c r="W172" s="150"/>
      <c r="X172" s="150">
        <v>89</v>
      </c>
      <c r="Z172">
        <f t="shared" si="10"/>
        <v>-89</v>
      </c>
      <c r="AB172">
        <v>19</v>
      </c>
    </row>
    <row r="173" spans="1:28" ht="21" customHeight="1">
      <c r="A173" s="39"/>
      <c r="B173" s="38"/>
      <c r="C173" s="56"/>
      <c r="D173" s="279"/>
      <c r="E173" s="260"/>
      <c r="F173" s="279"/>
      <c r="G173" s="260"/>
      <c r="H173" s="38"/>
      <c r="I173" s="7"/>
      <c r="AB173">
        <v>89</v>
      </c>
    </row>
    <row r="174" spans="1:28" ht="21" customHeight="1">
      <c r="A174" s="41"/>
      <c r="B174" s="38"/>
      <c r="C174" s="56"/>
      <c r="D174" s="279"/>
      <c r="E174" s="260"/>
      <c r="F174" s="279"/>
      <c r="G174" s="260"/>
      <c r="H174" s="38"/>
      <c r="I174" s="7"/>
    </row>
    <row r="175" spans="1:28" ht="21" customHeight="1">
      <c r="A175" s="39"/>
      <c r="B175" s="38"/>
      <c r="C175" s="56"/>
      <c r="D175" s="279"/>
      <c r="E175" s="260"/>
      <c r="F175" s="279"/>
      <c r="G175" s="260"/>
      <c r="H175" s="38"/>
      <c r="I175" s="7"/>
    </row>
    <row r="176" spans="1:28" ht="21" customHeight="1">
      <c r="A176" s="39"/>
      <c r="B176" s="38"/>
      <c r="C176" s="56"/>
      <c r="D176" s="279"/>
      <c r="E176" s="260"/>
      <c r="F176" s="279"/>
      <c r="G176" s="260"/>
      <c r="H176" s="38"/>
      <c r="I176" s="7"/>
    </row>
    <row r="177" spans="1:9" ht="21" customHeight="1">
      <c r="A177" s="39"/>
      <c r="B177" s="38"/>
      <c r="C177" s="56"/>
      <c r="D177" s="279"/>
      <c r="E177" s="260"/>
      <c r="F177" s="279"/>
      <c r="G177" s="260"/>
      <c r="H177" s="38"/>
      <c r="I177" s="7"/>
    </row>
    <row r="178" spans="1:9" ht="21" customHeight="1">
      <c r="A178" s="41"/>
      <c r="B178" s="38"/>
      <c r="C178" s="56"/>
      <c r="D178" s="279"/>
      <c r="E178" s="260"/>
      <c r="F178" s="279"/>
      <c r="G178" s="260"/>
      <c r="H178" s="38"/>
      <c r="I178" s="7"/>
    </row>
    <row r="179" spans="1:9">
      <c r="A179" s="41"/>
      <c r="B179" s="38"/>
      <c r="C179" s="56"/>
      <c r="D179" s="279"/>
      <c r="E179" s="260"/>
      <c r="F179" s="279"/>
      <c r="G179" s="260"/>
      <c r="H179" s="38"/>
      <c r="I179" s="91"/>
    </row>
    <row r="180" spans="1:9" ht="21" customHeight="1">
      <c r="A180" s="41"/>
      <c r="B180" s="38"/>
      <c r="C180" s="56"/>
      <c r="D180" s="279"/>
      <c r="E180" s="260"/>
      <c r="F180" s="279"/>
      <c r="G180" s="260"/>
      <c r="H180" s="38"/>
      <c r="I180" s="7"/>
    </row>
    <row r="181" spans="1:9" ht="21" customHeight="1">
      <c r="A181" s="41"/>
      <c r="B181" s="38"/>
      <c r="C181" s="56"/>
      <c r="D181" s="279"/>
      <c r="E181" s="260"/>
      <c r="F181" s="279"/>
      <c r="G181" s="260"/>
      <c r="H181" s="38"/>
      <c r="I181" s="7"/>
    </row>
    <row r="182" spans="1:9" ht="21" customHeight="1">
      <c r="A182" s="39"/>
      <c r="B182" s="38"/>
      <c r="C182" s="56"/>
      <c r="D182" s="279"/>
      <c r="E182" s="260"/>
      <c r="F182" s="279"/>
      <c r="G182" s="260"/>
      <c r="H182" s="38"/>
      <c r="I182" s="7"/>
    </row>
    <row r="183" spans="1:9" ht="21" customHeight="1">
      <c r="A183" s="39"/>
      <c r="B183" s="38"/>
      <c r="C183" s="56"/>
      <c r="D183" s="279"/>
      <c r="E183" s="260"/>
      <c r="F183" s="279"/>
      <c r="G183" s="260"/>
      <c r="H183" s="38"/>
      <c r="I183" s="7"/>
    </row>
    <row r="184" spans="1:9" ht="21" customHeight="1">
      <c r="A184" s="41"/>
      <c r="B184" s="38"/>
      <c r="C184" s="56"/>
      <c r="D184" s="279"/>
      <c r="E184" s="260"/>
      <c r="F184" s="279"/>
      <c r="G184" s="260"/>
      <c r="H184" s="38"/>
      <c r="I184" s="7"/>
    </row>
    <row r="185" spans="1:9" ht="21" customHeight="1">
      <c r="A185" s="39"/>
      <c r="B185" s="38"/>
      <c r="C185" s="56"/>
      <c r="D185" s="279"/>
      <c r="E185" s="260"/>
      <c r="F185" s="279"/>
      <c r="G185" s="260"/>
      <c r="H185" s="38"/>
      <c r="I185" s="7"/>
    </row>
    <row r="186" spans="1:9" ht="21" customHeight="1">
      <c r="A186" s="41"/>
      <c r="B186" s="38"/>
      <c r="C186" s="56"/>
      <c r="D186" s="279"/>
      <c r="E186" s="260"/>
      <c r="F186" s="279"/>
      <c r="G186" s="260"/>
      <c r="H186" s="38"/>
      <c r="I186" s="7"/>
    </row>
    <row r="187" spans="1:9" ht="21" customHeight="1">
      <c r="A187" s="39"/>
      <c r="B187" s="38"/>
      <c r="C187" s="56"/>
      <c r="D187" s="279"/>
      <c r="E187" s="260"/>
      <c r="F187" s="279"/>
      <c r="G187" s="260"/>
      <c r="H187" s="38"/>
      <c r="I187" s="7"/>
    </row>
    <row r="188" spans="1:9" ht="21" customHeight="1">
      <c r="A188" s="39"/>
      <c r="B188" s="38"/>
      <c r="C188" s="56"/>
      <c r="D188" s="279"/>
      <c r="E188" s="260"/>
      <c r="F188" s="279"/>
      <c r="G188" s="260"/>
      <c r="H188" s="38"/>
      <c r="I188" s="7"/>
    </row>
    <row r="189" spans="1:9" ht="21" customHeight="1">
      <c r="A189" s="39"/>
      <c r="B189" s="38"/>
      <c r="C189" s="56"/>
      <c r="D189" s="279"/>
      <c r="E189" s="260"/>
      <c r="F189" s="279"/>
      <c r="G189" s="260"/>
      <c r="H189" s="38"/>
      <c r="I189" s="7"/>
    </row>
    <row r="190" spans="1:9" ht="21" customHeight="1">
      <c r="A190" s="41"/>
      <c r="B190" s="38"/>
      <c r="C190" s="56"/>
      <c r="D190" s="279"/>
      <c r="E190" s="260"/>
      <c r="F190" s="279"/>
      <c r="G190" s="260"/>
      <c r="H190" s="38"/>
      <c r="I190" s="7"/>
    </row>
    <row r="191" spans="1:9" ht="21" customHeight="1">
      <c r="A191" s="41"/>
      <c r="B191" s="38"/>
      <c r="C191" s="56"/>
      <c r="D191" s="279"/>
      <c r="E191" s="260"/>
      <c r="F191" s="279"/>
      <c r="G191" s="260"/>
      <c r="H191" s="38"/>
      <c r="I191" s="7"/>
    </row>
    <row r="192" spans="1:9" ht="21" customHeight="1">
      <c r="A192" s="41"/>
      <c r="B192" s="38"/>
      <c r="C192" s="56"/>
      <c r="D192" s="279"/>
      <c r="E192" s="260"/>
      <c r="F192" s="279"/>
      <c r="G192" s="260"/>
      <c r="H192" s="38"/>
      <c r="I192" s="7"/>
    </row>
    <row r="193" spans="1:9" ht="21" customHeight="1">
      <c r="A193" s="39"/>
      <c r="B193" s="38"/>
      <c r="C193" s="56"/>
      <c r="D193" s="279"/>
      <c r="E193" s="260"/>
      <c r="F193" s="279"/>
      <c r="G193" s="260"/>
      <c r="H193" s="38"/>
      <c r="I193" s="7"/>
    </row>
    <row r="194" spans="1:9" ht="21" customHeight="1">
      <c r="A194" s="39"/>
      <c r="B194" s="38"/>
      <c r="C194" s="56"/>
      <c r="D194" s="279"/>
      <c r="E194" s="260"/>
      <c r="F194" s="279"/>
      <c r="G194" s="260"/>
      <c r="H194" s="38"/>
      <c r="I194" s="7"/>
    </row>
    <row r="195" spans="1:9">
      <c r="A195" s="41"/>
      <c r="B195" s="38"/>
      <c r="C195" s="56"/>
      <c r="D195" s="279"/>
      <c r="E195" s="260"/>
      <c r="F195" s="279"/>
      <c r="G195" s="260"/>
      <c r="H195" s="38"/>
      <c r="I195" s="109"/>
    </row>
    <row r="196" spans="1:9" ht="21" customHeight="1">
      <c r="A196" s="39"/>
      <c r="B196" s="38"/>
      <c r="C196" s="56"/>
      <c r="D196" s="279"/>
      <c r="E196" s="260"/>
      <c r="F196" s="279"/>
      <c r="G196" s="260"/>
      <c r="H196" s="38"/>
      <c r="I196" s="7"/>
    </row>
    <row r="197" spans="1:9" ht="21" customHeight="1">
      <c r="A197" s="41"/>
      <c r="B197" s="38"/>
      <c r="C197" s="56"/>
      <c r="D197" s="279"/>
      <c r="E197" s="260"/>
      <c r="F197" s="279"/>
      <c r="G197" s="260"/>
      <c r="H197" s="38"/>
      <c r="I197" s="7"/>
    </row>
    <row r="198" spans="1:9" ht="21" customHeight="1">
      <c r="A198" s="39"/>
      <c r="B198" s="38"/>
      <c r="C198" s="56"/>
      <c r="D198" s="279"/>
      <c r="E198" s="260"/>
      <c r="F198" s="279"/>
      <c r="G198" s="260"/>
      <c r="H198" s="38"/>
      <c r="I198" s="7"/>
    </row>
    <row r="199" spans="1:9" ht="21" customHeight="1">
      <c r="A199" s="41"/>
      <c r="B199" s="38"/>
      <c r="C199" s="56"/>
      <c r="D199" s="279"/>
      <c r="E199" s="260"/>
      <c r="F199" s="279"/>
      <c r="G199" s="260"/>
      <c r="H199" s="38"/>
      <c r="I199" s="7"/>
    </row>
    <row r="200" spans="1:9" ht="21" customHeight="1">
      <c r="A200" s="41"/>
      <c r="B200" s="38"/>
      <c r="C200" s="56"/>
      <c r="D200" s="279"/>
      <c r="E200" s="260"/>
      <c r="F200" s="279"/>
      <c r="G200" s="260"/>
      <c r="H200" s="38"/>
      <c r="I200" s="7"/>
    </row>
    <row r="201" spans="1:9" ht="21" customHeight="1">
      <c r="A201" s="41"/>
      <c r="B201" s="38"/>
      <c r="C201" s="56"/>
      <c r="D201" s="279"/>
      <c r="E201" s="260"/>
      <c r="F201" s="279"/>
      <c r="G201" s="260"/>
      <c r="H201" s="38"/>
      <c r="I201" s="7"/>
    </row>
    <row r="202" spans="1:9" ht="21" customHeight="1">
      <c r="A202" s="39"/>
      <c r="B202" s="38"/>
      <c r="C202" s="56"/>
      <c r="D202" s="279"/>
      <c r="E202" s="260"/>
      <c r="F202" s="279"/>
      <c r="G202" s="260"/>
      <c r="H202" s="38"/>
      <c r="I202" s="7"/>
    </row>
    <row r="203" spans="1:9" ht="21" customHeight="1">
      <c r="A203" s="41"/>
      <c r="B203" s="38"/>
      <c r="C203" s="56"/>
      <c r="D203" s="279"/>
      <c r="E203" s="260"/>
      <c r="F203" s="279"/>
      <c r="G203" s="260"/>
      <c r="H203" s="38"/>
      <c r="I203" s="7"/>
    </row>
    <row r="204" spans="1:9" ht="21" customHeight="1">
      <c r="A204" s="41"/>
      <c r="B204" s="38"/>
      <c r="C204" s="56"/>
      <c r="D204" s="279"/>
      <c r="E204" s="260"/>
      <c r="F204" s="279"/>
      <c r="G204" s="260"/>
      <c r="H204" s="38"/>
      <c r="I204" s="7"/>
    </row>
    <row r="205" spans="1:9" ht="21" customHeight="1">
      <c r="A205" s="41"/>
      <c r="B205" s="38"/>
      <c r="C205" s="56"/>
      <c r="D205" s="279"/>
      <c r="E205" s="260"/>
      <c r="F205" s="279"/>
      <c r="G205" s="260"/>
      <c r="H205" s="38"/>
      <c r="I205" s="7"/>
    </row>
    <row r="206" spans="1:9" ht="21" customHeight="1">
      <c r="A206" s="41"/>
      <c r="B206" s="38"/>
      <c r="C206" s="56"/>
      <c r="D206" s="279"/>
      <c r="E206" s="260"/>
      <c r="F206" s="279"/>
      <c r="G206" s="260"/>
      <c r="H206" s="38"/>
      <c r="I206" s="7"/>
    </row>
    <row r="207" spans="1:9" ht="21" customHeight="1">
      <c r="A207" s="39"/>
      <c r="B207" s="38"/>
      <c r="C207" s="56"/>
      <c r="D207" s="279"/>
      <c r="E207" s="260"/>
      <c r="F207" s="279"/>
      <c r="G207" s="260"/>
      <c r="H207" s="38"/>
      <c r="I207" s="7"/>
    </row>
    <row r="208" spans="1:9" ht="21" customHeight="1">
      <c r="A208" s="39"/>
      <c r="B208" s="38"/>
      <c r="C208" s="56"/>
      <c r="D208" s="279"/>
      <c r="E208" s="260"/>
      <c r="F208" s="279"/>
      <c r="G208" s="260"/>
      <c r="H208" s="38"/>
      <c r="I208" s="7"/>
    </row>
    <row r="209" spans="1:9" ht="21" customHeight="1">
      <c r="A209" s="41"/>
      <c r="B209" s="38"/>
      <c r="C209" s="56"/>
      <c r="D209" s="279"/>
      <c r="E209" s="260"/>
      <c r="F209" s="279"/>
      <c r="G209" s="260"/>
      <c r="H209" s="38"/>
      <c r="I209" s="7"/>
    </row>
    <row r="210" spans="1:9" ht="21" customHeight="1">
      <c r="A210" s="39"/>
      <c r="B210" s="38"/>
      <c r="C210" s="56"/>
      <c r="D210" s="279"/>
      <c r="E210" s="260"/>
      <c r="F210" s="279"/>
      <c r="G210" s="260"/>
      <c r="H210" s="38"/>
      <c r="I210" s="7"/>
    </row>
    <row r="211" spans="1:9" ht="21" customHeight="1">
      <c r="A211" s="41"/>
      <c r="B211" s="38"/>
      <c r="C211" s="56"/>
      <c r="D211" s="279"/>
      <c r="E211" s="260"/>
      <c r="F211" s="279"/>
      <c r="G211" s="260"/>
      <c r="H211" s="38"/>
      <c r="I211" s="7"/>
    </row>
    <row r="212" spans="1:9" ht="21" customHeight="1">
      <c r="A212" s="39"/>
      <c r="B212" s="38"/>
      <c r="C212" s="56"/>
      <c r="D212" s="279"/>
      <c r="E212" s="260"/>
      <c r="F212" s="279"/>
      <c r="G212" s="260"/>
      <c r="H212" s="38"/>
      <c r="I212" s="7"/>
    </row>
    <row r="213" spans="1:9" ht="21" customHeight="1">
      <c r="A213" s="41"/>
      <c r="B213" s="38"/>
      <c r="C213" s="56"/>
      <c r="D213" s="279"/>
      <c r="E213" s="260"/>
      <c r="F213" s="279"/>
      <c r="G213" s="260"/>
      <c r="H213" s="38"/>
      <c r="I213" s="7"/>
    </row>
    <row r="214" spans="1:9" ht="21" customHeight="1">
      <c r="A214" s="39"/>
      <c r="B214" s="38"/>
      <c r="C214" s="56"/>
      <c r="D214" s="279"/>
      <c r="E214" s="260"/>
      <c r="F214" s="279"/>
      <c r="G214" s="260"/>
      <c r="H214" s="38"/>
      <c r="I214" s="7"/>
    </row>
    <row r="215" spans="1:9" ht="21" customHeight="1">
      <c r="A215" s="41"/>
      <c r="B215" s="38"/>
      <c r="C215" s="56"/>
      <c r="D215" s="279"/>
      <c r="E215" s="260"/>
      <c r="F215" s="279"/>
      <c r="G215" s="260"/>
      <c r="H215" s="38"/>
      <c r="I215" s="7"/>
    </row>
    <row r="216" spans="1:9" ht="21" customHeight="1">
      <c r="A216" s="39"/>
      <c r="B216" s="38"/>
      <c r="C216" s="56"/>
      <c r="D216" s="279"/>
      <c r="E216" s="260"/>
      <c r="F216" s="279"/>
      <c r="G216" s="260"/>
      <c r="H216" s="38"/>
      <c r="I216" s="7"/>
    </row>
    <row r="217" spans="1:9" ht="21" customHeight="1">
      <c r="A217" s="39"/>
      <c r="B217" s="38"/>
      <c r="C217" s="56"/>
      <c r="D217" s="279"/>
      <c r="E217" s="260"/>
      <c r="F217" s="279"/>
      <c r="G217" s="260"/>
      <c r="H217" s="38"/>
      <c r="I217" s="7"/>
    </row>
    <row r="218" spans="1:9" ht="21" customHeight="1">
      <c r="A218" s="39"/>
      <c r="B218" s="38"/>
      <c r="C218" s="56"/>
      <c r="D218" s="279"/>
      <c r="E218" s="260"/>
      <c r="F218" s="279"/>
      <c r="G218" s="260"/>
      <c r="H218" s="38"/>
      <c r="I218" s="7"/>
    </row>
    <row r="219" spans="1:9" ht="21" customHeight="1">
      <c r="A219" s="39"/>
      <c r="B219" s="38"/>
      <c r="C219" s="56"/>
      <c r="D219" s="279"/>
      <c r="E219" s="260"/>
      <c r="F219" s="279"/>
      <c r="G219" s="260"/>
      <c r="H219" s="38"/>
      <c r="I219" s="7"/>
    </row>
    <row r="220" spans="1:9" ht="21" customHeight="1">
      <c r="A220" s="41"/>
      <c r="B220" s="38"/>
      <c r="C220" s="56"/>
      <c r="D220" s="279"/>
      <c r="E220" s="260"/>
      <c r="F220" s="279"/>
      <c r="G220" s="260"/>
      <c r="H220" s="38"/>
      <c r="I220" s="7"/>
    </row>
    <row r="221" spans="1:9" ht="21" customHeight="1">
      <c r="A221" s="41"/>
      <c r="B221" s="38"/>
      <c r="C221" s="56"/>
      <c r="D221" s="279"/>
      <c r="E221" s="260"/>
      <c r="F221" s="279"/>
      <c r="G221" s="260"/>
      <c r="H221" s="38"/>
      <c r="I221" s="7"/>
    </row>
    <row r="222" spans="1:9" ht="21" customHeight="1">
      <c r="A222" s="39"/>
      <c r="B222" s="38"/>
      <c r="C222" s="56"/>
      <c r="D222" s="279"/>
      <c r="E222" s="260"/>
      <c r="F222" s="279"/>
      <c r="G222" s="260"/>
      <c r="H222" s="38"/>
      <c r="I222" s="7"/>
    </row>
    <row r="223" spans="1:9" ht="21" customHeight="1">
      <c r="A223" s="41"/>
      <c r="B223" s="38"/>
      <c r="C223" s="56"/>
      <c r="D223" s="279"/>
      <c r="E223" s="260"/>
      <c r="F223" s="279"/>
      <c r="G223" s="260"/>
      <c r="H223" s="38"/>
      <c r="I223" s="7"/>
    </row>
    <row r="224" spans="1:9" ht="21" customHeight="1">
      <c r="A224" s="38"/>
      <c r="B224" s="38"/>
      <c r="C224" s="56"/>
      <c r="D224" s="279"/>
      <c r="E224" s="260"/>
      <c r="F224" s="279"/>
      <c r="G224" s="260"/>
      <c r="H224" s="38"/>
      <c r="I224" s="7"/>
    </row>
    <row r="225" spans="1:9" ht="21" customHeight="1">
      <c r="A225" s="39"/>
      <c r="B225" s="38"/>
      <c r="C225" s="56"/>
      <c r="D225" s="279"/>
      <c r="E225" s="260"/>
      <c r="F225" s="279"/>
      <c r="G225" s="260"/>
      <c r="H225" s="38"/>
      <c r="I225" s="7"/>
    </row>
    <row r="226" spans="1:9" ht="21" customHeight="1">
      <c r="A226" s="41"/>
      <c r="B226" s="38"/>
      <c r="C226" s="56"/>
      <c r="D226" s="279"/>
      <c r="E226" s="260"/>
      <c r="F226" s="279"/>
      <c r="G226" s="260"/>
      <c r="H226" s="38"/>
      <c r="I226" s="7"/>
    </row>
    <row r="227" spans="1:9" ht="21" customHeight="1">
      <c r="A227" s="41"/>
      <c r="B227" s="38"/>
      <c r="C227" s="56"/>
      <c r="D227" s="279"/>
      <c r="E227" s="260"/>
      <c r="F227" s="279"/>
      <c r="G227" s="260"/>
      <c r="H227" s="38"/>
      <c r="I227" s="7"/>
    </row>
    <row r="228" spans="1:9" ht="21" customHeight="1">
      <c r="A228" s="39"/>
      <c r="B228" s="38"/>
      <c r="C228" s="56"/>
      <c r="D228" s="279"/>
      <c r="E228" s="260"/>
      <c r="F228" s="279"/>
      <c r="G228" s="260"/>
      <c r="H228" s="38"/>
      <c r="I228" s="7"/>
    </row>
    <row r="229" spans="1:9" ht="21" customHeight="1">
      <c r="A229" s="41"/>
      <c r="B229" s="38"/>
      <c r="C229" s="56"/>
      <c r="D229" s="279"/>
      <c r="E229" s="260"/>
      <c r="F229" s="279"/>
      <c r="G229" s="260"/>
      <c r="H229" s="38"/>
      <c r="I229" s="7"/>
    </row>
    <row r="230" spans="1:9" ht="21" customHeight="1">
      <c r="A230" s="39"/>
      <c r="B230" s="38"/>
      <c r="C230" s="56"/>
      <c r="D230" s="279"/>
      <c r="E230" s="260"/>
      <c r="F230" s="279"/>
      <c r="G230" s="260"/>
      <c r="H230" s="38"/>
      <c r="I230" s="7"/>
    </row>
    <row r="231" spans="1:9" ht="21" customHeight="1">
      <c r="A231" s="41"/>
      <c r="B231" s="38"/>
      <c r="C231" s="56"/>
      <c r="D231" s="279"/>
      <c r="E231" s="260"/>
      <c r="F231" s="279"/>
      <c r="G231" s="260"/>
      <c r="H231" s="38"/>
      <c r="I231" s="7"/>
    </row>
    <row r="232" spans="1:9" ht="21" customHeight="1">
      <c r="A232" s="39"/>
      <c r="B232" s="38"/>
      <c r="C232" s="56"/>
      <c r="D232" s="279"/>
      <c r="E232" s="260"/>
      <c r="F232" s="279"/>
      <c r="G232" s="260"/>
      <c r="H232" s="38"/>
      <c r="I232" s="7"/>
    </row>
    <row r="233" spans="1:9" ht="21" customHeight="1">
      <c r="A233" s="39"/>
      <c r="B233" s="38"/>
      <c r="C233" s="56"/>
      <c r="D233" s="279"/>
      <c r="E233" s="260"/>
      <c r="F233" s="279"/>
      <c r="G233" s="260"/>
      <c r="H233" s="38"/>
      <c r="I233" s="7"/>
    </row>
    <row r="234" spans="1:9" ht="21" customHeight="1">
      <c r="A234" s="39"/>
      <c r="B234" s="38"/>
      <c r="C234" s="56"/>
      <c r="D234" s="279"/>
      <c r="E234" s="260"/>
      <c r="F234" s="279"/>
      <c r="G234" s="260"/>
      <c r="H234" s="38"/>
      <c r="I234" s="7"/>
    </row>
    <row r="235" spans="1:9" ht="21" customHeight="1">
      <c r="A235" s="39"/>
      <c r="B235" s="38"/>
      <c r="C235" s="56"/>
      <c r="D235" s="279"/>
      <c r="E235" s="260"/>
      <c r="F235" s="279"/>
      <c r="G235" s="260"/>
      <c r="H235" s="38"/>
      <c r="I235" s="7"/>
    </row>
    <row r="236" spans="1:9" ht="21" customHeight="1">
      <c r="A236" s="39"/>
      <c r="B236" s="38"/>
      <c r="C236" s="56"/>
      <c r="D236" s="279"/>
      <c r="E236" s="260"/>
      <c r="F236" s="279"/>
      <c r="G236" s="260"/>
      <c r="H236" s="38"/>
      <c r="I236" s="7"/>
    </row>
    <row r="237" spans="1:9" ht="21" customHeight="1">
      <c r="A237" s="39"/>
      <c r="B237" s="38"/>
      <c r="C237" s="56"/>
      <c r="D237" s="279"/>
      <c r="E237" s="260"/>
      <c r="F237" s="279"/>
      <c r="G237" s="260"/>
      <c r="H237" s="38"/>
      <c r="I237" s="7"/>
    </row>
    <row r="238" spans="1:9" ht="21" customHeight="1">
      <c r="A238" s="39"/>
      <c r="B238" s="38"/>
      <c r="C238" s="56"/>
      <c r="D238" s="279"/>
      <c r="E238" s="260"/>
      <c r="F238" s="279"/>
      <c r="G238" s="260"/>
      <c r="H238" s="38"/>
      <c r="I238" s="7"/>
    </row>
    <row r="239" spans="1:9" ht="21" customHeight="1">
      <c r="A239" s="41"/>
      <c r="B239" s="38"/>
      <c r="C239" s="56"/>
      <c r="D239" s="279"/>
      <c r="E239" s="260"/>
      <c r="F239" s="279"/>
      <c r="G239" s="260"/>
      <c r="H239" s="38"/>
      <c r="I239" s="7"/>
    </row>
    <row r="240" spans="1:9" ht="21" customHeight="1">
      <c r="A240" s="39"/>
      <c r="B240" s="38"/>
      <c r="C240" s="56"/>
      <c r="D240" s="279"/>
      <c r="E240" s="260"/>
      <c r="F240" s="279"/>
      <c r="G240" s="260"/>
      <c r="H240" s="38"/>
      <c r="I240" s="7"/>
    </row>
    <row r="241" spans="1:9" ht="21" customHeight="1">
      <c r="A241" s="39"/>
      <c r="B241" s="38"/>
      <c r="C241" s="56"/>
      <c r="D241" s="279"/>
      <c r="E241" s="260"/>
      <c r="F241" s="279"/>
      <c r="G241" s="260"/>
      <c r="H241" s="38"/>
      <c r="I241" s="7"/>
    </row>
    <row r="242" spans="1:9" ht="21" customHeight="1">
      <c r="A242" s="39"/>
      <c r="B242" s="38"/>
      <c r="C242" s="56"/>
      <c r="D242" s="279"/>
      <c r="E242" s="260"/>
      <c r="F242" s="279"/>
      <c r="G242" s="260"/>
      <c r="H242" s="38"/>
      <c r="I242" s="7"/>
    </row>
    <row r="243" spans="1:9" ht="21" customHeight="1">
      <c r="A243" s="39"/>
      <c r="B243" s="38"/>
      <c r="C243" s="56"/>
      <c r="D243" s="279"/>
      <c r="E243" s="260"/>
      <c r="F243" s="279"/>
      <c r="G243" s="260"/>
      <c r="H243" s="38"/>
      <c r="I243" s="7"/>
    </row>
    <row r="244" spans="1:9" ht="21" customHeight="1">
      <c r="A244" s="39"/>
      <c r="B244" s="38"/>
      <c r="C244" s="56"/>
      <c r="D244" s="279"/>
      <c r="E244" s="260"/>
      <c r="F244" s="279"/>
      <c r="G244" s="260"/>
      <c r="H244" s="38"/>
      <c r="I244" s="7"/>
    </row>
    <row r="245" spans="1:9" ht="21" customHeight="1">
      <c r="A245" s="39"/>
      <c r="B245" s="38"/>
      <c r="C245" s="56"/>
      <c r="D245" s="279"/>
      <c r="E245" s="260"/>
      <c r="F245" s="279"/>
      <c r="G245" s="260"/>
      <c r="H245" s="38"/>
      <c r="I245" s="7"/>
    </row>
    <row r="246" spans="1:9" ht="21" customHeight="1">
      <c r="A246" s="39"/>
      <c r="B246" s="38"/>
      <c r="C246" s="56"/>
      <c r="D246" s="279"/>
      <c r="E246" s="260"/>
      <c r="F246" s="279"/>
      <c r="G246" s="260"/>
      <c r="H246" s="38"/>
      <c r="I246" s="7"/>
    </row>
    <row r="248" spans="1:9" ht="21" customHeight="1">
      <c r="A248" s="41"/>
      <c r="B248" s="38"/>
      <c r="C248" s="56"/>
      <c r="D248" s="279"/>
      <c r="E248" s="260"/>
      <c r="F248" s="279"/>
      <c r="G248" s="260"/>
      <c r="H248" s="38"/>
      <c r="I248" s="7"/>
    </row>
    <row r="249" spans="1:9" ht="21" customHeight="1">
      <c r="A249" s="41"/>
      <c r="B249" s="38"/>
      <c r="C249" s="56"/>
      <c r="D249" s="279"/>
      <c r="E249" s="260"/>
      <c r="F249" s="279"/>
      <c r="G249" s="260"/>
      <c r="H249" s="38"/>
      <c r="I249" s="7"/>
    </row>
    <row r="250" spans="1:9" ht="21" customHeight="1">
      <c r="A250" s="41"/>
      <c r="B250" s="38"/>
      <c r="C250" s="56"/>
      <c r="D250" s="279"/>
      <c r="E250" s="260"/>
      <c r="F250" s="279"/>
      <c r="G250" s="260"/>
      <c r="H250" s="38"/>
      <c r="I250" s="7"/>
    </row>
    <row r="251" spans="1:9" ht="21" customHeight="1">
      <c r="A251" s="41"/>
      <c r="B251" s="38"/>
      <c r="C251" s="56"/>
      <c r="D251" s="279"/>
      <c r="E251" s="260"/>
      <c r="F251" s="279"/>
      <c r="G251" s="260"/>
      <c r="H251" s="38"/>
      <c r="I251" s="7"/>
    </row>
    <row r="252" spans="1:9" ht="21" customHeight="1">
      <c r="A252" s="41"/>
      <c r="B252" s="38"/>
      <c r="C252" s="56"/>
      <c r="D252" s="279"/>
      <c r="E252" s="260"/>
      <c r="F252" s="279"/>
      <c r="G252" s="260"/>
      <c r="H252" s="38"/>
      <c r="I252" s="7"/>
    </row>
    <row r="253" spans="1:9" ht="21" customHeight="1">
      <c r="A253" s="41"/>
      <c r="B253" s="38"/>
      <c r="C253" s="56"/>
      <c r="D253" s="279"/>
      <c r="E253" s="260"/>
      <c r="F253" s="279"/>
      <c r="G253" s="260"/>
      <c r="H253" s="38"/>
      <c r="I253" s="7"/>
    </row>
    <row r="254" spans="1:9" ht="21" customHeight="1">
      <c r="A254" s="41"/>
      <c r="B254" s="38"/>
      <c r="C254" s="56"/>
      <c r="D254" s="279"/>
      <c r="E254" s="260"/>
      <c r="F254" s="279"/>
      <c r="G254" s="260"/>
      <c r="H254" s="38"/>
      <c r="I254" s="7"/>
    </row>
    <row r="255" spans="1:9" ht="21" customHeight="1">
      <c r="A255" s="41"/>
      <c r="B255" s="38"/>
      <c r="C255" s="56"/>
      <c r="D255" s="279"/>
      <c r="E255" s="260"/>
      <c r="F255" s="279"/>
      <c r="G255" s="260"/>
      <c r="H255" s="38"/>
      <c r="I255" s="7"/>
    </row>
    <row r="256" spans="1:9" ht="21" customHeight="1">
      <c r="A256" s="41"/>
      <c r="B256" s="38"/>
      <c r="C256" s="56"/>
      <c r="D256" s="279"/>
      <c r="E256" s="260"/>
      <c r="F256" s="279"/>
      <c r="G256" s="260"/>
      <c r="H256" s="38"/>
      <c r="I256" s="7"/>
    </row>
    <row r="257" spans="1:9" ht="21" customHeight="1">
      <c r="A257" s="41"/>
      <c r="B257" s="38"/>
      <c r="C257" s="56"/>
      <c r="D257" s="279"/>
      <c r="E257" s="260"/>
      <c r="F257" s="279"/>
      <c r="G257" s="260"/>
      <c r="H257" s="38"/>
      <c r="I257" s="7"/>
    </row>
    <row r="258" spans="1:9" ht="21" customHeight="1">
      <c r="A258" s="41"/>
      <c r="B258" s="38"/>
      <c r="C258" s="56"/>
      <c r="D258" s="279"/>
      <c r="E258" s="260"/>
      <c r="F258" s="279"/>
      <c r="G258" s="260"/>
      <c r="H258" s="38"/>
      <c r="I258" s="7"/>
    </row>
    <row r="259" spans="1:9" ht="21" customHeight="1">
      <c r="A259" s="41"/>
      <c r="B259" s="38"/>
      <c r="C259" s="56"/>
      <c r="D259" s="279"/>
      <c r="E259" s="260"/>
      <c r="F259" s="279"/>
      <c r="G259" s="260"/>
      <c r="H259" s="38"/>
      <c r="I259" s="7"/>
    </row>
    <row r="260" spans="1:9" ht="21" customHeight="1">
      <c r="A260" s="41"/>
      <c r="B260" s="38"/>
      <c r="C260" s="56"/>
      <c r="D260" s="279"/>
      <c r="E260" s="260"/>
      <c r="F260" s="279"/>
      <c r="G260" s="260"/>
      <c r="H260" s="38"/>
      <c r="I260" s="7"/>
    </row>
    <row r="261" spans="1:9" ht="21" customHeight="1">
      <c r="A261" s="41"/>
      <c r="B261" s="38"/>
      <c r="C261" s="56"/>
      <c r="D261" s="279"/>
      <c r="E261" s="260"/>
      <c r="F261" s="279"/>
      <c r="G261" s="260"/>
      <c r="H261" s="38"/>
      <c r="I261" s="7"/>
    </row>
    <row r="262" spans="1:9" ht="21" customHeight="1">
      <c r="A262" s="41"/>
      <c r="B262" s="38"/>
      <c r="C262" s="56"/>
      <c r="D262" s="279"/>
      <c r="E262" s="260"/>
      <c r="F262" s="279"/>
      <c r="G262" s="260"/>
      <c r="H262" s="38"/>
      <c r="I262" s="7"/>
    </row>
    <row r="263" spans="1:9" ht="21" customHeight="1">
      <c r="A263" s="41"/>
      <c r="B263" s="38"/>
      <c r="C263" s="56"/>
      <c r="D263" s="279"/>
      <c r="E263" s="260"/>
      <c r="F263" s="279"/>
      <c r="G263" s="260"/>
      <c r="H263" s="38"/>
      <c r="I263" s="7"/>
    </row>
    <row r="264" spans="1:9" ht="21" customHeight="1">
      <c r="A264" s="41"/>
      <c r="B264" s="38"/>
      <c r="C264" s="56"/>
      <c r="D264" s="279"/>
      <c r="E264" s="260"/>
      <c r="F264" s="279"/>
      <c r="G264" s="260"/>
      <c r="H264" s="38"/>
      <c r="I264" s="7"/>
    </row>
    <row r="265" spans="1:9" ht="21" customHeight="1">
      <c r="A265" s="41"/>
      <c r="B265" s="38"/>
      <c r="C265" s="56"/>
      <c r="D265" s="279"/>
      <c r="E265" s="260"/>
      <c r="F265" s="279"/>
      <c r="G265" s="260"/>
      <c r="H265" s="38"/>
      <c r="I265" s="7"/>
    </row>
  </sheetData>
  <mergeCells count="526">
    <mergeCell ref="B2:I2"/>
    <mergeCell ref="F113:G113"/>
    <mergeCell ref="D32:E32"/>
    <mergeCell ref="F232:G232"/>
    <mergeCell ref="F32:G32"/>
    <mergeCell ref="D97:E97"/>
    <mergeCell ref="F26:G26"/>
    <mergeCell ref="F159:G159"/>
    <mergeCell ref="F97:G97"/>
    <mergeCell ref="F219:G219"/>
    <mergeCell ref="F90:G90"/>
    <mergeCell ref="D184:E184"/>
    <mergeCell ref="F184:G184"/>
    <mergeCell ref="E3:G3"/>
    <mergeCell ref="F27:G27"/>
    <mergeCell ref="D121:E121"/>
    <mergeCell ref="D192:E192"/>
    <mergeCell ref="D42:E42"/>
    <mergeCell ref="D173:E173"/>
    <mergeCell ref="F188:G188"/>
    <mergeCell ref="D123:E123"/>
    <mergeCell ref="F179:G179"/>
    <mergeCell ref="D44:E44"/>
    <mergeCell ref="F44:G44"/>
    <mergeCell ref="F7:G7"/>
    <mergeCell ref="D105:E105"/>
    <mergeCell ref="D170:E170"/>
    <mergeCell ref="D49:E49"/>
    <mergeCell ref="D242:E242"/>
    <mergeCell ref="D120:E120"/>
    <mergeCell ref="F242:G242"/>
    <mergeCell ref="D107:E107"/>
    <mergeCell ref="F36:G36"/>
    <mergeCell ref="D163:E163"/>
    <mergeCell ref="D234:E234"/>
    <mergeCell ref="F163:G163"/>
    <mergeCell ref="F101:G101"/>
    <mergeCell ref="F8:G8"/>
    <mergeCell ref="D171:E171"/>
    <mergeCell ref="F100:G100"/>
    <mergeCell ref="F165:G165"/>
    <mergeCell ref="F115:G115"/>
    <mergeCell ref="D102:E102"/>
    <mergeCell ref="F102:G102"/>
    <mergeCell ref="F229:G229"/>
    <mergeCell ref="D25:E25"/>
    <mergeCell ref="D196:E196"/>
    <mergeCell ref="F77:G77"/>
    <mergeCell ref="D265:E265"/>
    <mergeCell ref="D216:E216"/>
    <mergeCell ref="F216:G216"/>
    <mergeCell ref="D252:E252"/>
    <mergeCell ref="F87:G87"/>
    <mergeCell ref="D218:E218"/>
    <mergeCell ref="F147:G147"/>
    <mergeCell ref="F218:G218"/>
    <mergeCell ref="D249:E249"/>
    <mergeCell ref="D244:E244"/>
    <mergeCell ref="F244:G244"/>
    <mergeCell ref="F166:G166"/>
    <mergeCell ref="D133:E133"/>
    <mergeCell ref="D191:E191"/>
    <mergeCell ref="D262:E262"/>
    <mergeCell ref="F191:G191"/>
    <mergeCell ref="D237:E237"/>
    <mergeCell ref="F255:G255"/>
    <mergeCell ref="D239:E239"/>
    <mergeCell ref="D95:E95"/>
    <mergeCell ref="F95:G95"/>
    <mergeCell ref="D250:E250"/>
    <mergeCell ref="F250:G250"/>
    <mergeCell ref="D228:E228"/>
    <mergeCell ref="D10:E10"/>
    <mergeCell ref="F10:G10"/>
    <mergeCell ref="D34:E34"/>
    <mergeCell ref="F63:G63"/>
    <mergeCell ref="D243:E243"/>
    <mergeCell ref="F34:G34"/>
    <mergeCell ref="D99:E99"/>
    <mergeCell ref="F99:G99"/>
    <mergeCell ref="F74:G74"/>
    <mergeCell ref="D101:E101"/>
    <mergeCell ref="F30:G30"/>
    <mergeCell ref="D76:E76"/>
    <mergeCell ref="F138:G138"/>
    <mergeCell ref="F76:G76"/>
    <mergeCell ref="F94:G94"/>
    <mergeCell ref="D175:E175"/>
    <mergeCell ref="D221:E221"/>
    <mergeCell ref="F150:G150"/>
    <mergeCell ref="D165:E165"/>
    <mergeCell ref="D152:E152"/>
    <mergeCell ref="D223:E223"/>
    <mergeCell ref="F152:G152"/>
    <mergeCell ref="D29:E29"/>
    <mergeCell ref="D257:E257"/>
    <mergeCell ref="D86:E86"/>
    <mergeCell ref="F15:G15"/>
    <mergeCell ref="F86:G86"/>
    <mergeCell ref="D13:E13"/>
    <mergeCell ref="F142:G142"/>
    <mergeCell ref="F80:G80"/>
    <mergeCell ref="D151:E151"/>
    <mergeCell ref="F213:G213"/>
    <mergeCell ref="D213:E213"/>
    <mergeCell ref="D150:E150"/>
    <mergeCell ref="F79:G79"/>
    <mergeCell ref="D215:E215"/>
    <mergeCell ref="F144:G144"/>
    <mergeCell ref="F215:G215"/>
    <mergeCell ref="F81:G81"/>
    <mergeCell ref="F210:G210"/>
    <mergeCell ref="D177:E177"/>
    <mergeCell ref="D33:E33"/>
    <mergeCell ref="D226:E226"/>
    <mergeCell ref="D164:E164"/>
    <mergeCell ref="F226:G226"/>
    <mergeCell ref="D241:E241"/>
    <mergeCell ref="F241:G241"/>
    <mergeCell ref="F265:G265"/>
    <mergeCell ref="F65:G65"/>
    <mergeCell ref="D159:E159"/>
    <mergeCell ref="D80:E80"/>
    <mergeCell ref="F55:G55"/>
    <mergeCell ref="F169:G169"/>
    <mergeCell ref="D136:E136"/>
    <mergeCell ref="D154:E154"/>
    <mergeCell ref="D225:E225"/>
    <mergeCell ref="D200:E200"/>
    <mergeCell ref="F129:G129"/>
    <mergeCell ref="F200:G200"/>
    <mergeCell ref="D227:E227"/>
    <mergeCell ref="D202:E202"/>
    <mergeCell ref="F131:G131"/>
    <mergeCell ref="D58:E58"/>
    <mergeCell ref="F258:G258"/>
    <mergeCell ref="F58:G58"/>
    <mergeCell ref="F195:G195"/>
    <mergeCell ref="D231:E231"/>
    <mergeCell ref="F260:G260"/>
    <mergeCell ref="F60:G60"/>
    <mergeCell ref="F197:G197"/>
    <mergeCell ref="F68:G68"/>
    <mergeCell ref="A1:I1"/>
    <mergeCell ref="F64:G64"/>
    <mergeCell ref="F257:G257"/>
    <mergeCell ref="D153:E153"/>
    <mergeCell ref="F178:G178"/>
    <mergeCell ref="D128:E128"/>
    <mergeCell ref="D199:E199"/>
    <mergeCell ref="F128:G128"/>
    <mergeCell ref="D186:E186"/>
    <mergeCell ref="D217:E217"/>
    <mergeCell ref="F217:G217"/>
    <mergeCell ref="D65:E65"/>
    <mergeCell ref="F21:G21"/>
    <mergeCell ref="F192:G192"/>
    <mergeCell ref="F252:G252"/>
    <mergeCell ref="D194:E194"/>
    <mergeCell ref="F194:G194"/>
    <mergeCell ref="F50:G50"/>
    <mergeCell ref="F110:G110"/>
    <mergeCell ref="D17:E17"/>
    <mergeCell ref="F181:G181"/>
    <mergeCell ref="D212:E212"/>
    <mergeCell ref="F141:G141"/>
    <mergeCell ref="D146:E146"/>
    <mergeCell ref="F262:G262"/>
    <mergeCell ref="F62:G62"/>
    <mergeCell ref="D181:E181"/>
    <mergeCell ref="F31:G31"/>
    <mergeCell ref="F28:G28"/>
    <mergeCell ref="H3:I3"/>
    <mergeCell ref="D39:E39"/>
    <mergeCell ref="F239:G239"/>
    <mergeCell ref="F39:G39"/>
    <mergeCell ref="D12:E12"/>
    <mergeCell ref="D83:E83"/>
    <mergeCell ref="D143:E143"/>
    <mergeCell ref="F245:G245"/>
    <mergeCell ref="F49:G49"/>
    <mergeCell ref="D14:E14"/>
    <mergeCell ref="D256:E256"/>
    <mergeCell ref="D85:E85"/>
    <mergeCell ref="F14:G14"/>
    <mergeCell ref="D207:E207"/>
    <mergeCell ref="D222:E222"/>
    <mergeCell ref="F78:G78"/>
    <mergeCell ref="F205:G205"/>
    <mergeCell ref="F52:G52"/>
    <mergeCell ref="D8:E8"/>
    <mergeCell ref="D11:E11"/>
    <mergeCell ref="D204:E204"/>
    <mergeCell ref="F33:G33"/>
    <mergeCell ref="F204:G204"/>
    <mergeCell ref="D198:E198"/>
    <mergeCell ref="F198:G198"/>
    <mergeCell ref="D75:E75"/>
    <mergeCell ref="F75:G75"/>
    <mergeCell ref="D206:E206"/>
    <mergeCell ref="F37:G37"/>
    <mergeCell ref="F53:G53"/>
    <mergeCell ref="D20:E20"/>
    <mergeCell ref="D84:E84"/>
    <mergeCell ref="D155:E155"/>
    <mergeCell ref="F84:G84"/>
    <mergeCell ref="D22:E22"/>
    <mergeCell ref="D149:E149"/>
    <mergeCell ref="D35:E35"/>
    <mergeCell ref="D23:E23"/>
    <mergeCell ref="D54:E54"/>
    <mergeCell ref="F59:G59"/>
    <mergeCell ref="F24:G24"/>
    <mergeCell ref="D57:E57"/>
    <mergeCell ref="B3:D3"/>
    <mergeCell ref="D130:E130"/>
    <mergeCell ref="D201:E201"/>
    <mergeCell ref="D68:E68"/>
    <mergeCell ref="F130:G130"/>
    <mergeCell ref="D188:E188"/>
    <mergeCell ref="D132:E132"/>
    <mergeCell ref="F157:G157"/>
    <mergeCell ref="F132:G132"/>
    <mergeCell ref="D59:E59"/>
    <mergeCell ref="D178:E178"/>
    <mergeCell ref="D172:E172"/>
    <mergeCell ref="F172:G172"/>
    <mergeCell ref="F196:G196"/>
    <mergeCell ref="F25:G25"/>
    <mergeCell ref="C5:G5"/>
    <mergeCell ref="F123:G123"/>
    <mergeCell ref="D36:E36"/>
    <mergeCell ref="F173:G173"/>
    <mergeCell ref="D61:E61"/>
    <mergeCell ref="D48:E48"/>
    <mergeCell ref="D125:E125"/>
    <mergeCell ref="F125:G125"/>
    <mergeCell ref="F185:G185"/>
    <mergeCell ref="H4:I4"/>
    <mergeCell ref="D40:E40"/>
    <mergeCell ref="D233:E233"/>
    <mergeCell ref="D111:E111"/>
    <mergeCell ref="F40:G40"/>
    <mergeCell ref="F233:G233"/>
    <mergeCell ref="D183:E183"/>
    <mergeCell ref="F12:G12"/>
    <mergeCell ref="D248:E248"/>
    <mergeCell ref="D219:E219"/>
    <mergeCell ref="F177:G177"/>
    <mergeCell ref="D104:E104"/>
    <mergeCell ref="F248:G248"/>
    <mergeCell ref="F104:G104"/>
    <mergeCell ref="F235:G235"/>
    <mergeCell ref="D185:E185"/>
    <mergeCell ref="D41:E41"/>
    <mergeCell ref="F41:G41"/>
    <mergeCell ref="F35:G35"/>
    <mergeCell ref="F106:G106"/>
    <mergeCell ref="D43:E43"/>
    <mergeCell ref="F243:G243"/>
    <mergeCell ref="D137:E137"/>
    <mergeCell ref="D74:E74"/>
    <mergeCell ref="E4:G4"/>
    <mergeCell ref="D182:E182"/>
    <mergeCell ref="F11:G11"/>
    <mergeCell ref="D109:E109"/>
    <mergeCell ref="F182:G182"/>
    <mergeCell ref="D119:E119"/>
    <mergeCell ref="D190:E190"/>
    <mergeCell ref="D246:E246"/>
    <mergeCell ref="D46:E46"/>
    <mergeCell ref="F246:G246"/>
    <mergeCell ref="F234:G234"/>
    <mergeCell ref="F221:G221"/>
    <mergeCell ref="F236:G236"/>
    <mergeCell ref="F223:G223"/>
    <mergeCell ref="D112:E112"/>
    <mergeCell ref="B4:D4"/>
    <mergeCell ref="D62:E62"/>
    <mergeCell ref="D56:E56"/>
    <mergeCell ref="D193:E193"/>
    <mergeCell ref="D127:E127"/>
    <mergeCell ref="F56:G56"/>
    <mergeCell ref="F13:G13"/>
    <mergeCell ref="D176:E176"/>
    <mergeCell ref="F105:G105"/>
    <mergeCell ref="A5:B5"/>
    <mergeCell ref="D264:E264"/>
    <mergeCell ref="D93:E93"/>
    <mergeCell ref="F22:G22"/>
    <mergeCell ref="D220:E220"/>
    <mergeCell ref="F149:G149"/>
    <mergeCell ref="F264:G264"/>
    <mergeCell ref="F220:G220"/>
    <mergeCell ref="F93:G93"/>
    <mergeCell ref="F155:G155"/>
    <mergeCell ref="D157:E157"/>
    <mergeCell ref="F151:G151"/>
    <mergeCell ref="F222:G222"/>
    <mergeCell ref="D251:E251"/>
    <mergeCell ref="D254:E254"/>
    <mergeCell ref="F249:G249"/>
    <mergeCell ref="D114:E114"/>
    <mergeCell ref="F43:G43"/>
    <mergeCell ref="F176:G176"/>
    <mergeCell ref="F170:G170"/>
    <mergeCell ref="D64:E64"/>
    <mergeCell ref="F120:G120"/>
    <mergeCell ref="D51:E51"/>
    <mergeCell ref="F107:G107"/>
    <mergeCell ref="D261:E261"/>
    <mergeCell ref="D90:E90"/>
    <mergeCell ref="F19:G19"/>
    <mergeCell ref="F212:G212"/>
    <mergeCell ref="F146:G146"/>
    <mergeCell ref="F6:G6"/>
    <mergeCell ref="F83:G83"/>
    <mergeCell ref="F214:G214"/>
    <mergeCell ref="F20:G20"/>
    <mergeCell ref="F85:G85"/>
    <mergeCell ref="D179:E179"/>
    <mergeCell ref="D166:E166"/>
    <mergeCell ref="D103:E103"/>
    <mergeCell ref="D37:E37"/>
    <mergeCell ref="D230:E230"/>
    <mergeCell ref="D168:E168"/>
    <mergeCell ref="F230:G230"/>
    <mergeCell ref="D9:E9"/>
    <mergeCell ref="D180:E180"/>
    <mergeCell ref="D118:E118"/>
    <mergeCell ref="F9:G9"/>
    <mergeCell ref="D167:E167"/>
    <mergeCell ref="D161:E161"/>
    <mergeCell ref="F167:G167"/>
    <mergeCell ref="D255:E255"/>
    <mergeCell ref="D24:E24"/>
    <mergeCell ref="D260:E260"/>
    <mergeCell ref="D113:E113"/>
    <mergeCell ref="D88:E88"/>
    <mergeCell ref="D26:E26"/>
    <mergeCell ref="F88:G88"/>
    <mergeCell ref="D148:E148"/>
    <mergeCell ref="F148:G148"/>
    <mergeCell ref="D115:E115"/>
    <mergeCell ref="F54:G54"/>
    <mergeCell ref="D232:E232"/>
    <mergeCell ref="F161:G161"/>
    <mergeCell ref="F136:G136"/>
    <mergeCell ref="D38:E38"/>
    <mergeCell ref="F207:G207"/>
    <mergeCell ref="D169:E169"/>
    <mergeCell ref="F225:G225"/>
    <mergeCell ref="D63:E63"/>
    <mergeCell ref="F227:G227"/>
    <mergeCell ref="F202:G202"/>
    <mergeCell ref="D96:E96"/>
    <mergeCell ref="D52:E52"/>
    <mergeCell ref="D27:E27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19:E19"/>
    <mergeCell ref="F154:G154"/>
    <mergeCell ref="D116:E116"/>
    <mergeCell ref="D91:E91"/>
    <mergeCell ref="F91:G91"/>
    <mergeCell ref="D156:E156"/>
    <mergeCell ref="F156:G156"/>
    <mergeCell ref="D106:E106"/>
    <mergeCell ref="F57:G57"/>
    <mergeCell ref="D138:E138"/>
    <mergeCell ref="D140:E140"/>
    <mergeCell ref="D259:E259"/>
    <mergeCell ref="F259:G259"/>
    <mergeCell ref="D28:E28"/>
    <mergeCell ref="D236:E236"/>
    <mergeCell ref="D117:E117"/>
    <mergeCell ref="F261:G261"/>
    <mergeCell ref="D92:E92"/>
    <mergeCell ref="D55:E55"/>
    <mergeCell ref="F117:G117"/>
    <mergeCell ref="F92:G92"/>
    <mergeCell ref="D30:E30"/>
    <mergeCell ref="D67:E67"/>
    <mergeCell ref="F254:G254"/>
    <mergeCell ref="D94:E94"/>
    <mergeCell ref="F119:G119"/>
    <mergeCell ref="D69:E69"/>
    <mergeCell ref="F69:G69"/>
    <mergeCell ref="F256:G256"/>
    <mergeCell ref="F112:G112"/>
    <mergeCell ref="F183:G183"/>
    <mergeCell ref="F193:G193"/>
    <mergeCell ref="F127:G127"/>
    <mergeCell ref="F51:G51"/>
    <mergeCell ref="D145:E145"/>
    <mergeCell ref="D15:E15"/>
    <mergeCell ref="D142:E142"/>
    <mergeCell ref="D129:E129"/>
    <mergeCell ref="D79:E79"/>
    <mergeCell ref="D144:E144"/>
    <mergeCell ref="F73:G73"/>
    <mergeCell ref="D81:E81"/>
    <mergeCell ref="D208:E208"/>
    <mergeCell ref="F137:G137"/>
    <mergeCell ref="F208:G208"/>
    <mergeCell ref="F124:G124"/>
    <mergeCell ref="D139:E139"/>
    <mergeCell ref="F201:G201"/>
    <mergeCell ref="F164:G164"/>
    <mergeCell ref="F139:G139"/>
    <mergeCell ref="F114:G114"/>
    <mergeCell ref="F203:G203"/>
    <mergeCell ref="D21:E21"/>
    <mergeCell ref="F145:G145"/>
    <mergeCell ref="D16:E16"/>
    <mergeCell ref="D87:E87"/>
    <mergeCell ref="D147:E147"/>
    <mergeCell ref="F38:G38"/>
    <mergeCell ref="D122:E122"/>
    <mergeCell ref="D253:E253"/>
    <mergeCell ref="D53:E53"/>
    <mergeCell ref="F253:G253"/>
    <mergeCell ref="D47:E47"/>
    <mergeCell ref="F126:G126"/>
    <mergeCell ref="F109:G109"/>
    <mergeCell ref="F47:G47"/>
    <mergeCell ref="F240:G240"/>
    <mergeCell ref="F190:G190"/>
    <mergeCell ref="F111:G111"/>
    <mergeCell ref="F61:G61"/>
    <mergeCell ref="D110:E110"/>
    <mergeCell ref="F48:G48"/>
    <mergeCell ref="F228:G228"/>
    <mergeCell ref="D214:E214"/>
    <mergeCell ref="D210:E210"/>
    <mergeCell ref="D209:E209"/>
    <mergeCell ref="F209:G209"/>
    <mergeCell ref="D245:E245"/>
    <mergeCell ref="D224:E224"/>
    <mergeCell ref="D211:E211"/>
    <mergeCell ref="F140:G140"/>
    <mergeCell ref="F211:G211"/>
    <mergeCell ref="F67:G67"/>
    <mergeCell ref="F251:G251"/>
    <mergeCell ref="F18:G18"/>
    <mergeCell ref="F189:G189"/>
    <mergeCell ref="F45:G45"/>
    <mergeCell ref="F238:G238"/>
    <mergeCell ref="F42:G42"/>
    <mergeCell ref="D66:E66"/>
    <mergeCell ref="D126:E126"/>
    <mergeCell ref="F17:G17"/>
    <mergeCell ref="F66:G66"/>
    <mergeCell ref="D197:E197"/>
    <mergeCell ref="F46:G46"/>
    <mergeCell ref="D18:E18"/>
    <mergeCell ref="F186:G186"/>
    <mergeCell ref="D82:E82"/>
    <mergeCell ref="F82:G82"/>
    <mergeCell ref="D240:E240"/>
    <mergeCell ref="F206:G206"/>
    <mergeCell ref="D100:E100"/>
    <mergeCell ref="F29:G29"/>
    <mergeCell ref="D50:E50"/>
    <mergeCell ref="D31:E31"/>
    <mergeCell ref="D158:E158"/>
    <mergeCell ref="D229:E229"/>
    <mergeCell ref="D263:E263"/>
    <mergeCell ref="F70:G70"/>
    <mergeCell ref="F263:G263"/>
    <mergeCell ref="D238:E238"/>
    <mergeCell ref="D7:E7"/>
    <mergeCell ref="D78:E78"/>
    <mergeCell ref="D134:E134"/>
    <mergeCell ref="D205:E205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F175:G175"/>
    <mergeCell ref="F162:G162"/>
    <mergeCell ref="D131:E131"/>
    <mergeCell ref="D258:E258"/>
    <mergeCell ref="D124:E124"/>
    <mergeCell ref="D195:E195"/>
    <mergeCell ref="D189:E189"/>
    <mergeCell ref="F237:G237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  <mergeCell ref="F158:G158"/>
    <mergeCell ref="F224:G224"/>
    <mergeCell ref="F199:G199"/>
    <mergeCell ref="D235:E235"/>
    <mergeCell ref="D162:E162"/>
    <mergeCell ref="F180:G180"/>
    <mergeCell ref="F171:G171"/>
    <mergeCell ref="D203:E203"/>
    <mergeCell ref="F231:G231"/>
  </mergeCells>
  <phoneticPr fontId="30" type="noConversion"/>
  <conditionalFormatting sqref="V1:V69 V173:V246 V248:V1048576">
    <cfRule type="duplicateValues" dxfId="1" priority="1"/>
  </conditionalFormatting>
  <conditionalFormatting sqref="W1:W246 W248:W1048576">
    <cfRule type="containsText" dxfId="0" priority="3" operator="containsText" text="RIV1">
      <formula>NOT(ISERROR(SEARCH("RIV1",W1)))</formula>
    </cfRule>
  </conditionalFormatting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A1:O200"/>
  <sheetViews>
    <sheetView workbookViewId="0">
      <pane ySplit="6" topLeftCell="A61" activePane="bottomLeft" state="frozen"/>
      <selection activeCell="A35" sqref="A35"/>
      <selection pane="bottomLeft" activeCell="A35" sqref="A35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2.2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89" t="s">
        <v>662</v>
      </c>
      <c r="K1" s="38" t="s">
        <v>515</v>
      </c>
      <c r="L1" s="38" t="s">
        <v>324</v>
      </c>
      <c r="M1" s="1"/>
      <c r="N1" s="1"/>
      <c r="O1" s="1"/>
    </row>
    <row r="2" spans="1:15" ht="34.950000000000003" customHeight="1">
      <c r="A2" s="33" t="s">
        <v>663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664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Stilnox 10mg</v>
      </c>
      <c r="K3" s="34" t="s">
        <v>665</v>
      </c>
      <c r="L3" s="5">
        <f>H7</f>
        <v>505.5</v>
      </c>
      <c r="M3" s="3">
        <f>SUM(C$8:C$1048576)</f>
        <v>3024</v>
      </c>
      <c r="N3" s="3">
        <f>SUM(F:F)</f>
        <v>1760</v>
      </c>
      <c r="O3" s="3">
        <f>L3+M3-N3</f>
        <v>1769.5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666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667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17.25" customHeight="1" thickBot="1">
      <c r="A6" s="69" t="s">
        <v>22</v>
      </c>
      <c r="B6" s="65" t="s">
        <v>23</v>
      </c>
      <c r="C6" s="65" t="s">
        <v>24</v>
      </c>
      <c r="D6" s="285" t="s">
        <v>25</v>
      </c>
      <c r="E6" s="286"/>
      <c r="F6" s="285" t="s">
        <v>26</v>
      </c>
      <c r="G6" s="286"/>
      <c r="H6" s="65" t="s">
        <v>27</v>
      </c>
      <c r="I6" s="70" t="s">
        <v>28</v>
      </c>
      <c r="J6" s="12"/>
      <c r="K6" s="3"/>
      <c r="L6" s="3"/>
      <c r="M6" s="3"/>
      <c r="N6" s="3"/>
      <c r="O6" s="3"/>
    </row>
    <row r="7" spans="1:15" ht="31.95" customHeight="1" thickTop="1">
      <c r="A7" s="196" t="s">
        <v>29</v>
      </c>
      <c r="B7" s="155" t="s">
        <v>5</v>
      </c>
      <c r="C7" s="155">
        <v>505.5</v>
      </c>
      <c r="D7" s="280"/>
      <c r="E7" s="260"/>
      <c r="F7" s="280"/>
      <c r="G7" s="260"/>
      <c r="H7" s="155">
        <v>505.5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29</v>
      </c>
      <c r="B8" s="38" t="s">
        <v>323</v>
      </c>
      <c r="C8" s="38"/>
      <c r="D8" s="279"/>
      <c r="E8" s="260"/>
      <c r="F8" s="279">
        <v>30</v>
      </c>
      <c r="G8" s="260"/>
      <c r="H8" s="38">
        <f>H7-F8</f>
        <v>475.5</v>
      </c>
      <c r="I8" s="26"/>
      <c r="J8" s="12"/>
      <c r="K8" s="3"/>
      <c r="L8" s="3"/>
      <c r="M8" s="3"/>
      <c r="N8" s="3"/>
      <c r="O8" s="3"/>
    </row>
    <row r="9" spans="1:15" ht="26.7" customHeight="1">
      <c r="A9" s="39" t="s">
        <v>572</v>
      </c>
      <c r="B9" s="38" t="s">
        <v>323</v>
      </c>
      <c r="C9" s="7"/>
      <c r="D9" s="259"/>
      <c r="E9" s="260"/>
      <c r="F9" s="279">
        <v>14</v>
      </c>
      <c r="G9" s="260"/>
      <c r="H9" s="38">
        <f>H8-F9</f>
        <v>461.5</v>
      </c>
      <c r="I9" s="26"/>
      <c r="J9" s="12"/>
      <c r="K9" s="3"/>
      <c r="L9" s="3"/>
      <c r="M9" s="3"/>
      <c r="N9" s="3"/>
      <c r="O9" s="3"/>
    </row>
    <row r="10" spans="1:15" ht="26.7" customHeight="1">
      <c r="A10" s="39" t="s">
        <v>333</v>
      </c>
      <c r="B10" s="38" t="s">
        <v>323</v>
      </c>
      <c r="C10" s="7"/>
      <c r="D10" s="259"/>
      <c r="E10" s="260"/>
      <c r="F10" s="279">
        <v>30</v>
      </c>
      <c r="G10" s="260"/>
      <c r="H10" s="38">
        <f>H9-F10</f>
        <v>431.5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39" t="s">
        <v>334</v>
      </c>
      <c r="B11" s="38" t="s">
        <v>323</v>
      </c>
      <c r="C11" s="7"/>
      <c r="D11" s="259"/>
      <c r="E11" s="260"/>
      <c r="F11" s="279">
        <v>28</v>
      </c>
      <c r="G11" s="260"/>
      <c r="H11" s="38">
        <f>H10-F11</f>
        <v>403.5</v>
      </c>
      <c r="I11" s="27"/>
      <c r="J11" s="12"/>
      <c r="K11" s="3"/>
      <c r="L11" s="3"/>
      <c r="M11" s="3"/>
      <c r="N11" s="3"/>
      <c r="O11" s="3"/>
    </row>
    <row r="12" spans="1:15" ht="26.7" customHeight="1">
      <c r="A12" s="39" t="s">
        <v>409</v>
      </c>
      <c r="B12" s="38" t="s">
        <v>324</v>
      </c>
      <c r="C12" s="7">
        <v>1512</v>
      </c>
      <c r="D12" s="259" t="s">
        <v>668</v>
      </c>
      <c r="E12" s="260"/>
      <c r="F12" s="279"/>
      <c r="G12" s="260"/>
      <c r="H12" s="38">
        <v>1915.5</v>
      </c>
      <c r="I12" s="26" t="s">
        <v>649</v>
      </c>
      <c r="J12" s="12"/>
      <c r="K12" s="3"/>
      <c r="L12" s="3"/>
      <c r="M12" s="3"/>
      <c r="N12" s="3"/>
      <c r="O12" s="3"/>
    </row>
    <row r="13" spans="1:15" ht="26.7" customHeight="1">
      <c r="A13" s="39" t="s">
        <v>432</v>
      </c>
      <c r="B13" s="38" t="s">
        <v>323</v>
      </c>
      <c r="C13" s="7"/>
      <c r="D13" s="259"/>
      <c r="E13" s="260"/>
      <c r="F13" s="279">
        <v>56</v>
      </c>
      <c r="G13" s="260"/>
      <c r="H13" s="38">
        <f t="shared" ref="H13:H46" si="0">H12-F13</f>
        <v>1859.5</v>
      </c>
      <c r="I13" s="26"/>
      <c r="J13" s="12"/>
      <c r="K13" s="3"/>
      <c r="L13" s="3"/>
      <c r="M13" s="3"/>
      <c r="N13" s="3"/>
      <c r="O13" s="3"/>
    </row>
    <row r="14" spans="1:15" ht="26.7" customHeight="1">
      <c r="A14" s="39" t="s">
        <v>464</v>
      </c>
      <c r="B14" s="38" t="s">
        <v>323</v>
      </c>
      <c r="C14" s="7"/>
      <c r="D14" s="259"/>
      <c r="E14" s="260"/>
      <c r="F14" s="279">
        <v>28</v>
      </c>
      <c r="G14" s="260"/>
      <c r="H14" s="38">
        <f t="shared" si="0"/>
        <v>1831.5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465</v>
      </c>
      <c r="B15" s="38" t="s">
        <v>323</v>
      </c>
      <c r="C15" s="7"/>
      <c r="D15" s="259"/>
      <c r="E15" s="260"/>
      <c r="F15" s="279">
        <v>14</v>
      </c>
      <c r="G15" s="260"/>
      <c r="H15" s="38">
        <f t="shared" si="0"/>
        <v>1817.5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39" t="s">
        <v>337</v>
      </c>
      <c r="B16" s="38" t="s">
        <v>323</v>
      </c>
      <c r="C16" s="7"/>
      <c r="D16" s="259"/>
      <c r="E16" s="260"/>
      <c r="F16" s="279">
        <v>30</v>
      </c>
      <c r="G16" s="260"/>
      <c r="H16" s="38">
        <f t="shared" si="0"/>
        <v>1787.5</v>
      </c>
      <c r="I16" s="108"/>
      <c r="J16" s="12"/>
      <c r="K16" s="3"/>
      <c r="L16" s="3"/>
      <c r="M16" s="3"/>
      <c r="N16" s="3"/>
      <c r="O16" s="3"/>
    </row>
    <row r="17" spans="1:10" ht="26.7" customHeight="1">
      <c r="A17" s="39" t="s">
        <v>338</v>
      </c>
      <c r="B17" s="148" t="s">
        <v>323</v>
      </c>
      <c r="C17" s="7"/>
      <c r="D17" s="259"/>
      <c r="E17" s="260"/>
      <c r="F17" s="279">
        <v>14</v>
      </c>
      <c r="G17" s="260"/>
      <c r="H17" s="38">
        <f t="shared" si="0"/>
        <v>1773.5</v>
      </c>
      <c r="I17" s="26"/>
      <c r="J17" s="12"/>
    </row>
    <row r="18" spans="1:10" ht="26.7" customHeight="1">
      <c r="A18" s="39" t="s">
        <v>383</v>
      </c>
      <c r="B18" s="38" t="s">
        <v>323</v>
      </c>
      <c r="C18" s="7"/>
      <c r="D18" s="259"/>
      <c r="E18" s="260"/>
      <c r="F18" s="279">
        <v>30</v>
      </c>
      <c r="G18" s="260"/>
      <c r="H18" s="38">
        <f t="shared" si="0"/>
        <v>1743.5</v>
      </c>
      <c r="I18" s="26"/>
      <c r="J18" s="12"/>
    </row>
    <row r="19" spans="1:10" ht="26.7" customHeight="1">
      <c r="A19" s="39" t="s">
        <v>473</v>
      </c>
      <c r="B19" s="38" t="s">
        <v>323</v>
      </c>
      <c r="C19" s="7"/>
      <c r="D19" s="259"/>
      <c r="E19" s="260"/>
      <c r="F19" s="279">
        <v>58</v>
      </c>
      <c r="G19" s="260"/>
      <c r="H19" s="38">
        <f t="shared" si="0"/>
        <v>1685.5</v>
      </c>
      <c r="I19" s="108" t="s">
        <v>669</v>
      </c>
      <c r="J19" s="12"/>
    </row>
    <row r="20" spans="1:10" ht="26.7" customHeight="1">
      <c r="A20" s="39" t="s">
        <v>526</v>
      </c>
      <c r="B20" s="38" t="s">
        <v>323</v>
      </c>
      <c r="C20" s="7"/>
      <c r="D20" s="259"/>
      <c r="E20" s="260"/>
      <c r="F20" s="279">
        <v>42</v>
      </c>
      <c r="G20" s="260"/>
      <c r="H20" s="38">
        <f t="shared" si="0"/>
        <v>1643.5</v>
      </c>
      <c r="I20" s="26"/>
      <c r="J20" s="12"/>
    </row>
    <row r="21" spans="1:10" ht="26.7" customHeight="1">
      <c r="A21" s="39" t="s">
        <v>476</v>
      </c>
      <c r="B21" s="38" t="s">
        <v>323</v>
      </c>
      <c r="C21" s="7"/>
      <c r="D21" s="259"/>
      <c r="E21" s="260"/>
      <c r="F21" s="279">
        <v>35</v>
      </c>
      <c r="G21" s="260"/>
      <c r="H21" s="38">
        <f t="shared" si="0"/>
        <v>1608.5</v>
      </c>
      <c r="I21" s="26"/>
      <c r="J21" s="12"/>
    </row>
    <row r="22" spans="1:10" ht="26.7" customHeight="1">
      <c r="A22" s="107" t="s">
        <v>477</v>
      </c>
      <c r="B22" s="38" t="s">
        <v>323</v>
      </c>
      <c r="C22" s="7"/>
      <c r="D22" s="259"/>
      <c r="E22" s="260"/>
      <c r="F22" s="279">
        <v>30</v>
      </c>
      <c r="G22" s="260"/>
      <c r="H22" s="38">
        <f t="shared" si="0"/>
        <v>1578.5</v>
      </c>
      <c r="I22" s="26"/>
      <c r="J22" s="12"/>
    </row>
    <row r="23" spans="1:10" ht="26.7" customHeight="1">
      <c r="A23" s="39" t="s">
        <v>341</v>
      </c>
      <c r="B23" s="38" t="s">
        <v>323</v>
      </c>
      <c r="C23" s="7"/>
      <c r="D23" s="259"/>
      <c r="E23" s="260"/>
      <c r="F23" s="279">
        <v>7</v>
      </c>
      <c r="G23" s="260"/>
      <c r="H23" s="38">
        <f t="shared" si="0"/>
        <v>1571.5</v>
      </c>
      <c r="I23" s="26"/>
      <c r="J23" s="12"/>
    </row>
    <row r="24" spans="1:10" ht="26.7" customHeight="1">
      <c r="A24" s="39" t="s">
        <v>655</v>
      </c>
      <c r="B24" s="38" t="s">
        <v>323</v>
      </c>
      <c r="C24" s="7"/>
      <c r="D24" s="259"/>
      <c r="E24" s="260"/>
      <c r="F24" s="279">
        <v>30</v>
      </c>
      <c r="G24" s="260"/>
      <c r="H24" s="38">
        <f t="shared" si="0"/>
        <v>1541.5</v>
      </c>
      <c r="I24" s="26"/>
      <c r="J24" s="12"/>
    </row>
    <row r="25" spans="1:10" ht="26.7" customHeight="1">
      <c r="A25" s="39" t="s">
        <v>342</v>
      </c>
      <c r="B25" s="38" t="s">
        <v>323</v>
      </c>
      <c r="C25" s="7"/>
      <c r="D25" s="259"/>
      <c r="E25" s="260"/>
      <c r="F25" s="279">
        <v>14</v>
      </c>
      <c r="G25" s="260"/>
      <c r="H25" s="38">
        <f t="shared" si="0"/>
        <v>1527.5</v>
      </c>
      <c r="I25" s="28"/>
      <c r="J25" s="12"/>
    </row>
    <row r="26" spans="1:10" ht="26.7" customHeight="1">
      <c r="A26" s="39" t="s">
        <v>346</v>
      </c>
      <c r="B26" s="38" t="s">
        <v>323</v>
      </c>
      <c r="C26" s="7"/>
      <c r="D26" s="259"/>
      <c r="E26" s="260"/>
      <c r="F26" s="279">
        <v>28</v>
      </c>
      <c r="G26" s="260"/>
      <c r="H26" s="38">
        <f t="shared" si="0"/>
        <v>1499.5</v>
      </c>
      <c r="I26" s="26"/>
      <c r="J26" s="12"/>
    </row>
    <row r="27" spans="1:10" ht="26.7" customHeight="1">
      <c r="A27" s="39" t="s">
        <v>479</v>
      </c>
      <c r="B27" s="38" t="s">
        <v>323</v>
      </c>
      <c r="C27" s="7"/>
      <c r="D27" s="259"/>
      <c r="E27" s="260"/>
      <c r="F27" s="279">
        <v>30</v>
      </c>
      <c r="G27" s="260"/>
      <c r="H27" s="38">
        <f t="shared" si="0"/>
        <v>1469.5</v>
      </c>
      <c r="I27" s="26"/>
      <c r="J27" s="12"/>
    </row>
    <row r="28" spans="1:10" ht="26.7" customHeight="1">
      <c r="A28" s="39" t="s">
        <v>481</v>
      </c>
      <c r="B28" s="38" t="s">
        <v>323</v>
      </c>
      <c r="C28" s="7"/>
      <c r="D28" s="259"/>
      <c r="E28" s="260"/>
      <c r="F28" s="279">
        <v>15</v>
      </c>
      <c r="G28" s="260"/>
      <c r="H28" s="38">
        <f t="shared" si="0"/>
        <v>1454.5</v>
      </c>
      <c r="I28" s="26"/>
      <c r="J28" s="12"/>
    </row>
    <row r="29" spans="1:10" ht="26.7" customHeight="1">
      <c r="A29" s="39" t="s">
        <v>438</v>
      </c>
      <c r="B29" s="38" t="s">
        <v>323</v>
      </c>
      <c r="C29" s="7"/>
      <c r="D29" s="259"/>
      <c r="E29" s="260"/>
      <c r="F29" s="279">
        <v>56</v>
      </c>
      <c r="G29" s="260"/>
      <c r="H29" s="38">
        <f t="shared" si="0"/>
        <v>1398.5</v>
      </c>
      <c r="I29" s="26"/>
      <c r="J29" s="12"/>
    </row>
    <row r="30" spans="1:10" ht="26.7" customHeight="1">
      <c r="A30" s="39" t="s">
        <v>634</v>
      </c>
      <c r="B30" s="38" t="s">
        <v>323</v>
      </c>
      <c r="C30" s="7"/>
      <c r="D30" s="259"/>
      <c r="E30" s="260"/>
      <c r="F30" s="279">
        <v>30</v>
      </c>
      <c r="G30" s="260"/>
      <c r="H30" s="38">
        <f t="shared" si="0"/>
        <v>1368.5</v>
      </c>
      <c r="I30" s="26"/>
      <c r="J30" s="12"/>
    </row>
    <row r="31" spans="1:10" ht="26.7" customHeight="1" thickBot="1">
      <c r="A31" s="39" t="s">
        <v>529</v>
      </c>
      <c r="B31" s="38" t="s">
        <v>323</v>
      </c>
      <c r="C31" s="31"/>
      <c r="D31" s="264"/>
      <c r="E31" s="265"/>
      <c r="F31" s="279">
        <v>28</v>
      </c>
      <c r="G31" s="260"/>
      <c r="H31" s="38">
        <f t="shared" si="0"/>
        <v>1340.5</v>
      </c>
      <c r="I31" s="32"/>
      <c r="J31" s="12"/>
    </row>
    <row r="32" spans="1:10" ht="26.7" customHeight="1">
      <c r="A32" s="39" t="s">
        <v>530</v>
      </c>
      <c r="B32" s="38" t="s">
        <v>323</v>
      </c>
      <c r="C32" s="22"/>
      <c r="D32" s="276"/>
      <c r="E32" s="277"/>
      <c r="F32" s="279">
        <v>14</v>
      </c>
      <c r="G32" s="260"/>
      <c r="H32" s="38">
        <f t="shared" si="0"/>
        <v>1326.5</v>
      </c>
      <c r="I32" s="22"/>
      <c r="J32" s="3"/>
    </row>
    <row r="33" spans="1:9" ht="26.7" customHeight="1">
      <c r="A33" s="39" t="s">
        <v>351</v>
      </c>
      <c r="B33" s="38" t="s">
        <v>323</v>
      </c>
      <c r="C33" s="7"/>
      <c r="D33" s="259"/>
      <c r="E33" s="260"/>
      <c r="F33" s="279">
        <v>14</v>
      </c>
      <c r="G33" s="260"/>
      <c r="H33" s="38">
        <f t="shared" si="0"/>
        <v>1312.5</v>
      </c>
      <c r="I33" s="7"/>
    </row>
    <row r="34" spans="1:9" ht="26.7" customHeight="1">
      <c r="A34" s="39" t="s">
        <v>389</v>
      </c>
      <c r="B34" s="38" t="s">
        <v>323</v>
      </c>
      <c r="C34" s="38"/>
      <c r="D34" s="287"/>
      <c r="E34" s="260"/>
      <c r="F34" s="279">
        <v>7</v>
      </c>
      <c r="G34" s="260"/>
      <c r="H34" s="38">
        <f t="shared" si="0"/>
        <v>1305.5</v>
      </c>
      <c r="I34" s="117"/>
    </row>
    <row r="35" spans="1:9" ht="26.7" customHeight="1">
      <c r="A35" s="39" t="s">
        <v>390</v>
      </c>
      <c r="B35" s="38" t="s">
        <v>323</v>
      </c>
      <c r="C35" s="7"/>
      <c r="D35" s="259"/>
      <c r="E35" s="260"/>
      <c r="F35" s="279">
        <v>30</v>
      </c>
      <c r="G35" s="260"/>
      <c r="H35" s="38">
        <f t="shared" si="0"/>
        <v>1275.5</v>
      </c>
      <c r="I35" s="7"/>
    </row>
    <row r="36" spans="1:9" ht="26.7" customHeight="1">
      <c r="A36" s="39" t="s">
        <v>440</v>
      </c>
      <c r="B36" s="38" t="s">
        <v>323</v>
      </c>
      <c r="C36" s="3"/>
      <c r="D36" s="259"/>
      <c r="E36" s="260"/>
      <c r="F36" s="279">
        <v>28</v>
      </c>
      <c r="G36" s="260"/>
      <c r="H36" s="38">
        <f t="shared" si="0"/>
        <v>1247.5</v>
      </c>
      <c r="I36" s="7"/>
    </row>
    <row r="37" spans="1:9" ht="26.7" customHeight="1">
      <c r="A37" s="39" t="s">
        <v>485</v>
      </c>
      <c r="B37" s="38" t="s">
        <v>323</v>
      </c>
      <c r="C37" s="116"/>
      <c r="D37" s="259"/>
      <c r="E37" s="260"/>
      <c r="F37" s="279">
        <v>30</v>
      </c>
      <c r="G37" s="260"/>
      <c r="H37" s="38">
        <f t="shared" si="0"/>
        <v>1217.5</v>
      </c>
      <c r="I37" s="16"/>
    </row>
    <row r="38" spans="1:9" ht="26.7" customHeight="1">
      <c r="A38" s="39" t="s">
        <v>415</v>
      </c>
      <c r="B38" s="38" t="s">
        <v>323</v>
      </c>
      <c r="C38" s="3"/>
      <c r="D38" s="259"/>
      <c r="E38" s="260"/>
      <c r="F38" s="279">
        <v>56</v>
      </c>
      <c r="G38" s="260"/>
      <c r="H38" s="38">
        <f t="shared" si="0"/>
        <v>1161.5</v>
      </c>
      <c r="I38" s="7"/>
    </row>
    <row r="39" spans="1:9" ht="26.7" customHeight="1">
      <c r="A39" s="39" t="s">
        <v>352</v>
      </c>
      <c r="B39" s="38" t="s">
        <v>323</v>
      </c>
      <c r="C39" s="3"/>
      <c r="D39" s="259"/>
      <c r="E39" s="260"/>
      <c r="F39" s="279">
        <v>14</v>
      </c>
      <c r="G39" s="260"/>
      <c r="H39" s="38">
        <f t="shared" si="0"/>
        <v>1147.5</v>
      </c>
      <c r="I39" s="7"/>
    </row>
    <row r="40" spans="1:9" ht="26.7" customHeight="1">
      <c r="A40" s="39" t="s">
        <v>353</v>
      </c>
      <c r="B40" s="38" t="s">
        <v>323</v>
      </c>
      <c r="C40" s="3"/>
      <c r="D40" s="259"/>
      <c r="E40" s="260"/>
      <c r="F40" s="279">
        <v>28</v>
      </c>
      <c r="G40" s="260"/>
      <c r="H40" s="38">
        <f t="shared" si="0"/>
        <v>1119.5</v>
      </c>
      <c r="I40" s="7"/>
    </row>
    <row r="41" spans="1:9" ht="26.7" customHeight="1">
      <c r="A41" s="39" t="s">
        <v>392</v>
      </c>
      <c r="B41" s="38" t="s">
        <v>323</v>
      </c>
      <c r="C41" s="3"/>
      <c r="D41" s="259"/>
      <c r="E41" s="260"/>
      <c r="F41" s="279">
        <v>28</v>
      </c>
      <c r="G41" s="260"/>
      <c r="H41" s="38">
        <f t="shared" si="0"/>
        <v>1091.5</v>
      </c>
      <c r="I41" s="7"/>
    </row>
    <row r="42" spans="1:9" ht="26.7" customHeight="1">
      <c r="A42" s="39" t="s">
        <v>580</v>
      </c>
      <c r="B42" s="38" t="s">
        <v>323</v>
      </c>
      <c r="C42" s="3"/>
      <c r="D42" s="259"/>
      <c r="E42" s="260"/>
      <c r="F42" s="279">
        <v>30</v>
      </c>
      <c r="G42" s="260"/>
      <c r="H42" s="38">
        <f t="shared" si="0"/>
        <v>1061.5</v>
      </c>
      <c r="I42" s="7"/>
    </row>
    <row r="43" spans="1:9" ht="26.7" customHeight="1">
      <c r="A43" s="39" t="s">
        <v>355</v>
      </c>
      <c r="B43" s="38" t="s">
        <v>323</v>
      </c>
      <c r="C43" s="3"/>
      <c r="D43" s="259"/>
      <c r="E43" s="260"/>
      <c r="F43" s="279">
        <v>14</v>
      </c>
      <c r="G43" s="260"/>
      <c r="H43" s="38">
        <f t="shared" si="0"/>
        <v>1047.5</v>
      </c>
      <c r="I43" s="7"/>
    </row>
    <row r="44" spans="1:9" ht="26.7" customHeight="1">
      <c r="A44" s="39" t="s">
        <v>492</v>
      </c>
      <c r="B44" s="38" t="s">
        <v>323</v>
      </c>
      <c r="C44" s="3"/>
      <c r="D44" s="259"/>
      <c r="E44" s="260"/>
      <c r="F44" s="279">
        <v>30</v>
      </c>
      <c r="G44" s="260"/>
      <c r="H44" s="38">
        <f t="shared" si="0"/>
        <v>1017.5</v>
      </c>
      <c r="I44" s="7"/>
    </row>
    <row r="45" spans="1:9" ht="26.7" customHeight="1">
      <c r="A45" s="39" t="s">
        <v>394</v>
      </c>
      <c r="B45" s="38" t="s">
        <v>323</v>
      </c>
      <c r="C45" s="3"/>
      <c r="D45" s="259"/>
      <c r="E45" s="260"/>
      <c r="F45" s="279">
        <v>28</v>
      </c>
      <c r="G45" s="260"/>
      <c r="H45" s="38">
        <f t="shared" si="0"/>
        <v>989.5</v>
      </c>
      <c r="I45" s="7"/>
    </row>
    <row r="46" spans="1:9" ht="26.7" customHeight="1">
      <c r="A46" s="39" t="s">
        <v>493</v>
      </c>
      <c r="B46" s="38" t="s">
        <v>323</v>
      </c>
      <c r="C46" s="3"/>
      <c r="D46" s="259"/>
      <c r="E46" s="260"/>
      <c r="F46" s="279">
        <v>30</v>
      </c>
      <c r="G46" s="260"/>
      <c r="H46" s="38">
        <f t="shared" si="0"/>
        <v>959.5</v>
      </c>
      <c r="I46" s="7"/>
    </row>
    <row r="47" spans="1:9" ht="26.7" customHeight="1">
      <c r="A47" s="39" t="s">
        <v>493</v>
      </c>
      <c r="B47" s="38" t="s">
        <v>324</v>
      </c>
      <c r="C47" s="3">
        <v>1512</v>
      </c>
      <c r="D47" s="259" t="s">
        <v>670</v>
      </c>
      <c r="E47" s="260"/>
      <c r="F47" s="279"/>
      <c r="G47" s="260"/>
      <c r="H47" s="38">
        <v>2471.5</v>
      </c>
      <c r="I47" s="109" t="s">
        <v>654</v>
      </c>
    </row>
    <row r="48" spans="1:9" ht="26.7" customHeight="1">
      <c r="A48" s="39" t="s">
        <v>445</v>
      </c>
      <c r="B48" s="38" t="s">
        <v>323</v>
      </c>
      <c r="C48" s="10"/>
      <c r="D48" s="259"/>
      <c r="E48" s="260"/>
      <c r="F48" s="279">
        <v>28</v>
      </c>
      <c r="G48" s="260"/>
      <c r="H48" s="38">
        <f t="shared" ref="H48:H69" si="1">H47-F48</f>
        <v>2443.5</v>
      </c>
      <c r="I48" s="7"/>
    </row>
    <row r="49" spans="1:9" ht="26.7" customHeight="1">
      <c r="A49" s="39" t="s">
        <v>495</v>
      </c>
      <c r="B49" s="38" t="s">
        <v>323</v>
      </c>
      <c r="C49" s="10"/>
      <c r="D49" s="259"/>
      <c r="E49" s="260"/>
      <c r="F49" s="279">
        <v>14</v>
      </c>
      <c r="G49" s="260"/>
      <c r="H49" s="38">
        <f t="shared" si="1"/>
        <v>2429.5</v>
      </c>
      <c r="I49" s="11"/>
    </row>
    <row r="50" spans="1:9" ht="26.7" customHeight="1">
      <c r="A50" s="39" t="s">
        <v>357</v>
      </c>
      <c r="B50" s="38" t="s">
        <v>323</v>
      </c>
      <c r="C50" s="9"/>
      <c r="D50" s="259"/>
      <c r="E50" s="260"/>
      <c r="F50" s="279">
        <v>28</v>
      </c>
      <c r="G50" s="260"/>
      <c r="H50" s="38">
        <f t="shared" si="1"/>
        <v>2401.5</v>
      </c>
      <c r="I50" s="7"/>
    </row>
    <row r="51" spans="1:9" ht="26.7" customHeight="1">
      <c r="A51" s="39" t="s">
        <v>358</v>
      </c>
      <c r="B51" s="38" t="s">
        <v>323</v>
      </c>
      <c r="C51" s="3"/>
      <c r="D51" s="259"/>
      <c r="E51" s="260"/>
      <c r="F51" s="279">
        <v>30</v>
      </c>
      <c r="G51" s="260"/>
      <c r="H51" s="38">
        <f t="shared" si="1"/>
        <v>2371.5</v>
      </c>
      <c r="I51" s="7"/>
    </row>
    <row r="52" spans="1:9" ht="26.7" customHeight="1">
      <c r="A52" s="39" t="s">
        <v>499</v>
      </c>
      <c r="B52" s="38" t="s">
        <v>323</v>
      </c>
      <c r="C52" s="3"/>
      <c r="D52" s="259"/>
      <c r="E52" s="260"/>
      <c r="F52" s="279">
        <v>14</v>
      </c>
      <c r="G52" s="260"/>
      <c r="H52" s="38">
        <f t="shared" si="1"/>
        <v>2357.5</v>
      </c>
      <c r="I52" s="7"/>
    </row>
    <row r="53" spans="1:9" ht="26.7" customHeight="1">
      <c r="A53" s="39" t="s">
        <v>449</v>
      </c>
      <c r="B53" s="38" t="s">
        <v>323</v>
      </c>
      <c r="C53" s="3"/>
      <c r="D53" s="259"/>
      <c r="E53" s="260"/>
      <c r="F53" s="279">
        <v>114</v>
      </c>
      <c r="G53" s="260"/>
      <c r="H53" s="38">
        <f t="shared" si="1"/>
        <v>2243.5</v>
      </c>
      <c r="I53" s="7"/>
    </row>
    <row r="54" spans="1:9" ht="26.7" customHeight="1">
      <c r="A54" s="39" t="s">
        <v>395</v>
      </c>
      <c r="B54" s="38" t="s">
        <v>323</v>
      </c>
      <c r="C54" s="3"/>
      <c r="D54" s="259"/>
      <c r="E54" s="260"/>
      <c r="F54" s="279">
        <v>30</v>
      </c>
      <c r="G54" s="260"/>
      <c r="H54" s="38">
        <f t="shared" si="1"/>
        <v>2213.5</v>
      </c>
      <c r="I54" s="7"/>
    </row>
    <row r="55" spans="1:9" ht="26.7" customHeight="1">
      <c r="A55" s="39" t="s">
        <v>397</v>
      </c>
      <c r="B55" s="38" t="s">
        <v>323</v>
      </c>
      <c r="C55" s="3"/>
      <c r="D55" s="259"/>
      <c r="E55" s="260"/>
      <c r="F55" s="279">
        <v>30</v>
      </c>
      <c r="G55" s="260"/>
      <c r="H55" s="38">
        <f t="shared" si="1"/>
        <v>2183.5</v>
      </c>
      <c r="I55" s="7"/>
    </row>
    <row r="56" spans="1:9" ht="26.7" customHeight="1">
      <c r="A56" s="39" t="s">
        <v>502</v>
      </c>
      <c r="B56" s="38" t="s">
        <v>323</v>
      </c>
      <c r="C56" s="3"/>
      <c r="D56" s="259"/>
      <c r="E56" s="260"/>
      <c r="F56" s="279">
        <v>14</v>
      </c>
      <c r="G56" s="260"/>
      <c r="H56" s="38">
        <f t="shared" si="1"/>
        <v>2169.5</v>
      </c>
      <c r="I56" s="16"/>
    </row>
    <row r="57" spans="1:9" ht="26.7" customHeight="1">
      <c r="A57" s="39" t="s">
        <v>361</v>
      </c>
      <c r="B57" s="38" t="s">
        <v>323</v>
      </c>
      <c r="C57" s="3"/>
      <c r="D57" s="259"/>
      <c r="E57" s="260"/>
      <c r="F57" s="279">
        <v>28</v>
      </c>
      <c r="G57" s="260"/>
      <c r="H57" s="38">
        <f t="shared" si="1"/>
        <v>2141.5</v>
      </c>
      <c r="I57" s="7"/>
    </row>
    <row r="58" spans="1:9" ht="26.7" customHeight="1">
      <c r="A58" s="39" t="s">
        <v>505</v>
      </c>
      <c r="B58" s="38" t="s">
        <v>323</v>
      </c>
      <c r="C58" s="3"/>
      <c r="D58" s="259"/>
      <c r="E58" s="260"/>
      <c r="F58" s="279">
        <v>30</v>
      </c>
      <c r="G58" s="260"/>
      <c r="H58" s="38">
        <f t="shared" si="1"/>
        <v>2111.5</v>
      </c>
      <c r="I58" s="7"/>
    </row>
    <row r="59" spans="1:9" ht="26.7" customHeight="1">
      <c r="A59" s="39" t="s">
        <v>552</v>
      </c>
      <c r="B59" s="38" t="s">
        <v>323</v>
      </c>
      <c r="C59" s="3"/>
      <c r="D59" s="259"/>
      <c r="E59" s="260"/>
      <c r="F59" s="279">
        <v>14</v>
      </c>
      <c r="G59" s="260"/>
      <c r="H59" s="38">
        <f t="shared" si="1"/>
        <v>2097.5</v>
      </c>
      <c r="I59" s="7"/>
    </row>
    <row r="60" spans="1:9" ht="26.7" customHeight="1">
      <c r="A60" s="39" t="s">
        <v>452</v>
      </c>
      <c r="B60" s="38" t="s">
        <v>323</v>
      </c>
      <c r="C60" s="3"/>
      <c r="D60" s="259"/>
      <c r="E60" s="260"/>
      <c r="F60" s="279">
        <v>56</v>
      </c>
      <c r="G60" s="260"/>
      <c r="H60" s="38">
        <f t="shared" si="1"/>
        <v>2041.5</v>
      </c>
      <c r="I60" s="7"/>
    </row>
    <row r="61" spans="1:9" ht="26.7" customHeight="1">
      <c r="A61" s="39" t="s">
        <v>586</v>
      </c>
      <c r="B61" s="38" t="s">
        <v>323</v>
      </c>
      <c r="C61" s="9"/>
      <c r="D61" s="259"/>
      <c r="E61" s="260"/>
      <c r="F61" s="279">
        <v>28</v>
      </c>
      <c r="G61" s="260"/>
      <c r="H61" s="38">
        <f t="shared" si="1"/>
        <v>2013.5</v>
      </c>
      <c r="I61" s="7"/>
    </row>
    <row r="62" spans="1:9" ht="26.7" customHeight="1">
      <c r="A62" s="39" t="s">
        <v>365</v>
      </c>
      <c r="B62" s="38" t="s">
        <v>323</v>
      </c>
      <c r="C62" s="3"/>
      <c r="D62" s="259"/>
      <c r="E62" s="260"/>
      <c r="F62" s="279">
        <v>30</v>
      </c>
      <c r="G62" s="260"/>
      <c r="H62" s="38">
        <f t="shared" si="1"/>
        <v>1983.5</v>
      </c>
      <c r="I62" s="7"/>
    </row>
    <row r="63" spans="1:9" ht="26.7" customHeight="1">
      <c r="A63" s="39" t="s">
        <v>507</v>
      </c>
      <c r="B63" s="38" t="s">
        <v>323</v>
      </c>
      <c r="C63" s="3"/>
      <c r="D63" s="259"/>
      <c r="E63" s="260"/>
      <c r="F63" s="279">
        <v>14</v>
      </c>
      <c r="G63" s="260"/>
      <c r="H63" s="38">
        <f t="shared" si="1"/>
        <v>1969.5</v>
      </c>
      <c r="I63" s="7"/>
    </row>
    <row r="64" spans="1:9" ht="26.7" customHeight="1">
      <c r="A64" s="39" t="s">
        <v>508</v>
      </c>
      <c r="B64" s="38" t="s">
        <v>323</v>
      </c>
      <c r="C64" s="3"/>
      <c r="D64" s="259"/>
      <c r="E64" s="260"/>
      <c r="F64" s="279">
        <v>30</v>
      </c>
      <c r="G64" s="260"/>
      <c r="H64" s="38">
        <f t="shared" si="1"/>
        <v>1939.5</v>
      </c>
      <c r="I64" s="7"/>
    </row>
    <row r="65" spans="1:9" ht="26.7" customHeight="1">
      <c r="A65" s="39" t="s">
        <v>588</v>
      </c>
      <c r="B65" s="38" t="s">
        <v>323</v>
      </c>
      <c r="C65" s="3"/>
      <c r="D65" s="259"/>
      <c r="E65" s="260"/>
      <c r="F65" s="279">
        <v>42</v>
      </c>
      <c r="G65" s="260"/>
      <c r="H65" s="38">
        <f t="shared" si="1"/>
        <v>1897.5</v>
      </c>
      <c r="I65" s="7"/>
    </row>
    <row r="66" spans="1:9" ht="26.7" customHeight="1">
      <c r="A66" s="39" t="s">
        <v>400</v>
      </c>
      <c r="B66" s="38" t="s">
        <v>323</v>
      </c>
      <c r="C66" s="57"/>
      <c r="D66" s="279"/>
      <c r="E66" s="260"/>
      <c r="F66" s="279">
        <v>56</v>
      </c>
      <c r="G66" s="260"/>
      <c r="H66" s="38">
        <f t="shared" si="1"/>
        <v>1841.5</v>
      </c>
      <c r="I66" s="38" t="s">
        <v>662</v>
      </c>
    </row>
    <row r="67" spans="1:9" ht="26.7" customHeight="1">
      <c r="A67" s="39" t="s">
        <v>367</v>
      </c>
      <c r="B67" s="38" t="s">
        <v>323</v>
      </c>
      <c r="C67" s="57"/>
      <c r="D67" s="279"/>
      <c r="E67" s="260"/>
      <c r="F67" s="279">
        <v>28</v>
      </c>
      <c r="G67" s="260"/>
      <c r="H67" s="38">
        <f t="shared" si="1"/>
        <v>1813.5</v>
      </c>
      <c r="I67" s="38"/>
    </row>
    <row r="68" spans="1:9" ht="26.7" customHeight="1">
      <c r="A68" s="39" t="s">
        <v>626</v>
      </c>
      <c r="B68" s="38" t="s">
        <v>323</v>
      </c>
      <c r="C68" s="57"/>
      <c r="D68" s="279"/>
      <c r="E68" s="260"/>
      <c r="F68" s="279">
        <v>14</v>
      </c>
      <c r="G68" s="260"/>
      <c r="H68" s="38">
        <f t="shared" si="1"/>
        <v>1799.5</v>
      </c>
      <c r="I68" s="38"/>
    </row>
    <row r="69" spans="1:9" ht="26.7" customHeight="1">
      <c r="A69" s="39" t="s">
        <v>661</v>
      </c>
      <c r="B69" s="38" t="s">
        <v>323</v>
      </c>
      <c r="C69" s="57"/>
      <c r="D69" s="279"/>
      <c r="E69" s="260"/>
      <c r="F69" s="279">
        <v>30</v>
      </c>
      <c r="G69" s="260"/>
      <c r="H69" s="38">
        <f t="shared" si="1"/>
        <v>1769.5</v>
      </c>
      <c r="I69" s="38"/>
    </row>
    <row r="70" spans="1:9" ht="26.7" customHeight="1">
      <c r="A70" s="39"/>
      <c r="B70" s="38"/>
      <c r="C70" s="57"/>
      <c r="D70" s="279"/>
      <c r="E70" s="260"/>
      <c r="F70" s="279"/>
      <c r="G70" s="260"/>
      <c r="H70" s="38"/>
      <c r="I70" s="38"/>
    </row>
    <row r="71" spans="1:9" ht="26.7" customHeight="1">
      <c r="A71" s="39"/>
      <c r="B71" s="38"/>
      <c r="C71" s="57"/>
      <c r="D71" s="279"/>
      <c r="E71" s="260"/>
      <c r="F71" s="279"/>
      <c r="G71" s="260"/>
      <c r="H71" s="38"/>
      <c r="I71" s="38"/>
    </row>
    <row r="72" spans="1:9" ht="26.7" customHeight="1">
      <c r="A72" s="39"/>
      <c r="B72" s="38"/>
      <c r="C72" s="57"/>
      <c r="D72" s="279"/>
      <c r="E72" s="260"/>
      <c r="F72" s="279"/>
      <c r="G72" s="260"/>
      <c r="H72" s="38"/>
      <c r="I72" s="38"/>
    </row>
    <row r="73" spans="1:9" ht="26.7" customHeight="1">
      <c r="A73" s="39"/>
      <c r="B73" s="38"/>
      <c r="C73" s="57"/>
      <c r="D73" s="279"/>
      <c r="E73" s="260"/>
      <c r="F73" s="279"/>
      <c r="G73" s="260"/>
      <c r="H73" s="38"/>
      <c r="I73" s="38"/>
    </row>
    <row r="74" spans="1:9" ht="26.7" customHeight="1">
      <c r="A74" s="39"/>
      <c r="B74" s="38"/>
      <c r="C74" s="57"/>
      <c r="D74" s="279"/>
      <c r="E74" s="260"/>
      <c r="F74" s="279"/>
      <c r="G74" s="260"/>
      <c r="H74" s="38"/>
      <c r="I74" s="38"/>
    </row>
    <row r="75" spans="1:9" ht="26.7" customHeight="1">
      <c r="A75" s="39"/>
      <c r="B75" s="38"/>
      <c r="C75" s="57"/>
      <c r="D75" s="279"/>
      <c r="E75" s="260"/>
      <c r="F75" s="279"/>
      <c r="G75" s="260"/>
      <c r="H75" s="38"/>
      <c r="I75" s="38"/>
    </row>
    <row r="76" spans="1:9" ht="26.7" customHeight="1">
      <c r="A76" s="39"/>
      <c r="B76" s="38"/>
      <c r="C76" s="57"/>
      <c r="D76" s="279"/>
      <c r="E76" s="260"/>
      <c r="F76" s="279"/>
      <c r="G76" s="260"/>
      <c r="H76" s="38"/>
      <c r="I76" s="38"/>
    </row>
    <row r="77" spans="1:9" ht="26.7" customHeight="1">
      <c r="A77" s="39"/>
      <c r="B77" s="38"/>
      <c r="C77" s="57"/>
      <c r="D77" s="279"/>
      <c r="E77" s="260"/>
      <c r="F77" s="279"/>
      <c r="G77" s="260"/>
      <c r="H77" s="38"/>
      <c r="I77" s="38"/>
    </row>
    <row r="78" spans="1:9" ht="26.7" customHeight="1">
      <c r="A78" s="39"/>
      <c r="B78" s="38"/>
      <c r="C78" s="57"/>
      <c r="D78" s="279"/>
      <c r="E78" s="260"/>
      <c r="F78" s="279"/>
      <c r="G78" s="260"/>
      <c r="H78" s="38"/>
      <c r="I78" s="38"/>
    </row>
    <row r="79" spans="1:9" ht="26.7" customHeight="1">
      <c r="A79" s="39"/>
      <c r="B79" s="38"/>
      <c r="C79" s="57"/>
      <c r="D79" s="279"/>
      <c r="E79" s="260"/>
      <c r="F79" s="279"/>
      <c r="G79" s="260"/>
      <c r="H79" s="38"/>
      <c r="I79" s="38"/>
    </row>
    <row r="80" spans="1:9" ht="26.7" customHeight="1">
      <c r="A80" s="39"/>
      <c r="B80" s="38"/>
      <c r="C80" s="57"/>
      <c r="D80" s="279"/>
      <c r="E80" s="260"/>
      <c r="F80" s="279"/>
      <c r="G80" s="260"/>
      <c r="H80" s="38"/>
      <c r="I80" s="38"/>
    </row>
    <row r="81" spans="1:9" ht="26.7" customHeight="1">
      <c r="A81" s="41"/>
      <c r="B81" s="38"/>
      <c r="C81" s="57"/>
      <c r="D81" s="279"/>
      <c r="E81" s="260"/>
      <c r="F81" s="279"/>
      <c r="G81" s="260"/>
      <c r="H81" s="38"/>
      <c r="I81" s="38"/>
    </row>
    <row r="82" spans="1:9" ht="26.7" customHeight="1">
      <c r="A82" s="39"/>
      <c r="B82" s="38"/>
      <c r="C82" s="57"/>
      <c r="D82" s="279"/>
      <c r="E82" s="260"/>
      <c r="F82" s="279"/>
      <c r="G82" s="260"/>
      <c r="H82" s="38"/>
      <c r="I82" s="38"/>
    </row>
    <row r="83" spans="1:9" ht="26.7" customHeight="1">
      <c r="A83" s="39"/>
      <c r="B83" s="38"/>
      <c r="C83" s="57"/>
      <c r="D83" s="279"/>
      <c r="E83" s="260"/>
      <c r="F83" s="279"/>
      <c r="G83" s="260"/>
      <c r="H83" s="38"/>
      <c r="I83" s="38"/>
    </row>
    <row r="84" spans="1:9" ht="26.7" customHeight="1">
      <c r="A84" s="39"/>
      <c r="B84" s="38"/>
      <c r="C84" s="57"/>
      <c r="D84" s="279"/>
      <c r="E84" s="260"/>
      <c r="F84" s="279"/>
      <c r="G84" s="260"/>
      <c r="H84" s="38"/>
      <c r="I84" s="38"/>
    </row>
    <row r="85" spans="1:9" ht="26.7" customHeight="1">
      <c r="A85" s="39"/>
      <c r="B85" s="38"/>
      <c r="C85" s="57"/>
      <c r="D85" s="279"/>
      <c r="E85" s="260"/>
      <c r="F85" s="279"/>
      <c r="G85" s="260"/>
      <c r="H85" s="38"/>
      <c r="I85" s="38"/>
    </row>
    <row r="86" spans="1:9" ht="26.7" customHeight="1">
      <c r="A86" s="39"/>
      <c r="B86" s="38"/>
      <c r="C86" s="57"/>
      <c r="D86" s="279"/>
      <c r="E86" s="260"/>
      <c r="F86" s="279"/>
      <c r="G86" s="260"/>
      <c r="H86" s="38"/>
      <c r="I86" s="38"/>
    </row>
    <row r="87" spans="1:9" ht="26.7" customHeight="1">
      <c r="A87" s="39"/>
      <c r="B87" s="38"/>
      <c r="C87" s="57"/>
      <c r="D87" s="279"/>
      <c r="E87" s="260"/>
      <c r="F87" s="279"/>
      <c r="G87" s="260"/>
      <c r="H87" s="38"/>
      <c r="I87" s="38"/>
    </row>
    <row r="88" spans="1:9" ht="26.7" customHeight="1">
      <c r="A88" s="39"/>
      <c r="B88" s="38"/>
      <c r="C88" s="57"/>
      <c r="D88" s="279"/>
      <c r="E88" s="260"/>
      <c r="F88" s="279"/>
      <c r="G88" s="260"/>
      <c r="H88" s="38"/>
      <c r="I88" s="38"/>
    </row>
    <row r="89" spans="1:9" ht="26.7" customHeight="1">
      <c r="A89" s="39"/>
      <c r="B89" s="38"/>
      <c r="C89" s="57"/>
      <c r="D89" s="279"/>
      <c r="E89" s="260"/>
      <c r="F89" s="279"/>
      <c r="G89" s="260"/>
      <c r="H89" s="38"/>
      <c r="I89" s="38"/>
    </row>
    <row r="90" spans="1:9" ht="26.7" customHeight="1">
      <c r="A90" s="39"/>
      <c r="B90" s="38"/>
      <c r="C90" s="57"/>
      <c r="D90" s="279"/>
      <c r="E90" s="260"/>
      <c r="F90" s="279"/>
      <c r="G90" s="260"/>
      <c r="H90" s="38"/>
      <c r="I90" s="38"/>
    </row>
    <row r="91" spans="1:9" ht="26.7" customHeight="1">
      <c r="A91" s="39"/>
      <c r="B91" s="38"/>
      <c r="C91" s="57"/>
      <c r="D91" s="279"/>
      <c r="E91" s="260"/>
      <c r="F91" s="279"/>
      <c r="G91" s="260"/>
      <c r="H91" s="38"/>
      <c r="I91" s="38"/>
    </row>
    <row r="92" spans="1:9" ht="26.7" customHeight="1">
      <c r="A92" s="39"/>
      <c r="B92" s="38"/>
      <c r="C92" s="57"/>
      <c r="D92" s="279"/>
      <c r="E92" s="260"/>
      <c r="F92" s="279"/>
      <c r="G92" s="260"/>
      <c r="H92" s="38"/>
      <c r="I92" s="38"/>
    </row>
    <row r="93" spans="1:9" ht="26.7" customHeight="1">
      <c r="A93" s="39"/>
      <c r="B93" s="38"/>
      <c r="C93" s="57"/>
      <c r="D93" s="279"/>
      <c r="E93" s="260"/>
      <c r="F93" s="279"/>
      <c r="G93" s="260"/>
      <c r="H93" s="38"/>
      <c r="I93" s="38"/>
    </row>
    <row r="94" spans="1:9" ht="26.7" customHeight="1">
      <c r="A94" s="39"/>
      <c r="B94" s="38"/>
      <c r="C94" s="57"/>
      <c r="D94" s="279"/>
      <c r="E94" s="260"/>
      <c r="F94" s="279"/>
      <c r="G94" s="260"/>
      <c r="H94" s="38"/>
      <c r="I94" s="38"/>
    </row>
    <row r="95" spans="1:9" ht="26.7" customHeight="1">
      <c r="A95" s="39"/>
      <c r="B95" s="38"/>
      <c r="C95" s="57"/>
      <c r="D95" s="279"/>
      <c r="E95" s="260"/>
      <c r="F95" s="279"/>
      <c r="G95" s="260"/>
      <c r="H95" s="38"/>
      <c r="I95" s="38"/>
    </row>
    <row r="96" spans="1:9" ht="26.7" customHeight="1">
      <c r="A96" s="39"/>
      <c r="B96" s="38"/>
      <c r="C96" s="57"/>
      <c r="D96" s="279"/>
      <c r="E96" s="260"/>
      <c r="F96" s="279"/>
      <c r="G96" s="260"/>
      <c r="H96" s="38"/>
      <c r="I96" s="38"/>
    </row>
    <row r="97" spans="1:9" ht="26.7" customHeight="1">
      <c r="A97" s="39"/>
      <c r="B97" s="38"/>
      <c r="C97" s="57"/>
      <c r="D97" s="279"/>
      <c r="E97" s="260"/>
      <c r="F97" s="279"/>
      <c r="G97" s="260"/>
      <c r="H97" s="38"/>
      <c r="I97" s="38"/>
    </row>
    <row r="98" spans="1:9" ht="26.7" customHeight="1">
      <c r="A98" s="39"/>
      <c r="B98" s="38"/>
      <c r="C98" s="57"/>
      <c r="D98" s="279"/>
      <c r="E98" s="260"/>
      <c r="F98" s="279"/>
      <c r="G98" s="260"/>
      <c r="H98" s="38"/>
      <c r="I98" s="38"/>
    </row>
    <row r="99" spans="1:9" ht="26.7" customHeight="1">
      <c r="A99" s="39"/>
      <c r="B99" s="38"/>
      <c r="C99" s="57"/>
      <c r="D99" s="279"/>
      <c r="E99" s="260"/>
      <c r="F99" s="279"/>
      <c r="G99" s="260"/>
      <c r="H99" s="38"/>
      <c r="I99" s="38"/>
    </row>
    <row r="100" spans="1:9" ht="26.7" customHeight="1">
      <c r="A100" s="39"/>
      <c r="B100" s="38"/>
      <c r="C100" s="57"/>
      <c r="D100" s="279"/>
      <c r="E100" s="260"/>
      <c r="F100" s="279"/>
      <c r="G100" s="260"/>
      <c r="H100" s="38"/>
      <c r="I100" s="38"/>
    </row>
    <row r="101" spans="1:9" ht="26.7" customHeight="1">
      <c r="A101" s="39"/>
      <c r="B101" s="38"/>
      <c r="C101" s="57"/>
      <c r="D101" s="279"/>
      <c r="E101" s="260"/>
      <c r="F101" s="279"/>
      <c r="G101" s="260"/>
      <c r="H101" s="38"/>
      <c r="I101" s="38"/>
    </row>
    <row r="102" spans="1:9" ht="26.7" customHeight="1">
      <c r="A102" s="39"/>
      <c r="B102" s="38"/>
      <c r="C102" s="57"/>
      <c r="D102" s="279"/>
      <c r="E102" s="260"/>
      <c r="F102" s="279"/>
      <c r="G102" s="260"/>
      <c r="H102" s="38"/>
      <c r="I102" s="38"/>
    </row>
    <row r="103" spans="1:9" ht="26.7" customHeight="1">
      <c r="A103" s="39"/>
      <c r="B103" s="38"/>
      <c r="C103" s="57"/>
      <c r="D103" s="279"/>
      <c r="E103" s="260"/>
      <c r="F103" s="279"/>
      <c r="G103" s="260"/>
      <c r="H103" s="38"/>
      <c r="I103" s="38"/>
    </row>
    <row r="104" spans="1:9" ht="26.7" customHeight="1">
      <c r="A104" s="39"/>
      <c r="B104" s="38"/>
      <c r="C104" s="3"/>
      <c r="D104" s="259"/>
      <c r="E104" s="260"/>
      <c r="F104" s="279"/>
      <c r="G104" s="260"/>
      <c r="H104" s="38"/>
      <c r="I104" s="7"/>
    </row>
    <row r="105" spans="1:9" ht="26.7" customHeight="1">
      <c r="A105" s="39"/>
      <c r="B105" s="38"/>
      <c r="C105" s="57"/>
      <c r="D105" s="279"/>
      <c r="E105" s="260"/>
      <c r="F105" s="279"/>
      <c r="G105" s="260"/>
      <c r="H105" s="38"/>
      <c r="I105" s="38"/>
    </row>
    <row r="106" spans="1:9" ht="26.7" customHeight="1">
      <c r="A106" s="39"/>
      <c r="B106" s="38"/>
      <c r="C106" s="57"/>
      <c r="D106" s="279"/>
      <c r="E106" s="260"/>
      <c r="F106" s="279"/>
      <c r="G106" s="260"/>
      <c r="H106" s="38"/>
      <c r="I106" s="38" t="s">
        <v>662</v>
      </c>
    </row>
    <row r="107" spans="1:9" ht="26.7" customHeight="1">
      <c r="A107" s="39"/>
      <c r="B107" s="38"/>
      <c r="C107" s="57"/>
      <c r="D107" s="279"/>
      <c r="E107" s="260"/>
      <c r="F107" s="279"/>
      <c r="G107" s="260"/>
      <c r="H107" s="38"/>
      <c r="I107" s="38"/>
    </row>
    <row r="108" spans="1:9" ht="26.7" customHeight="1">
      <c r="A108" s="39"/>
      <c r="B108" s="38"/>
      <c r="C108" s="57"/>
      <c r="D108" s="279"/>
      <c r="E108" s="260"/>
      <c r="F108" s="279"/>
      <c r="G108" s="260"/>
      <c r="H108" s="38"/>
      <c r="I108" s="38"/>
    </row>
    <row r="109" spans="1:9" ht="26.7" customHeight="1">
      <c r="A109" s="39"/>
      <c r="B109" s="38"/>
      <c r="C109" s="57"/>
      <c r="D109" s="279"/>
      <c r="E109" s="260"/>
      <c r="F109" s="279"/>
      <c r="G109" s="260"/>
      <c r="H109" s="38"/>
      <c r="I109" s="38"/>
    </row>
    <row r="110" spans="1:9" ht="26.7" customHeight="1">
      <c r="A110" s="133"/>
      <c r="B110" s="140"/>
      <c r="C110" s="177"/>
      <c r="D110" s="289"/>
      <c r="E110" s="260"/>
      <c r="F110" s="289"/>
      <c r="G110" s="260"/>
      <c r="H110" s="140"/>
      <c r="I110" s="140" t="s">
        <v>671</v>
      </c>
    </row>
    <row r="111" spans="1:9" ht="26.7" customHeight="1">
      <c r="A111" s="39"/>
      <c r="B111" s="38"/>
      <c r="C111" s="57"/>
      <c r="D111" s="279"/>
      <c r="E111" s="260"/>
      <c r="F111" s="279"/>
      <c r="G111" s="260"/>
      <c r="H111" s="38"/>
      <c r="I111" s="38"/>
    </row>
    <row r="112" spans="1:9" ht="26.7" customHeight="1">
      <c r="A112" s="39"/>
      <c r="B112" s="38"/>
      <c r="C112" s="57"/>
      <c r="D112" s="279"/>
      <c r="E112" s="260"/>
      <c r="F112" s="279"/>
      <c r="G112" s="260"/>
      <c r="H112" s="38"/>
      <c r="I112" s="38"/>
    </row>
    <row r="113" spans="1:9" ht="26.7" customHeight="1">
      <c r="A113" s="39"/>
      <c r="B113" s="38"/>
      <c r="C113" s="57"/>
      <c r="D113" s="279"/>
      <c r="E113" s="260"/>
      <c r="F113" s="279"/>
      <c r="G113" s="260"/>
      <c r="H113" s="38"/>
      <c r="I113" s="38"/>
    </row>
    <row r="114" spans="1:9" ht="26.7" customHeight="1">
      <c r="A114" s="39"/>
      <c r="B114" s="38"/>
      <c r="C114" s="57"/>
      <c r="D114" s="279"/>
      <c r="E114" s="260"/>
      <c r="F114" s="279"/>
      <c r="G114" s="260"/>
      <c r="H114" s="38"/>
      <c r="I114" s="38"/>
    </row>
    <row r="115" spans="1:9" ht="26.7" customHeight="1">
      <c r="A115" s="39"/>
      <c r="B115" s="38"/>
      <c r="C115" s="57"/>
      <c r="D115" s="279"/>
      <c r="E115" s="260"/>
      <c r="F115" s="279"/>
      <c r="G115" s="260"/>
      <c r="H115" s="38"/>
      <c r="I115" s="38"/>
    </row>
    <row r="116" spans="1:9" ht="26.7" customHeight="1">
      <c r="A116" s="39"/>
      <c r="B116" s="38"/>
      <c r="C116" s="57"/>
      <c r="D116" s="279"/>
      <c r="E116" s="260"/>
      <c r="F116" s="279"/>
      <c r="G116" s="260"/>
      <c r="H116" s="38"/>
      <c r="I116" s="38"/>
    </row>
    <row r="117" spans="1:9" ht="26.7" customHeight="1">
      <c r="A117" s="39"/>
      <c r="B117" s="38"/>
      <c r="C117" s="57"/>
      <c r="D117" s="279"/>
      <c r="E117" s="260"/>
      <c r="F117" s="279"/>
      <c r="G117" s="260"/>
      <c r="H117" s="38"/>
      <c r="I117" s="38"/>
    </row>
    <row r="118" spans="1:9" ht="26.7" customHeight="1">
      <c r="A118" s="39"/>
      <c r="B118" s="38"/>
      <c r="C118" s="57"/>
      <c r="D118" s="279"/>
      <c r="E118" s="260"/>
      <c r="F118" s="279"/>
      <c r="G118" s="260"/>
      <c r="H118" s="38"/>
      <c r="I118" s="38"/>
    </row>
    <row r="119" spans="1:9" ht="26.7" customHeight="1">
      <c r="A119" s="38"/>
      <c r="B119" s="38"/>
      <c r="C119" s="57"/>
      <c r="D119" s="279"/>
      <c r="E119" s="260"/>
      <c r="F119" s="279"/>
      <c r="G119" s="260"/>
      <c r="H119" s="38"/>
      <c r="I119" s="38"/>
    </row>
    <row r="120" spans="1:9" ht="26.7" customHeight="1">
      <c r="A120" s="39"/>
      <c r="B120" s="38"/>
      <c r="C120" s="57"/>
      <c r="D120" s="279"/>
      <c r="E120" s="260"/>
      <c r="F120" s="279"/>
      <c r="G120" s="260"/>
      <c r="H120" s="38"/>
      <c r="I120" s="38"/>
    </row>
    <row r="121" spans="1:9" ht="26.7" customHeight="1">
      <c r="A121" s="39"/>
      <c r="B121" s="38"/>
      <c r="C121" s="57"/>
      <c r="D121" s="279"/>
      <c r="E121" s="260"/>
      <c r="F121" s="279"/>
      <c r="G121" s="260"/>
      <c r="H121" s="38"/>
      <c r="I121" s="38"/>
    </row>
    <row r="122" spans="1:9" ht="26.7" customHeight="1">
      <c r="A122" s="39"/>
      <c r="B122" s="38"/>
      <c r="C122" s="57"/>
      <c r="D122" s="279"/>
      <c r="E122" s="260"/>
      <c r="F122" s="279"/>
      <c r="G122" s="260"/>
      <c r="H122" s="38"/>
      <c r="I122" s="38"/>
    </row>
    <row r="123" spans="1:9" ht="26.7" customHeight="1">
      <c r="A123" s="39"/>
      <c r="B123" s="38"/>
      <c r="C123" s="57"/>
      <c r="D123" s="279"/>
      <c r="E123" s="260"/>
      <c r="F123" s="279"/>
      <c r="G123" s="260"/>
      <c r="H123" s="38"/>
      <c r="I123" s="38"/>
    </row>
    <row r="124" spans="1:9" ht="26.7" customHeight="1">
      <c r="A124" s="103"/>
      <c r="B124" s="38"/>
      <c r="C124" s="57"/>
      <c r="D124" s="279"/>
      <c r="E124" s="260"/>
      <c r="F124" s="279"/>
      <c r="G124" s="260"/>
      <c r="H124" s="38"/>
      <c r="I124" s="38"/>
    </row>
    <row r="125" spans="1:9" ht="26.7" customHeight="1">
      <c r="A125" s="39"/>
      <c r="B125" s="38"/>
      <c r="C125" s="57"/>
      <c r="D125" s="279"/>
      <c r="E125" s="260"/>
      <c r="F125" s="279"/>
      <c r="G125" s="260"/>
      <c r="H125" s="38"/>
      <c r="I125" s="38"/>
    </row>
    <row r="126" spans="1:9" ht="26.7" customHeight="1">
      <c r="A126" s="39"/>
      <c r="B126" s="38"/>
      <c r="C126" s="57"/>
      <c r="D126" s="279"/>
      <c r="E126" s="260"/>
      <c r="F126" s="279"/>
      <c r="G126" s="260"/>
      <c r="H126" s="38"/>
      <c r="I126" s="38"/>
    </row>
    <row r="127" spans="1:9" ht="26.7" customHeight="1">
      <c r="A127" s="39"/>
      <c r="B127" s="38"/>
      <c r="C127" s="57"/>
      <c r="D127" s="279"/>
      <c r="E127" s="260"/>
      <c r="F127" s="279"/>
      <c r="G127" s="260"/>
      <c r="H127" s="38"/>
      <c r="I127" s="38"/>
    </row>
    <row r="128" spans="1:9" ht="26.7" customHeight="1">
      <c r="A128" s="39"/>
      <c r="B128" s="38"/>
      <c r="C128" s="57"/>
      <c r="D128" s="279"/>
      <c r="E128" s="260"/>
      <c r="F128" s="279"/>
      <c r="G128" s="260"/>
      <c r="H128" s="38"/>
      <c r="I128" s="38"/>
    </row>
    <row r="129" spans="1:9" ht="26.7" customHeight="1">
      <c r="A129" s="39"/>
      <c r="B129" s="38"/>
      <c r="C129" s="57"/>
      <c r="D129" s="279"/>
      <c r="E129" s="260"/>
      <c r="F129" s="279"/>
      <c r="G129" s="260"/>
      <c r="H129" s="38"/>
      <c r="I129" s="38"/>
    </row>
    <row r="130" spans="1:9" ht="26.7" customHeight="1">
      <c r="A130" s="39"/>
      <c r="B130" s="38"/>
      <c r="C130" s="57"/>
      <c r="D130" s="279"/>
      <c r="E130" s="260"/>
      <c r="F130" s="279"/>
      <c r="G130" s="260"/>
      <c r="H130" s="38"/>
      <c r="I130" s="38"/>
    </row>
    <row r="131" spans="1:9" ht="26.7" customHeight="1">
      <c r="A131" s="39"/>
      <c r="B131" s="38"/>
      <c r="C131" s="57"/>
      <c r="D131" s="279"/>
      <c r="E131" s="260"/>
      <c r="F131" s="279"/>
      <c r="G131" s="260"/>
      <c r="H131" s="38"/>
      <c r="I131" s="38"/>
    </row>
    <row r="132" spans="1:9" ht="26.7" customHeight="1">
      <c r="A132" s="39"/>
      <c r="B132" s="38"/>
      <c r="C132" s="57"/>
      <c r="D132" s="279"/>
      <c r="E132" s="260"/>
      <c r="F132" s="279"/>
      <c r="G132" s="260"/>
      <c r="H132" s="38"/>
      <c r="I132" s="38"/>
    </row>
    <row r="133" spans="1:9" ht="26.7" customHeight="1">
      <c r="A133" s="39"/>
      <c r="B133" s="38"/>
      <c r="C133" s="57"/>
      <c r="D133" s="279"/>
      <c r="E133" s="260"/>
      <c r="F133" s="279"/>
      <c r="G133" s="260"/>
      <c r="H133" s="38"/>
      <c r="I133" s="38"/>
    </row>
    <row r="134" spans="1:9" ht="26.7" customHeight="1">
      <c r="A134" s="39"/>
      <c r="B134" s="38"/>
      <c r="C134" s="57"/>
      <c r="D134" s="279"/>
      <c r="E134" s="260"/>
      <c r="F134" s="279"/>
      <c r="G134" s="260"/>
      <c r="H134" s="38"/>
      <c r="I134" s="38"/>
    </row>
    <row r="135" spans="1:9" ht="26.7" customHeight="1">
      <c r="A135" s="39"/>
      <c r="B135" s="38"/>
      <c r="C135" s="57"/>
      <c r="D135" s="279"/>
      <c r="E135" s="260"/>
      <c r="F135" s="279"/>
      <c r="G135" s="260"/>
      <c r="H135" s="38"/>
      <c r="I135" s="38"/>
    </row>
    <row r="136" spans="1:9" ht="26.7" customHeight="1">
      <c r="A136" s="39"/>
      <c r="B136" s="38"/>
      <c r="C136" s="57"/>
      <c r="D136" s="279"/>
      <c r="E136" s="260"/>
      <c r="F136" s="279"/>
      <c r="G136" s="260"/>
      <c r="H136" s="38"/>
      <c r="I136" s="38"/>
    </row>
    <row r="137" spans="1:9" ht="26.7" customHeight="1">
      <c r="A137" s="39"/>
      <c r="B137" s="38"/>
      <c r="C137" s="57"/>
      <c r="D137" s="279"/>
      <c r="E137" s="260"/>
      <c r="F137" s="279"/>
      <c r="G137" s="260"/>
      <c r="H137" s="38"/>
      <c r="I137" s="38"/>
    </row>
    <row r="138" spans="1:9" ht="26.7" customHeight="1">
      <c r="A138" s="39"/>
      <c r="B138" s="38"/>
      <c r="C138" s="57"/>
      <c r="D138" s="279"/>
      <c r="E138" s="260"/>
      <c r="F138" s="279"/>
      <c r="G138" s="260"/>
      <c r="H138" s="38"/>
      <c r="I138" s="38"/>
    </row>
    <row r="139" spans="1:9" ht="26.7" customHeight="1">
      <c r="A139" s="39"/>
      <c r="B139" s="38"/>
      <c r="C139" s="57"/>
      <c r="D139" s="279"/>
      <c r="E139" s="260"/>
      <c r="F139" s="279"/>
      <c r="G139" s="260"/>
      <c r="H139" s="38"/>
      <c r="I139" s="38"/>
    </row>
    <row r="140" spans="1:9" ht="26.7" customHeight="1">
      <c r="A140" s="39"/>
      <c r="B140" s="38"/>
      <c r="C140" s="57"/>
      <c r="D140" s="279"/>
      <c r="E140" s="260"/>
      <c r="F140" s="279"/>
      <c r="G140" s="260"/>
      <c r="H140" s="38"/>
      <c r="I140" s="38"/>
    </row>
    <row r="141" spans="1:9" ht="26.7" customHeight="1">
      <c r="A141" s="39"/>
      <c r="B141" s="38"/>
      <c r="C141" s="57"/>
      <c r="D141" s="279"/>
      <c r="E141" s="260"/>
      <c r="F141" s="279"/>
      <c r="G141" s="260"/>
      <c r="H141" s="38"/>
      <c r="I141" s="38"/>
    </row>
    <row r="142" spans="1:9" ht="26.7" customHeight="1">
      <c r="A142" s="39"/>
      <c r="B142" s="38"/>
      <c r="C142" s="57"/>
      <c r="D142" s="279"/>
      <c r="E142" s="260"/>
      <c r="F142" s="279"/>
      <c r="G142" s="260"/>
      <c r="H142" s="38"/>
      <c r="I142" s="38"/>
    </row>
    <row r="143" spans="1:9" ht="26.7" customHeight="1">
      <c r="A143" s="39"/>
      <c r="B143" s="38"/>
      <c r="C143" s="57"/>
      <c r="D143" s="279"/>
      <c r="E143" s="260"/>
      <c r="F143" s="279"/>
      <c r="G143" s="260"/>
      <c r="H143" s="38"/>
      <c r="I143" s="38"/>
    </row>
    <row r="144" spans="1:9" ht="26.7" customHeight="1">
      <c r="A144" s="39"/>
      <c r="B144" s="38"/>
      <c r="C144" s="57"/>
      <c r="D144" s="279"/>
      <c r="E144" s="260"/>
      <c r="F144" s="279"/>
      <c r="G144" s="260"/>
      <c r="H144" s="38"/>
      <c r="I144" s="38"/>
    </row>
    <row r="145" spans="1:9" ht="26.7" customHeight="1">
      <c r="A145" s="39"/>
      <c r="B145" s="38"/>
      <c r="C145" s="57"/>
      <c r="D145" s="279"/>
      <c r="E145" s="260"/>
      <c r="F145" s="279"/>
      <c r="G145" s="260"/>
      <c r="H145" s="38"/>
      <c r="I145" s="38"/>
    </row>
    <row r="146" spans="1:9" ht="26.7" customHeight="1">
      <c r="A146" s="39"/>
      <c r="B146" s="38"/>
      <c r="C146" s="57"/>
      <c r="D146" s="279"/>
      <c r="E146" s="260"/>
      <c r="F146" s="279"/>
      <c r="G146" s="260"/>
      <c r="H146" s="38"/>
      <c r="I146" s="38"/>
    </row>
    <row r="147" spans="1:9" ht="26.7" customHeight="1">
      <c r="A147" s="39"/>
      <c r="B147" s="38"/>
      <c r="C147" s="57"/>
      <c r="D147" s="279"/>
      <c r="E147" s="260"/>
      <c r="F147" s="279"/>
      <c r="G147" s="260"/>
      <c r="H147" s="38"/>
      <c r="I147" s="38"/>
    </row>
    <row r="148" spans="1:9" ht="26.7" customHeight="1">
      <c r="A148" s="39"/>
      <c r="B148" s="38"/>
      <c r="C148" s="57"/>
      <c r="D148" s="279"/>
      <c r="E148" s="260"/>
      <c r="F148" s="279"/>
      <c r="G148" s="260"/>
      <c r="H148" s="38"/>
      <c r="I148" s="38"/>
    </row>
    <row r="149" spans="1:9" ht="26.7" customHeight="1">
      <c r="A149" s="39"/>
      <c r="B149" s="38"/>
      <c r="C149" s="57"/>
      <c r="D149" s="279"/>
      <c r="E149" s="260"/>
      <c r="F149" s="279"/>
      <c r="G149" s="260"/>
      <c r="H149" s="38"/>
      <c r="I149" s="38"/>
    </row>
    <row r="150" spans="1:9" ht="26.7" customHeight="1">
      <c r="A150" s="39"/>
      <c r="B150" s="38"/>
      <c r="C150" s="57"/>
      <c r="D150" s="279"/>
      <c r="E150" s="260"/>
      <c r="F150" s="279"/>
      <c r="G150" s="260"/>
      <c r="H150" s="38"/>
      <c r="I150" s="38"/>
    </row>
    <row r="151" spans="1:9" ht="26.7" customHeight="1">
      <c r="A151" s="39"/>
      <c r="B151" s="38"/>
      <c r="C151" s="57"/>
      <c r="D151" s="279"/>
      <c r="E151" s="260"/>
      <c r="F151" s="279"/>
      <c r="G151" s="260"/>
      <c r="H151" s="38"/>
      <c r="I151" s="38"/>
    </row>
    <row r="152" spans="1:9" ht="26.7" customHeight="1">
      <c r="A152" s="39"/>
      <c r="B152" s="38"/>
      <c r="C152" s="57"/>
      <c r="D152" s="279"/>
      <c r="E152" s="260"/>
      <c r="F152" s="279"/>
      <c r="G152" s="260"/>
      <c r="H152" s="38"/>
      <c r="I152" s="38"/>
    </row>
    <row r="153" spans="1:9" ht="26.7" customHeight="1">
      <c r="A153" s="39"/>
      <c r="B153" s="38"/>
      <c r="C153" s="57"/>
      <c r="D153" s="279"/>
      <c r="E153" s="260"/>
      <c r="F153" s="279"/>
      <c r="G153" s="260"/>
      <c r="H153" s="38"/>
      <c r="I153" s="38"/>
    </row>
    <row r="154" spans="1:9" ht="26.7" customHeight="1">
      <c r="A154" s="39"/>
      <c r="B154" s="38"/>
      <c r="C154" s="57"/>
      <c r="D154" s="279"/>
      <c r="E154" s="260"/>
      <c r="F154" s="279"/>
      <c r="G154" s="260"/>
      <c r="H154" s="38"/>
      <c r="I154" s="38"/>
    </row>
    <row r="155" spans="1:9" ht="26.7" customHeight="1">
      <c r="A155" s="39"/>
      <c r="B155" s="38"/>
      <c r="C155" s="57"/>
      <c r="D155" s="279"/>
      <c r="E155" s="260"/>
      <c r="F155" s="279"/>
      <c r="G155" s="260"/>
      <c r="H155" s="38"/>
      <c r="I155" s="38"/>
    </row>
    <row r="156" spans="1:9" ht="26.7" customHeight="1">
      <c r="A156" s="39"/>
      <c r="B156" s="38"/>
      <c r="C156" s="57"/>
      <c r="D156" s="279"/>
      <c r="E156" s="260"/>
      <c r="F156" s="279"/>
      <c r="G156" s="260"/>
      <c r="H156" s="38"/>
      <c r="I156" s="38"/>
    </row>
    <row r="157" spans="1:9" ht="26.7" customHeight="1">
      <c r="A157" s="39"/>
      <c r="B157" s="38"/>
      <c r="C157" s="57"/>
      <c r="D157" s="279"/>
      <c r="E157" s="260"/>
      <c r="F157" s="279"/>
      <c r="G157" s="260"/>
      <c r="H157" s="38"/>
      <c r="I157" s="38"/>
    </row>
    <row r="158" spans="1:9" ht="26.7" customHeight="1">
      <c r="A158" s="39"/>
      <c r="B158" s="38"/>
      <c r="C158" s="57"/>
      <c r="D158" s="279"/>
      <c r="E158" s="260"/>
      <c r="F158" s="279"/>
      <c r="G158" s="260"/>
      <c r="H158" s="38"/>
      <c r="I158" s="38"/>
    </row>
    <row r="159" spans="1:9" ht="26.7" customHeight="1">
      <c r="A159" s="39"/>
      <c r="B159" s="38"/>
      <c r="C159" s="57"/>
      <c r="D159" s="279"/>
      <c r="E159" s="260"/>
      <c r="F159" s="279"/>
      <c r="G159" s="260"/>
      <c r="H159" s="38"/>
      <c r="I159" s="38"/>
    </row>
    <row r="160" spans="1:9" ht="26.7" customHeight="1">
      <c r="A160" s="39"/>
      <c r="B160" s="38"/>
      <c r="C160" s="57"/>
      <c r="D160" s="279"/>
      <c r="E160" s="260"/>
      <c r="F160" s="279"/>
      <c r="G160" s="260"/>
      <c r="H160" s="38"/>
      <c r="I160" s="38"/>
    </row>
    <row r="161" spans="1:9" ht="26.7" customHeight="1">
      <c r="A161" s="39"/>
      <c r="B161" s="38"/>
      <c r="C161" s="57"/>
      <c r="D161" s="279"/>
      <c r="E161" s="260"/>
      <c r="F161" s="279"/>
      <c r="G161" s="260"/>
      <c r="H161" s="38"/>
      <c r="I161" s="38"/>
    </row>
    <row r="162" spans="1:9" ht="26.7" customHeight="1">
      <c r="A162" s="39"/>
      <c r="B162" s="38"/>
      <c r="C162" s="57"/>
      <c r="D162" s="279"/>
      <c r="E162" s="260"/>
      <c r="F162" s="279"/>
      <c r="G162" s="260"/>
      <c r="H162" s="38"/>
      <c r="I162" s="38"/>
    </row>
    <row r="163" spans="1:9" ht="26.7" customHeight="1">
      <c r="A163" s="39"/>
      <c r="B163" s="38"/>
      <c r="C163" s="57"/>
      <c r="D163" s="279"/>
      <c r="E163" s="260"/>
      <c r="F163" s="279"/>
      <c r="G163" s="260"/>
      <c r="H163" s="38"/>
      <c r="I163" s="38"/>
    </row>
    <row r="164" spans="1:9" ht="26.7" customHeight="1">
      <c r="A164" s="39"/>
      <c r="B164" s="38"/>
      <c r="C164" s="57"/>
      <c r="D164" s="279"/>
      <c r="E164" s="260"/>
      <c r="F164" s="279"/>
      <c r="G164" s="260"/>
      <c r="H164" s="38"/>
      <c r="I164" s="38"/>
    </row>
    <row r="165" spans="1:9" ht="26.7" customHeight="1">
      <c r="A165" s="39"/>
      <c r="B165" s="38"/>
      <c r="C165" s="57"/>
      <c r="D165" s="279"/>
      <c r="E165" s="260"/>
      <c r="F165" s="279"/>
      <c r="G165" s="260"/>
      <c r="H165" s="38"/>
      <c r="I165" s="38"/>
    </row>
    <row r="166" spans="1:9" ht="26.7" customHeight="1">
      <c r="A166" s="39"/>
      <c r="B166" s="38"/>
      <c r="C166" s="57"/>
      <c r="D166" s="279"/>
      <c r="E166" s="260"/>
      <c r="F166" s="279"/>
      <c r="G166" s="260"/>
      <c r="H166" s="38"/>
      <c r="I166" s="38"/>
    </row>
    <row r="167" spans="1:9" ht="26.7" customHeight="1">
      <c r="A167" s="39"/>
      <c r="B167" s="38"/>
      <c r="C167" s="57"/>
      <c r="D167" s="279"/>
      <c r="E167" s="260"/>
      <c r="F167" s="279"/>
      <c r="G167" s="260"/>
      <c r="H167" s="38"/>
      <c r="I167" s="38"/>
    </row>
    <row r="168" spans="1:9" ht="26.7" customHeight="1">
      <c r="A168" s="39"/>
      <c r="B168" s="38"/>
      <c r="C168" s="57"/>
      <c r="D168" s="279"/>
      <c r="E168" s="260"/>
      <c r="F168" s="279"/>
      <c r="G168" s="260"/>
      <c r="H168" s="38"/>
      <c r="I168" s="38"/>
    </row>
    <row r="169" spans="1:9" ht="26.7" customHeight="1">
      <c r="A169" s="39"/>
      <c r="B169" s="38"/>
      <c r="C169" s="57"/>
      <c r="D169" s="279"/>
      <c r="E169" s="260"/>
      <c r="F169" s="279"/>
      <c r="G169" s="260"/>
      <c r="H169" s="38"/>
      <c r="I169" s="38"/>
    </row>
    <row r="170" spans="1:9" ht="26.7" customHeight="1">
      <c r="A170" s="39"/>
      <c r="B170" s="38"/>
      <c r="C170" s="57"/>
      <c r="D170" s="279"/>
      <c r="E170" s="260"/>
      <c r="F170" s="279"/>
      <c r="G170" s="260"/>
      <c r="H170" s="38"/>
      <c r="I170" s="38"/>
    </row>
    <row r="171" spans="1:9" ht="26.7" customHeight="1">
      <c r="A171" s="39"/>
      <c r="B171" s="38"/>
      <c r="C171" s="57"/>
      <c r="D171" s="279"/>
      <c r="E171" s="260"/>
      <c r="F171" s="279"/>
      <c r="G171" s="260"/>
      <c r="H171" s="38"/>
      <c r="I171" s="38"/>
    </row>
    <row r="172" spans="1:9" ht="26.7" customHeight="1">
      <c r="A172" s="39"/>
      <c r="B172" s="38"/>
      <c r="C172" s="57"/>
      <c r="D172" s="279"/>
      <c r="E172" s="260"/>
      <c r="F172" s="279"/>
      <c r="G172" s="260"/>
      <c r="H172" s="38"/>
      <c r="I172" s="38"/>
    </row>
    <row r="173" spans="1:9" ht="26.7" customHeight="1">
      <c r="A173" s="39"/>
      <c r="B173" s="38"/>
      <c r="C173" s="57"/>
      <c r="D173" s="279"/>
      <c r="E173" s="260"/>
      <c r="F173" s="279"/>
      <c r="G173" s="260"/>
      <c r="H173" s="38"/>
      <c r="I173" s="38"/>
    </row>
    <row r="174" spans="1:9" ht="26.7" customHeight="1">
      <c r="A174" s="39"/>
      <c r="B174" s="38"/>
      <c r="C174" s="57"/>
      <c r="D174" s="279"/>
      <c r="E174" s="260"/>
      <c r="F174" s="279"/>
      <c r="G174" s="260"/>
      <c r="H174" s="38"/>
      <c r="I174" s="38"/>
    </row>
    <row r="175" spans="1:9" ht="26.7" customHeight="1">
      <c r="A175" s="39"/>
      <c r="B175" s="38"/>
      <c r="C175" s="57"/>
      <c r="D175" s="279"/>
      <c r="E175" s="260"/>
      <c r="F175" s="279"/>
      <c r="G175" s="260"/>
      <c r="H175" s="38"/>
      <c r="I175" s="38"/>
    </row>
    <row r="176" spans="1:9" ht="26.7" customHeight="1">
      <c r="A176" s="39"/>
      <c r="B176" s="38"/>
      <c r="C176" s="57"/>
      <c r="D176" s="279"/>
      <c r="E176" s="260"/>
      <c r="F176" s="279"/>
      <c r="G176" s="260"/>
      <c r="H176" s="38"/>
      <c r="I176" s="38"/>
    </row>
    <row r="177" spans="1:9" ht="26.7" customHeight="1">
      <c r="A177" s="39"/>
      <c r="B177" s="38"/>
      <c r="C177" s="57"/>
      <c r="D177" s="279"/>
      <c r="E177" s="260"/>
      <c r="F177" s="279"/>
      <c r="G177" s="260"/>
      <c r="H177" s="38"/>
      <c r="I177" s="38"/>
    </row>
    <row r="178" spans="1:9" ht="26.7" customHeight="1">
      <c r="A178" s="39"/>
      <c r="B178" s="38"/>
      <c r="C178" s="57"/>
      <c r="D178" s="279"/>
      <c r="E178" s="260"/>
      <c r="F178" s="279"/>
      <c r="G178" s="260"/>
      <c r="H178" s="38"/>
      <c r="I178" s="38"/>
    </row>
    <row r="179" spans="1:9" ht="26.7" customHeight="1">
      <c r="A179" s="39"/>
      <c r="B179" s="38"/>
      <c r="C179" s="57"/>
      <c r="D179" s="279"/>
      <c r="E179" s="260"/>
      <c r="F179" s="279"/>
      <c r="G179" s="260"/>
      <c r="H179" s="38"/>
      <c r="I179" s="38"/>
    </row>
    <row r="180" spans="1:9" ht="26.7" customHeight="1">
      <c r="A180" s="39"/>
      <c r="B180" s="38"/>
      <c r="C180" s="57"/>
      <c r="D180" s="279"/>
      <c r="E180" s="260"/>
      <c r="F180" s="279"/>
      <c r="G180" s="260"/>
      <c r="H180" s="38"/>
      <c r="I180" s="38"/>
    </row>
    <row r="181" spans="1:9" ht="26.7" customHeight="1">
      <c r="A181" s="39"/>
      <c r="B181" s="38"/>
      <c r="C181" s="57"/>
      <c r="D181" s="279"/>
      <c r="E181" s="260"/>
      <c r="F181" s="279"/>
      <c r="G181" s="260"/>
      <c r="H181" s="38"/>
      <c r="I181" s="38"/>
    </row>
    <row r="182" spans="1:9" ht="26.7" customHeight="1">
      <c r="A182" s="39"/>
      <c r="B182" s="38"/>
      <c r="C182" s="57"/>
      <c r="D182" s="279"/>
      <c r="E182" s="260"/>
      <c r="F182" s="279"/>
      <c r="G182" s="260"/>
      <c r="H182" s="38"/>
      <c r="I182" s="38"/>
    </row>
    <row r="183" spans="1:9" ht="26.7" customHeight="1">
      <c r="A183" s="39"/>
      <c r="B183" s="38"/>
      <c r="C183" s="57"/>
      <c r="D183" s="279"/>
      <c r="E183" s="260"/>
      <c r="F183" s="279"/>
      <c r="G183" s="260"/>
      <c r="H183" s="38"/>
      <c r="I183" s="38"/>
    </row>
    <row r="184" spans="1:9" ht="26.7" customHeight="1">
      <c r="A184" s="39"/>
      <c r="B184" s="38"/>
      <c r="C184" s="57"/>
      <c r="D184" s="279"/>
      <c r="E184" s="260"/>
      <c r="F184" s="279"/>
      <c r="G184" s="260"/>
      <c r="H184" s="38"/>
      <c r="I184" s="38"/>
    </row>
    <row r="185" spans="1:9" ht="26.7" customHeight="1">
      <c r="A185" s="39"/>
      <c r="B185" s="38"/>
      <c r="C185" s="57"/>
      <c r="D185" s="279"/>
      <c r="E185" s="260"/>
      <c r="F185" s="279"/>
      <c r="G185" s="260"/>
      <c r="H185" s="38"/>
      <c r="I185" s="38"/>
    </row>
    <row r="186" spans="1:9" ht="26.7" customHeight="1">
      <c r="A186" s="39"/>
      <c r="B186" s="38"/>
      <c r="C186" s="57"/>
      <c r="D186" s="279"/>
      <c r="E186" s="260"/>
      <c r="F186" s="279"/>
      <c r="G186" s="260"/>
      <c r="H186" s="38"/>
      <c r="I186" s="38"/>
    </row>
    <row r="187" spans="1:9" ht="26.7" customHeight="1">
      <c r="A187" s="39"/>
      <c r="B187" s="38"/>
      <c r="C187" s="57"/>
      <c r="D187" s="279"/>
      <c r="E187" s="260"/>
      <c r="F187" s="279"/>
      <c r="G187" s="260"/>
      <c r="H187" s="38"/>
      <c r="I187" s="38"/>
    </row>
    <row r="188" spans="1:9" ht="26.7" customHeight="1">
      <c r="A188" s="39"/>
      <c r="B188" s="38"/>
      <c r="C188" s="57"/>
      <c r="D188" s="279"/>
      <c r="E188" s="260"/>
      <c r="F188" s="279"/>
      <c r="G188" s="260"/>
      <c r="H188" s="38"/>
      <c r="I188" s="38"/>
    </row>
    <row r="189" spans="1:9" ht="26.7" customHeight="1">
      <c r="A189" s="39"/>
      <c r="B189" s="38"/>
      <c r="C189" s="57"/>
      <c r="D189" s="279"/>
      <c r="E189" s="260"/>
      <c r="F189" s="279"/>
      <c r="G189" s="260"/>
      <c r="H189" s="38"/>
      <c r="I189" s="38"/>
    </row>
    <row r="190" spans="1:9" ht="26.7" customHeight="1">
      <c r="A190" s="39"/>
      <c r="B190" s="38"/>
      <c r="C190" s="57"/>
      <c r="D190" s="279"/>
      <c r="E190" s="260"/>
      <c r="F190" s="279"/>
      <c r="G190" s="260"/>
      <c r="H190" s="38"/>
      <c r="I190" s="38"/>
    </row>
    <row r="191" spans="1:9" ht="26.7" customHeight="1">
      <c r="A191" s="39"/>
      <c r="B191" s="38"/>
      <c r="C191" s="57"/>
      <c r="D191" s="279"/>
      <c r="E191" s="260"/>
      <c r="F191" s="279"/>
      <c r="G191" s="260"/>
      <c r="H191" s="38"/>
      <c r="I191" s="38"/>
    </row>
    <row r="192" spans="1:9" ht="26.7" customHeight="1">
      <c r="A192" s="39"/>
      <c r="B192" s="38"/>
      <c r="C192" s="57"/>
      <c r="D192" s="279"/>
      <c r="E192" s="260"/>
      <c r="F192" s="279"/>
      <c r="G192" s="260"/>
      <c r="H192" s="38"/>
      <c r="I192" s="38"/>
    </row>
    <row r="193" spans="1:9" ht="26.7" customHeight="1">
      <c r="A193" s="39"/>
      <c r="B193" s="38"/>
      <c r="C193" s="57"/>
      <c r="D193" s="279"/>
      <c r="E193" s="260"/>
      <c r="F193" s="279"/>
      <c r="G193" s="260"/>
      <c r="H193" s="38"/>
      <c r="I193" s="38"/>
    </row>
    <row r="194" spans="1:9" ht="26.7" customHeight="1">
      <c r="A194" s="39"/>
      <c r="B194" s="38"/>
      <c r="C194" s="57"/>
      <c r="D194" s="279"/>
      <c r="E194" s="260"/>
      <c r="F194" s="279"/>
      <c r="G194" s="260"/>
      <c r="H194" s="38"/>
      <c r="I194" s="38"/>
    </row>
    <row r="195" spans="1:9" ht="26.7" customHeight="1">
      <c r="A195" s="39"/>
      <c r="B195" s="38"/>
      <c r="C195" s="57"/>
      <c r="D195" s="279"/>
      <c r="E195" s="260"/>
      <c r="F195" s="279"/>
      <c r="G195" s="260"/>
      <c r="H195" s="38"/>
      <c r="I195" s="38"/>
    </row>
    <row r="196" spans="1:9" ht="26.7" customHeight="1">
      <c r="A196" s="39"/>
      <c r="B196" s="38"/>
      <c r="C196" s="57"/>
      <c r="D196" s="279"/>
      <c r="E196" s="260"/>
      <c r="F196" s="279"/>
      <c r="G196" s="260"/>
      <c r="H196" s="38"/>
      <c r="I196" s="38"/>
    </row>
    <row r="197" spans="1:9" ht="26.7" customHeight="1">
      <c r="A197" s="39"/>
      <c r="B197" s="38"/>
      <c r="C197" s="57"/>
      <c r="D197" s="279"/>
      <c r="E197" s="260"/>
      <c r="F197" s="279"/>
      <c r="G197" s="260"/>
      <c r="H197" s="38"/>
      <c r="I197" s="38"/>
    </row>
    <row r="198" spans="1:9" ht="26.7" customHeight="1">
      <c r="A198" s="39"/>
      <c r="B198" s="38"/>
      <c r="C198" s="57"/>
      <c r="D198" s="279"/>
      <c r="E198" s="260"/>
      <c r="F198" s="279"/>
      <c r="G198" s="260"/>
      <c r="H198" s="38"/>
      <c r="I198" s="38"/>
    </row>
    <row r="199" spans="1:9" ht="26.7" customHeight="1">
      <c r="A199" s="39"/>
      <c r="B199" s="38"/>
      <c r="C199" s="57"/>
      <c r="D199" s="279"/>
      <c r="E199" s="260"/>
      <c r="F199" s="279"/>
      <c r="G199" s="260"/>
      <c r="H199" s="38"/>
      <c r="I199" s="38"/>
    </row>
    <row r="200" spans="1:9" ht="26.7" customHeight="1">
      <c r="A200" s="39"/>
      <c r="B200" s="38"/>
      <c r="C200" s="57"/>
      <c r="D200" s="279"/>
      <c r="E200" s="260"/>
      <c r="F200" s="279"/>
      <c r="G200" s="260"/>
      <c r="H200" s="38"/>
      <c r="I200" s="38"/>
    </row>
  </sheetData>
  <mergeCells count="400">
    <mergeCell ref="B2:I2"/>
    <mergeCell ref="F113:G113"/>
    <mergeCell ref="D32:E32"/>
    <mergeCell ref="F32:G32"/>
    <mergeCell ref="D97:E97"/>
    <mergeCell ref="F159:G159"/>
    <mergeCell ref="F26:G26"/>
    <mergeCell ref="F97:G97"/>
    <mergeCell ref="F90:G90"/>
    <mergeCell ref="E3:G3"/>
    <mergeCell ref="F27:G27"/>
    <mergeCell ref="D121:E121"/>
    <mergeCell ref="D42:E42"/>
    <mergeCell ref="D123:E123"/>
    <mergeCell ref="F123:G123"/>
    <mergeCell ref="D110:E110"/>
    <mergeCell ref="D44:E44"/>
    <mergeCell ref="F44:G44"/>
    <mergeCell ref="D171:E171"/>
    <mergeCell ref="F100:G100"/>
    <mergeCell ref="F165:G165"/>
    <mergeCell ref="F115:G115"/>
    <mergeCell ref="D102:E102"/>
    <mergeCell ref="F102:G102"/>
    <mergeCell ref="D196:E196"/>
    <mergeCell ref="D25:E25"/>
    <mergeCell ref="F77:G77"/>
    <mergeCell ref="F166:G166"/>
    <mergeCell ref="D133:E133"/>
    <mergeCell ref="D54:E54"/>
    <mergeCell ref="D191:E191"/>
    <mergeCell ref="F191:G191"/>
    <mergeCell ref="F59:G59"/>
    <mergeCell ref="D95:E95"/>
    <mergeCell ref="F95:G95"/>
    <mergeCell ref="D57:E57"/>
    <mergeCell ref="D184:E184"/>
    <mergeCell ref="F184:G184"/>
    <mergeCell ref="D192:E192"/>
    <mergeCell ref="D173:E173"/>
    <mergeCell ref="F179:G179"/>
    <mergeCell ref="D170:E170"/>
    <mergeCell ref="D49:E49"/>
    <mergeCell ref="D120:E120"/>
    <mergeCell ref="D107:E107"/>
    <mergeCell ref="D163:E163"/>
    <mergeCell ref="F36:G36"/>
    <mergeCell ref="F163:G163"/>
    <mergeCell ref="F101:G101"/>
    <mergeCell ref="F8:G8"/>
    <mergeCell ref="F24:G24"/>
    <mergeCell ref="D200:E200"/>
    <mergeCell ref="F129:G129"/>
    <mergeCell ref="F200:G200"/>
    <mergeCell ref="F131:G131"/>
    <mergeCell ref="D58:E58"/>
    <mergeCell ref="F58:G58"/>
    <mergeCell ref="F52:G52"/>
    <mergeCell ref="D8:E8"/>
    <mergeCell ref="F37:G37"/>
    <mergeCell ref="F195:G195"/>
    <mergeCell ref="F60:G60"/>
    <mergeCell ref="F197:G197"/>
    <mergeCell ref="F53:G53"/>
    <mergeCell ref="D20:E20"/>
    <mergeCell ref="F68:G68"/>
    <mergeCell ref="D84:E84"/>
    <mergeCell ref="D155:E155"/>
    <mergeCell ref="D22:E22"/>
    <mergeCell ref="F84:G84"/>
    <mergeCell ref="D149:E149"/>
    <mergeCell ref="D86:E86"/>
    <mergeCell ref="F15:G15"/>
    <mergeCell ref="F86:G86"/>
    <mergeCell ref="D13:E13"/>
    <mergeCell ref="D199:E199"/>
    <mergeCell ref="F128:G128"/>
    <mergeCell ref="D186:E186"/>
    <mergeCell ref="D65:E65"/>
    <mergeCell ref="F192:G192"/>
    <mergeCell ref="F21:G21"/>
    <mergeCell ref="D194:E194"/>
    <mergeCell ref="F194:G194"/>
    <mergeCell ref="F50:G50"/>
    <mergeCell ref="F110:G110"/>
    <mergeCell ref="F181:G181"/>
    <mergeCell ref="D146:E146"/>
    <mergeCell ref="F141:G141"/>
    <mergeCell ref="D83:E83"/>
    <mergeCell ref="D143:E143"/>
    <mergeCell ref="F49:G49"/>
    <mergeCell ref="D85:E85"/>
    <mergeCell ref="F78:G78"/>
    <mergeCell ref="F65:G65"/>
    <mergeCell ref="D159:E159"/>
    <mergeCell ref="D80:E80"/>
    <mergeCell ref="F55:G55"/>
    <mergeCell ref="F169:G169"/>
    <mergeCell ref="D136:E136"/>
    <mergeCell ref="H3:I3"/>
    <mergeCell ref="D39:E39"/>
    <mergeCell ref="F39:G39"/>
    <mergeCell ref="A1:I1"/>
    <mergeCell ref="D89:E89"/>
    <mergeCell ref="F64:G64"/>
    <mergeCell ref="D153:E153"/>
    <mergeCell ref="F178:G178"/>
    <mergeCell ref="D128:E128"/>
    <mergeCell ref="D17:E17"/>
    <mergeCell ref="D12:E12"/>
    <mergeCell ref="D14:E14"/>
    <mergeCell ref="F14:G14"/>
    <mergeCell ref="D154:E154"/>
    <mergeCell ref="D151:E151"/>
    <mergeCell ref="F80:G80"/>
    <mergeCell ref="F142:G142"/>
    <mergeCell ref="D150:E150"/>
    <mergeCell ref="F79:G79"/>
    <mergeCell ref="F144:G144"/>
    <mergeCell ref="F81:G81"/>
    <mergeCell ref="D177:E177"/>
    <mergeCell ref="D33:E33"/>
    <mergeCell ref="D164:E164"/>
    <mergeCell ref="D198:E198"/>
    <mergeCell ref="F33:G33"/>
    <mergeCell ref="F198:G198"/>
    <mergeCell ref="D75:E75"/>
    <mergeCell ref="F75:G75"/>
    <mergeCell ref="F62:G62"/>
    <mergeCell ref="D181:E181"/>
    <mergeCell ref="F31:G31"/>
    <mergeCell ref="F28:G28"/>
    <mergeCell ref="D35:E35"/>
    <mergeCell ref="D34:E34"/>
    <mergeCell ref="F63:G63"/>
    <mergeCell ref="F34:G34"/>
    <mergeCell ref="D99:E99"/>
    <mergeCell ref="F99:G99"/>
    <mergeCell ref="F74:G74"/>
    <mergeCell ref="D101:E101"/>
    <mergeCell ref="F30:G30"/>
    <mergeCell ref="D76:E76"/>
    <mergeCell ref="F138:G138"/>
    <mergeCell ref="F76:G76"/>
    <mergeCell ref="F94:G94"/>
    <mergeCell ref="D175:E175"/>
    <mergeCell ref="F150:G150"/>
    <mergeCell ref="F196:G196"/>
    <mergeCell ref="F25:G25"/>
    <mergeCell ref="C5:G5"/>
    <mergeCell ref="D36:E36"/>
    <mergeCell ref="F173:G173"/>
    <mergeCell ref="D61:E61"/>
    <mergeCell ref="D48:E48"/>
    <mergeCell ref="D125:E125"/>
    <mergeCell ref="F125:G125"/>
    <mergeCell ref="F185:G185"/>
    <mergeCell ref="D112:E112"/>
    <mergeCell ref="D62:E62"/>
    <mergeCell ref="F13:G13"/>
    <mergeCell ref="D56:E56"/>
    <mergeCell ref="D127:E127"/>
    <mergeCell ref="F56:G56"/>
    <mergeCell ref="D193:E193"/>
    <mergeCell ref="D176:E176"/>
    <mergeCell ref="F105:G105"/>
    <mergeCell ref="D114:E114"/>
    <mergeCell ref="F43:G43"/>
    <mergeCell ref="F176:G176"/>
    <mergeCell ref="F170:G170"/>
    <mergeCell ref="D64:E64"/>
    <mergeCell ref="B3:D3"/>
    <mergeCell ref="D68:E68"/>
    <mergeCell ref="F130:G130"/>
    <mergeCell ref="D188:E188"/>
    <mergeCell ref="D132:E132"/>
    <mergeCell ref="F157:G157"/>
    <mergeCell ref="F132:G132"/>
    <mergeCell ref="D59:E59"/>
    <mergeCell ref="D178:E178"/>
    <mergeCell ref="D172:E172"/>
    <mergeCell ref="F172:G172"/>
    <mergeCell ref="B4:D4"/>
    <mergeCell ref="F120:G120"/>
    <mergeCell ref="D51:E51"/>
    <mergeCell ref="F107:G107"/>
    <mergeCell ref="F57:G57"/>
    <mergeCell ref="F171:G171"/>
    <mergeCell ref="D138:E138"/>
    <mergeCell ref="D140:E140"/>
    <mergeCell ref="D11:E11"/>
    <mergeCell ref="D10:E10"/>
    <mergeCell ref="F10:G10"/>
    <mergeCell ref="D165:E165"/>
    <mergeCell ref="D152:E152"/>
    <mergeCell ref="F182:G182"/>
    <mergeCell ref="D109:E109"/>
    <mergeCell ref="F11:G11"/>
    <mergeCell ref="D119:E119"/>
    <mergeCell ref="D190:E190"/>
    <mergeCell ref="D46:E46"/>
    <mergeCell ref="H4:I4"/>
    <mergeCell ref="D40:E40"/>
    <mergeCell ref="D111:E111"/>
    <mergeCell ref="F40:G40"/>
    <mergeCell ref="D183:E183"/>
    <mergeCell ref="F12:G12"/>
    <mergeCell ref="F177:G177"/>
    <mergeCell ref="D104:E104"/>
    <mergeCell ref="F104:G104"/>
    <mergeCell ref="D185:E185"/>
    <mergeCell ref="D41:E41"/>
    <mergeCell ref="F41:G41"/>
    <mergeCell ref="F35:G35"/>
    <mergeCell ref="F106:G106"/>
    <mergeCell ref="D43:E43"/>
    <mergeCell ref="D137:E137"/>
    <mergeCell ref="D74:E74"/>
    <mergeCell ref="D130:E130"/>
    <mergeCell ref="A5:B5"/>
    <mergeCell ref="D93:E93"/>
    <mergeCell ref="F155:G155"/>
    <mergeCell ref="F22:G22"/>
    <mergeCell ref="F93:G93"/>
    <mergeCell ref="F149:G149"/>
    <mergeCell ref="D157:E157"/>
    <mergeCell ref="F151:G151"/>
    <mergeCell ref="E4:G4"/>
    <mergeCell ref="F152:G152"/>
    <mergeCell ref="D29:E29"/>
    <mergeCell ref="D23:E23"/>
    <mergeCell ref="F87:G87"/>
    <mergeCell ref="F147:G147"/>
    <mergeCell ref="F89:G89"/>
    <mergeCell ref="F7:G7"/>
    <mergeCell ref="D105:E105"/>
    <mergeCell ref="F199:G199"/>
    <mergeCell ref="D24:E24"/>
    <mergeCell ref="D113:E113"/>
    <mergeCell ref="D88:E88"/>
    <mergeCell ref="D148:E148"/>
    <mergeCell ref="F88:G88"/>
    <mergeCell ref="D26:E26"/>
    <mergeCell ref="F148:G148"/>
    <mergeCell ref="D115:E115"/>
    <mergeCell ref="F54:G54"/>
    <mergeCell ref="D90:E90"/>
    <mergeCell ref="F146:G146"/>
    <mergeCell ref="F83:G83"/>
    <mergeCell ref="F85:G85"/>
    <mergeCell ref="D179:E179"/>
    <mergeCell ref="D166:E166"/>
    <mergeCell ref="D103:E103"/>
    <mergeCell ref="D37:E37"/>
    <mergeCell ref="D168:E168"/>
    <mergeCell ref="D180:E180"/>
    <mergeCell ref="D118:E118"/>
    <mergeCell ref="D167:E167"/>
    <mergeCell ref="F167:G167"/>
    <mergeCell ref="D161:E161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19:E19"/>
    <mergeCell ref="F19:G19"/>
    <mergeCell ref="F6:G6"/>
    <mergeCell ref="F20:G20"/>
    <mergeCell ref="D9:E9"/>
    <mergeCell ref="F9:G9"/>
    <mergeCell ref="F136:G136"/>
    <mergeCell ref="D38:E38"/>
    <mergeCell ref="D63:E63"/>
    <mergeCell ref="D96:E96"/>
    <mergeCell ref="D52:E52"/>
    <mergeCell ref="F193:G193"/>
    <mergeCell ref="F127:G127"/>
    <mergeCell ref="D21:E21"/>
    <mergeCell ref="F51:G51"/>
    <mergeCell ref="D145:E145"/>
    <mergeCell ref="F145:G145"/>
    <mergeCell ref="D16:E16"/>
    <mergeCell ref="D87:E87"/>
    <mergeCell ref="D147:E147"/>
    <mergeCell ref="F38:G38"/>
    <mergeCell ref="D122:E122"/>
    <mergeCell ref="D18:E18"/>
    <mergeCell ref="F140:G140"/>
    <mergeCell ref="F67:G67"/>
    <mergeCell ref="F186:G186"/>
    <mergeCell ref="D82:E82"/>
    <mergeCell ref="F82:G82"/>
    <mergeCell ref="D100:E100"/>
    <mergeCell ref="F29:G29"/>
    <mergeCell ref="D50:E50"/>
    <mergeCell ref="D31:E31"/>
    <mergeCell ref="D158:E158"/>
    <mergeCell ref="F158:G158"/>
    <mergeCell ref="F161:G161"/>
    <mergeCell ref="D197:E197"/>
    <mergeCell ref="F126:G126"/>
    <mergeCell ref="D53:E53"/>
    <mergeCell ref="F188:G188"/>
    <mergeCell ref="F17:G17"/>
    <mergeCell ref="D47:E47"/>
    <mergeCell ref="F109:G109"/>
    <mergeCell ref="F47:G47"/>
    <mergeCell ref="F190:G190"/>
    <mergeCell ref="F46:G46"/>
    <mergeCell ref="F111:G111"/>
    <mergeCell ref="F61:G61"/>
    <mergeCell ref="F48:G48"/>
    <mergeCell ref="D142:E142"/>
    <mergeCell ref="D129:E129"/>
    <mergeCell ref="D79:E79"/>
    <mergeCell ref="D144:E144"/>
    <mergeCell ref="F73:G73"/>
    <mergeCell ref="D81:E81"/>
    <mergeCell ref="F137:G137"/>
    <mergeCell ref="F124:G124"/>
    <mergeCell ref="D139:E139"/>
    <mergeCell ref="F164:G164"/>
    <mergeCell ref="F139:G139"/>
    <mergeCell ref="D195:E195"/>
    <mergeCell ref="D189:E189"/>
    <mergeCell ref="F18:G18"/>
    <mergeCell ref="F189:G189"/>
    <mergeCell ref="F45:G45"/>
    <mergeCell ref="F42:G42"/>
    <mergeCell ref="D66:E66"/>
    <mergeCell ref="D126:E126"/>
    <mergeCell ref="F66:G66"/>
    <mergeCell ref="F114:G114"/>
    <mergeCell ref="D28:E28"/>
    <mergeCell ref="D117:E117"/>
    <mergeCell ref="D92:E92"/>
    <mergeCell ref="D55:E55"/>
    <mergeCell ref="D30:E30"/>
    <mergeCell ref="F117:G117"/>
    <mergeCell ref="F92:G92"/>
    <mergeCell ref="D67:E67"/>
    <mergeCell ref="D94:E94"/>
    <mergeCell ref="F119:G119"/>
    <mergeCell ref="D69:E69"/>
    <mergeCell ref="F69:G69"/>
    <mergeCell ref="F112:G112"/>
    <mergeCell ref="F183:G183"/>
    <mergeCell ref="D7:E7"/>
    <mergeCell ref="D78:E78"/>
    <mergeCell ref="D134:E134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D131:E131"/>
    <mergeCell ref="D124:E124"/>
    <mergeCell ref="D15:E15"/>
    <mergeCell ref="D27:E27"/>
    <mergeCell ref="D116:E116"/>
    <mergeCell ref="D91:E91"/>
    <mergeCell ref="F91:G91"/>
    <mergeCell ref="D106:E106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  <mergeCell ref="F70:G70"/>
    <mergeCell ref="F175:G175"/>
    <mergeCell ref="F162:G162"/>
    <mergeCell ref="D169:E169"/>
    <mergeCell ref="F154:G154"/>
    <mergeCell ref="D162:E162"/>
    <mergeCell ref="D156:E156"/>
    <mergeCell ref="F156:G156"/>
    <mergeCell ref="F180:G180"/>
    <mergeCell ref="D182:E182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2" tint="-0.499984740745262"/>
  </sheetPr>
  <dimension ref="A1:O104"/>
  <sheetViews>
    <sheetView topLeftCell="B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672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673</v>
      </c>
      <c r="C3" s="263"/>
      <c r="D3" s="260"/>
      <c r="E3" s="266" t="s">
        <v>11</v>
      </c>
      <c r="F3" s="263"/>
      <c r="G3" s="260"/>
      <c r="H3" s="296" t="s">
        <v>674</v>
      </c>
      <c r="I3" s="269"/>
      <c r="J3" s="19" t="str">
        <f>B3</f>
        <v>Ultracet 37.5mg</v>
      </c>
      <c r="K3" s="34" t="s">
        <v>675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676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677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A1:S160"/>
  <sheetViews>
    <sheetView zoomScaleNormal="100" workbookViewId="0">
      <pane ySplit="6" topLeftCell="A52" activePane="bottomLeft" state="frozen"/>
      <selection pane="bottomLeft" activeCell="F60" sqref="F60:G60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9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9" ht="34.950000000000003" customHeight="1">
      <c r="A2" s="33" t="s">
        <v>678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9" ht="19.5" customHeight="1">
      <c r="A3" s="23" t="s">
        <v>9</v>
      </c>
      <c r="B3" s="282" t="s">
        <v>679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Xanax 0.5mg</v>
      </c>
      <c r="K3" s="34" t="s">
        <v>680</v>
      </c>
      <c r="L3" s="5">
        <f>H7</f>
        <v>1402</v>
      </c>
      <c r="M3" s="3">
        <f>SUM(C$8:C$1048576)</f>
        <v>3000</v>
      </c>
      <c r="N3" s="3">
        <f>SUM(F:F)</f>
        <v>2951</v>
      </c>
      <c r="O3" s="3">
        <f>L3+M3-N3</f>
        <v>1451</v>
      </c>
    </row>
    <row r="4" spans="1:19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681</v>
      </c>
      <c r="I4" s="269"/>
      <c r="J4" s="12"/>
      <c r="K4" s="3"/>
      <c r="L4" s="3"/>
      <c r="M4" s="3"/>
      <c r="N4" s="3"/>
      <c r="O4" s="3"/>
    </row>
    <row r="5" spans="1:19" ht="19.5" customHeight="1">
      <c r="A5" s="272" t="s">
        <v>18</v>
      </c>
      <c r="B5" s="260"/>
      <c r="C5" s="262" t="s">
        <v>682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9" s="88" customFormat="1" ht="17.25" customHeight="1" thickBot="1">
      <c r="A6" s="69" t="s">
        <v>22</v>
      </c>
      <c r="B6" s="65" t="s">
        <v>23</v>
      </c>
      <c r="C6" s="65" t="s">
        <v>24</v>
      </c>
      <c r="D6" s="285" t="s">
        <v>25</v>
      </c>
      <c r="E6" s="286"/>
      <c r="F6" s="285" t="s">
        <v>26</v>
      </c>
      <c r="G6" s="286"/>
      <c r="H6" s="65" t="s">
        <v>27</v>
      </c>
      <c r="I6" s="70" t="s">
        <v>28</v>
      </c>
      <c r="J6" s="12"/>
      <c r="K6" s="3"/>
      <c r="L6" s="3"/>
      <c r="M6" s="3"/>
      <c r="N6" s="3"/>
      <c r="O6" s="3"/>
    </row>
    <row r="7" spans="1:19" s="88" customFormat="1" ht="29.25" customHeight="1" thickTop="1">
      <c r="A7" s="196" t="s">
        <v>29</v>
      </c>
      <c r="B7" s="155" t="s">
        <v>5</v>
      </c>
      <c r="C7" s="155">
        <v>1402</v>
      </c>
      <c r="D7" s="280"/>
      <c r="E7" s="260"/>
      <c r="F7" s="280"/>
      <c r="G7" s="260"/>
      <c r="H7" s="155">
        <v>1402</v>
      </c>
      <c r="I7" s="210" t="s">
        <v>571</v>
      </c>
      <c r="J7" s="12"/>
      <c r="K7" s="3"/>
      <c r="L7" s="3"/>
      <c r="M7" s="3"/>
      <c r="N7" s="3"/>
      <c r="O7" s="3"/>
      <c r="Q7" s="154" t="s">
        <v>683</v>
      </c>
      <c r="R7" s="154" t="s">
        <v>31</v>
      </c>
      <c r="S7" s="154" t="s">
        <v>684</v>
      </c>
    </row>
    <row r="8" spans="1:19" ht="21" customHeight="1">
      <c r="A8" s="39" t="s">
        <v>572</v>
      </c>
      <c r="B8" s="38" t="s">
        <v>323</v>
      </c>
      <c r="C8" s="3"/>
      <c r="D8" s="259"/>
      <c r="E8" s="260"/>
      <c r="F8" s="279">
        <v>3</v>
      </c>
      <c r="G8" s="260"/>
      <c r="H8" s="38">
        <f t="shared" ref="H8:H28" si="0">H7-F8</f>
        <v>1399</v>
      </c>
      <c r="I8" s="39"/>
    </row>
    <row r="9" spans="1:19" ht="21" customHeight="1">
      <c r="A9" s="39" t="s">
        <v>333</v>
      </c>
      <c r="B9" s="38" t="s">
        <v>323</v>
      </c>
      <c r="C9" s="3"/>
      <c r="D9" s="259"/>
      <c r="E9" s="260"/>
      <c r="F9" s="279">
        <v>56</v>
      </c>
      <c r="G9" s="260"/>
      <c r="H9" s="38">
        <f t="shared" si="0"/>
        <v>1343</v>
      </c>
      <c r="I9" s="39"/>
    </row>
    <row r="10" spans="1:19" ht="21" customHeight="1">
      <c r="A10" s="39" t="s">
        <v>522</v>
      </c>
      <c r="B10" s="38" t="s">
        <v>323</v>
      </c>
      <c r="C10" s="3"/>
      <c r="D10" s="259"/>
      <c r="E10" s="260"/>
      <c r="F10" s="279">
        <v>56</v>
      </c>
      <c r="G10" s="260"/>
      <c r="H10" s="38">
        <f t="shared" si="0"/>
        <v>1287</v>
      </c>
      <c r="I10" s="39"/>
    </row>
    <row r="11" spans="1:19" ht="21" customHeight="1">
      <c r="A11" s="39" t="s">
        <v>334</v>
      </c>
      <c r="B11" s="38" t="s">
        <v>323</v>
      </c>
      <c r="C11" s="3"/>
      <c r="D11" s="259"/>
      <c r="E11" s="260"/>
      <c r="F11" s="279">
        <v>30</v>
      </c>
      <c r="G11" s="260"/>
      <c r="H11" s="38">
        <f t="shared" si="0"/>
        <v>1257</v>
      </c>
      <c r="I11" s="39"/>
    </row>
    <row r="12" spans="1:19" ht="21" customHeight="1">
      <c r="A12" s="39" t="s">
        <v>409</v>
      </c>
      <c r="B12" s="38" t="s">
        <v>323</v>
      </c>
      <c r="C12" s="3"/>
      <c r="D12" s="259"/>
      <c r="E12" s="260"/>
      <c r="F12" s="279">
        <v>56</v>
      </c>
      <c r="G12" s="260"/>
      <c r="H12" s="38">
        <f t="shared" si="0"/>
        <v>1201</v>
      </c>
      <c r="I12" s="39"/>
    </row>
    <row r="13" spans="1:19" ht="21" customHeight="1">
      <c r="A13" s="41" t="s">
        <v>432</v>
      </c>
      <c r="B13" s="38" t="s">
        <v>323</v>
      </c>
      <c r="C13" s="3"/>
      <c r="D13" s="259"/>
      <c r="E13" s="260"/>
      <c r="F13" s="279">
        <v>59</v>
      </c>
      <c r="G13" s="260"/>
      <c r="H13" s="38">
        <f t="shared" si="0"/>
        <v>1142</v>
      </c>
      <c r="I13" s="39"/>
    </row>
    <row r="14" spans="1:19" ht="21" customHeight="1">
      <c r="A14" s="39" t="s">
        <v>523</v>
      </c>
      <c r="B14" s="38" t="s">
        <v>323</v>
      </c>
      <c r="C14" s="3"/>
      <c r="D14" s="259"/>
      <c r="E14" s="260"/>
      <c r="F14" s="279">
        <v>61</v>
      </c>
      <c r="G14" s="260"/>
      <c r="H14" s="38">
        <f t="shared" si="0"/>
        <v>1081</v>
      </c>
      <c r="I14" s="39"/>
    </row>
    <row r="15" spans="1:19" ht="21" customHeight="1">
      <c r="A15" s="39" t="s">
        <v>469</v>
      </c>
      <c r="B15" s="38" t="s">
        <v>323</v>
      </c>
      <c r="C15" s="3"/>
      <c r="D15" s="259"/>
      <c r="E15" s="260"/>
      <c r="F15" s="279">
        <v>56</v>
      </c>
      <c r="G15" s="260"/>
      <c r="H15" s="38">
        <f t="shared" si="0"/>
        <v>1025</v>
      </c>
      <c r="I15" s="39"/>
    </row>
    <row r="16" spans="1:19" ht="21" customHeight="1">
      <c r="A16" s="41" t="s">
        <v>573</v>
      </c>
      <c r="B16" s="38" t="s">
        <v>323</v>
      </c>
      <c r="C16" s="3"/>
      <c r="D16" s="259"/>
      <c r="E16" s="260"/>
      <c r="F16" s="279">
        <v>58</v>
      </c>
      <c r="G16" s="260"/>
      <c r="H16" s="38">
        <f t="shared" si="0"/>
        <v>967</v>
      </c>
      <c r="I16" s="39"/>
    </row>
    <row r="17" spans="1:9" ht="21" customHeight="1">
      <c r="A17" s="39" t="s">
        <v>524</v>
      </c>
      <c r="B17" s="38" t="s">
        <v>323</v>
      </c>
      <c r="C17" s="3"/>
      <c r="D17" s="259"/>
      <c r="E17" s="260"/>
      <c r="F17" s="279">
        <v>14</v>
      </c>
      <c r="G17" s="260"/>
      <c r="H17" s="38">
        <f t="shared" si="0"/>
        <v>953</v>
      </c>
      <c r="I17" s="39"/>
    </row>
    <row r="18" spans="1:9" ht="21" customHeight="1">
      <c r="A18" s="39" t="s">
        <v>472</v>
      </c>
      <c r="B18" s="38" t="s">
        <v>323</v>
      </c>
      <c r="C18" s="3"/>
      <c r="D18" s="259"/>
      <c r="E18" s="260"/>
      <c r="F18" s="279">
        <v>28</v>
      </c>
      <c r="G18" s="260"/>
      <c r="H18" s="38">
        <f t="shared" si="0"/>
        <v>925</v>
      </c>
      <c r="I18" s="39"/>
    </row>
    <row r="19" spans="1:9" ht="21" customHeight="1">
      <c r="A19" s="41" t="s">
        <v>473</v>
      </c>
      <c r="B19" s="38" t="s">
        <v>323</v>
      </c>
      <c r="C19" s="3"/>
      <c r="D19" s="259"/>
      <c r="E19" s="260"/>
      <c r="F19" s="279">
        <v>30</v>
      </c>
      <c r="G19" s="260"/>
      <c r="H19" s="38">
        <f t="shared" si="0"/>
        <v>895</v>
      </c>
      <c r="I19" s="39"/>
    </row>
    <row r="20" spans="1:9" ht="21" customHeight="1">
      <c r="A20" s="41" t="s">
        <v>435</v>
      </c>
      <c r="B20" s="38" t="s">
        <v>323</v>
      </c>
      <c r="C20" s="3"/>
      <c r="D20" s="259"/>
      <c r="E20" s="260"/>
      <c r="F20" s="279">
        <v>56</v>
      </c>
      <c r="G20" s="260"/>
      <c r="H20" s="38">
        <f t="shared" si="0"/>
        <v>839</v>
      </c>
      <c r="I20" s="39"/>
    </row>
    <row r="21" spans="1:9" ht="21" customHeight="1">
      <c r="A21" s="41" t="s">
        <v>411</v>
      </c>
      <c r="B21" s="38" t="s">
        <v>323</v>
      </c>
      <c r="C21" s="3"/>
      <c r="D21" s="259"/>
      <c r="E21" s="260"/>
      <c r="F21" s="279">
        <v>56</v>
      </c>
      <c r="G21" s="260"/>
      <c r="H21" s="38">
        <f t="shared" si="0"/>
        <v>783</v>
      </c>
      <c r="I21" s="39"/>
    </row>
    <row r="22" spans="1:9" ht="21" customHeight="1">
      <c r="A22" s="39" t="s">
        <v>525</v>
      </c>
      <c r="B22" s="38" t="s">
        <v>323</v>
      </c>
      <c r="C22" s="3"/>
      <c r="D22" s="259"/>
      <c r="E22" s="260"/>
      <c r="F22" s="279">
        <v>28</v>
      </c>
      <c r="G22" s="260"/>
      <c r="H22" s="38">
        <f t="shared" si="0"/>
        <v>755</v>
      </c>
      <c r="I22" s="39"/>
    </row>
    <row r="23" spans="1:9" ht="21" customHeight="1">
      <c r="A23" s="39" t="s">
        <v>474</v>
      </c>
      <c r="B23" s="148" t="s">
        <v>323</v>
      </c>
      <c r="C23" s="3"/>
      <c r="D23" s="259"/>
      <c r="E23" s="260"/>
      <c r="F23" s="279">
        <v>30</v>
      </c>
      <c r="G23" s="260"/>
      <c r="H23" s="38">
        <f t="shared" si="0"/>
        <v>725</v>
      </c>
      <c r="I23" s="39"/>
    </row>
    <row r="24" spans="1:9" ht="21" customHeight="1">
      <c r="A24" s="39" t="s">
        <v>526</v>
      </c>
      <c r="B24" s="38" t="s">
        <v>323</v>
      </c>
      <c r="C24" s="3"/>
      <c r="D24" s="259"/>
      <c r="E24" s="260"/>
      <c r="F24" s="279">
        <v>91</v>
      </c>
      <c r="G24" s="260"/>
      <c r="H24" s="38">
        <f t="shared" si="0"/>
        <v>634</v>
      </c>
      <c r="I24" s="39"/>
    </row>
    <row r="25" spans="1:9" ht="21" customHeight="1">
      <c r="A25" s="39" t="s">
        <v>385</v>
      </c>
      <c r="B25" s="38" t="s">
        <v>323</v>
      </c>
      <c r="C25" s="3"/>
      <c r="D25" s="259"/>
      <c r="E25" s="260"/>
      <c r="F25" s="279">
        <v>30</v>
      </c>
      <c r="G25" s="260"/>
      <c r="H25" s="38">
        <f t="shared" si="0"/>
        <v>604</v>
      </c>
      <c r="I25" s="39"/>
    </row>
    <row r="26" spans="1:9" ht="21" customHeight="1">
      <c r="A26" s="39" t="s">
        <v>475</v>
      </c>
      <c r="B26" s="38" t="s">
        <v>323</v>
      </c>
      <c r="C26" s="3"/>
      <c r="D26" s="259"/>
      <c r="E26" s="260"/>
      <c r="F26" s="279">
        <v>56</v>
      </c>
      <c r="G26" s="260"/>
      <c r="H26" s="38">
        <f t="shared" si="0"/>
        <v>548</v>
      </c>
      <c r="I26" s="39"/>
    </row>
    <row r="27" spans="1:9" ht="21" customHeight="1">
      <c r="A27" s="39" t="s">
        <v>476</v>
      </c>
      <c r="B27" s="38" t="s">
        <v>323</v>
      </c>
      <c r="C27" s="3"/>
      <c r="D27" s="259"/>
      <c r="E27" s="260"/>
      <c r="F27" s="279">
        <v>3</v>
      </c>
      <c r="G27" s="260"/>
      <c r="H27" s="38">
        <f t="shared" si="0"/>
        <v>545</v>
      </c>
      <c r="I27" s="39"/>
    </row>
    <row r="28" spans="1:9" ht="21" customHeight="1">
      <c r="A28" s="39" t="s">
        <v>477</v>
      </c>
      <c r="B28" s="38" t="s">
        <v>323</v>
      </c>
      <c r="C28" s="3"/>
      <c r="D28" s="259"/>
      <c r="E28" s="260"/>
      <c r="F28" s="279">
        <v>30</v>
      </c>
      <c r="G28" s="260"/>
      <c r="H28" s="38">
        <f t="shared" si="0"/>
        <v>515</v>
      </c>
      <c r="I28" s="39"/>
    </row>
    <row r="29" spans="1:9" ht="21" customHeight="1">
      <c r="A29" s="38" t="s">
        <v>477</v>
      </c>
      <c r="B29" s="38" t="s">
        <v>324</v>
      </c>
      <c r="C29" s="3">
        <v>1500</v>
      </c>
      <c r="D29" s="259" t="s">
        <v>685</v>
      </c>
      <c r="E29" s="260"/>
      <c r="F29" s="279"/>
      <c r="G29" s="260"/>
      <c r="H29" s="38">
        <v>2015</v>
      </c>
      <c r="I29" s="192" t="s">
        <v>686</v>
      </c>
    </row>
    <row r="30" spans="1:9" ht="21" customHeight="1">
      <c r="A30" s="39" t="s">
        <v>386</v>
      </c>
      <c r="B30" s="38" t="s">
        <v>323</v>
      </c>
      <c r="C30" s="3"/>
      <c r="D30" s="259"/>
      <c r="E30" s="260"/>
      <c r="F30" s="279">
        <v>3</v>
      </c>
      <c r="G30" s="260"/>
      <c r="H30" s="38">
        <f t="shared" ref="H30:H56" si="1">H29-F30</f>
        <v>2012</v>
      </c>
      <c r="I30" s="39"/>
    </row>
    <row r="31" spans="1:9" ht="21" customHeight="1">
      <c r="A31" s="39" t="s">
        <v>343</v>
      </c>
      <c r="B31" s="38" t="s">
        <v>323</v>
      </c>
      <c r="C31" s="3"/>
      <c r="D31" s="259"/>
      <c r="E31" s="260"/>
      <c r="F31" s="279">
        <v>56</v>
      </c>
      <c r="G31" s="260"/>
      <c r="H31" s="38">
        <f t="shared" si="1"/>
        <v>1956</v>
      </c>
      <c r="I31" s="39"/>
    </row>
    <row r="32" spans="1:9" ht="21" customHeight="1">
      <c r="A32" s="41" t="s">
        <v>479</v>
      </c>
      <c r="B32" s="38" t="s">
        <v>323</v>
      </c>
      <c r="C32" s="3"/>
      <c r="D32" s="259"/>
      <c r="E32" s="260"/>
      <c r="F32" s="279">
        <v>61</v>
      </c>
      <c r="G32" s="260"/>
      <c r="H32" s="38">
        <f t="shared" si="1"/>
        <v>1895</v>
      </c>
      <c r="I32" s="39"/>
    </row>
    <row r="33" spans="1:9" ht="21" customHeight="1">
      <c r="A33" s="41" t="s">
        <v>481</v>
      </c>
      <c r="B33" s="38" t="s">
        <v>323</v>
      </c>
      <c r="C33" s="3"/>
      <c r="D33" s="259"/>
      <c r="E33" s="260"/>
      <c r="F33" s="279">
        <v>30</v>
      </c>
      <c r="G33" s="260"/>
      <c r="H33" s="38">
        <f t="shared" si="1"/>
        <v>1865</v>
      </c>
      <c r="I33" s="39"/>
    </row>
    <row r="34" spans="1:9" ht="21" customHeight="1">
      <c r="A34" s="39" t="s">
        <v>438</v>
      </c>
      <c r="B34" s="38" t="s">
        <v>323</v>
      </c>
      <c r="C34" s="3"/>
      <c r="D34" s="259"/>
      <c r="E34" s="260"/>
      <c r="F34" s="279">
        <v>84</v>
      </c>
      <c r="G34" s="260"/>
      <c r="H34" s="38">
        <f t="shared" si="1"/>
        <v>1781</v>
      </c>
      <c r="I34" s="39"/>
    </row>
    <row r="35" spans="1:9" ht="21" customHeight="1">
      <c r="A35" s="39" t="s">
        <v>528</v>
      </c>
      <c r="B35" s="38" t="s">
        <v>323</v>
      </c>
      <c r="C35" s="3"/>
      <c r="D35" s="259"/>
      <c r="E35" s="260"/>
      <c r="F35" s="279">
        <v>56</v>
      </c>
      <c r="G35" s="260"/>
      <c r="H35" s="38">
        <f t="shared" si="1"/>
        <v>1725</v>
      </c>
      <c r="I35" s="39"/>
    </row>
    <row r="36" spans="1:9" ht="21" customHeight="1">
      <c r="A36" s="39" t="s">
        <v>634</v>
      </c>
      <c r="B36" s="38" t="s">
        <v>323</v>
      </c>
      <c r="C36" s="3"/>
      <c r="D36" s="259"/>
      <c r="E36" s="260"/>
      <c r="F36" s="279">
        <v>59</v>
      </c>
      <c r="G36" s="260"/>
      <c r="H36" s="38">
        <f t="shared" si="1"/>
        <v>1666</v>
      </c>
      <c r="I36" s="39"/>
    </row>
    <row r="37" spans="1:9" ht="21" customHeight="1">
      <c r="A37" s="39" t="s">
        <v>531</v>
      </c>
      <c r="B37" s="38" t="s">
        <v>323</v>
      </c>
      <c r="C37" s="3"/>
      <c r="D37" s="259"/>
      <c r="E37" s="260"/>
      <c r="F37" s="279">
        <v>30</v>
      </c>
      <c r="G37" s="260"/>
      <c r="H37" s="38">
        <f t="shared" si="1"/>
        <v>1636</v>
      </c>
      <c r="I37" s="39"/>
    </row>
    <row r="38" spans="1:9" ht="21" customHeight="1">
      <c r="A38" s="41" t="s">
        <v>350</v>
      </c>
      <c r="B38" s="38" t="s">
        <v>323</v>
      </c>
      <c r="C38" s="3"/>
      <c r="D38" s="259"/>
      <c r="E38" s="260"/>
      <c r="F38" s="279">
        <v>86</v>
      </c>
      <c r="G38" s="260"/>
      <c r="H38" s="38">
        <f t="shared" si="1"/>
        <v>1550</v>
      </c>
      <c r="I38" s="39"/>
    </row>
    <row r="39" spans="1:9" ht="21" customHeight="1">
      <c r="A39" s="39" t="s">
        <v>533</v>
      </c>
      <c r="B39" s="38" t="s">
        <v>323</v>
      </c>
      <c r="C39" s="3"/>
      <c r="D39" s="259"/>
      <c r="E39" s="260"/>
      <c r="F39" s="279">
        <v>42</v>
      </c>
      <c r="G39" s="260"/>
      <c r="H39" s="38">
        <f t="shared" si="1"/>
        <v>1508</v>
      </c>
      <c r="I39" s="39"/>
    </row>
    <row r="40" spans="1:9" ht="21" customHeight="1">
      <c r="A40" s="39" t="s">
        <v>439</v>
      </c>
      <c r="B40" s="38" t="s">
        <v>323</v>
      </c>
      <c r="C40" s="3"/>
      <c r="D40" s="259"/>
      <c r="E40" s="260"/>
      <c r="F40" s="279">
        <v>59</v>
      </c>
      <c r="G40" s="260"/>
      <c r="H40" s="38">
        <f t="shared" si="1"/>
        <v>1449</v>
      </c>
      <c r="I40" s="39"/>
    </row>
    <row r="41" spans="1:9" ht="21" customHeight="1">
      <c r="A41" s="39" t="s">
        <v>389</v>
      </c>
      <c r="B41" s="38" t="s">
        <v>323</v>
      </c>
      <c r="C41" s="3"/>
      <c r="D41" s="259"/>
      <c r="E41" s="260"/>
      <c r="F41" s="279">
        <v>6</v>
      </c>
      <c r="G41" s="260"/>
      <c r="H41" s="38">
        <f t="shared" si="1"/>
        <v>1443</v>
      </c>
      <c r="I41" s="39"/>
    </row>
    <row r="42" spans="1:9" ht="21" customHeight="1">
      <c r="A42" s="39" t="s">
        <v>485</v>
      </c>
      <c r="B42" s="38" t="s">
        <v>323</v>
      </c>
      <c r="C42" s="3"/>
      <c r="D42" s="259"/>
      <c r="E42" s="260"/>
      <c r="F42" s="279">
        <v>3</v>
      </c>
      <c r="G42" s="260"/>
      <c r="H42" s="38">
        <f t="shared" si="1"/>
        <v>1440</v>
      </c>
      <c r="I42" s="39"/>
    </row>
    <row r="43" spans="1:9" ht="21" customHeight="1">
      <c r="A43" s="39" t="s">
        <v>415</v>
      </c>
      <c r="B43" s="38" t="s">
        <v>323</v>
      </c>
      <c r="C43" s="3"/>
      <c r="D43" s="259"/>
      <c r="E43" s="260"/>
      <c r="F43" s="279">
        <v>112</v>
      </c>
      <c r="G43" s="260"/>
      <c r="H43" s="38">
        <f t="shared" si="1"/>
        <v>1328</v>
      </c>
      <c r="I43" s="39"/>
    </row>
    <row r="44" spans="1:9" ht="21" customHeight="1">
      <c r="A44" s="39" t="s">
        <v>441</v>
      </c>
      <c r="B44" s="38" t="s">
        <v>323</v>
      </c>
      <c r="C44" s="3"/>
      <c r="D44" s="259"/>
      <c r="E44" s="260"/>
      <c r="F44" s="279">
        <v>56</v>
      </c>
      <c r="G44" s="260"/>
      <c r="H44" s="38">
        <f t="shared" si="1"/>
        <v>1272</v>
      </c>
      <c r="I44" s="39"/>
    </row>
    <row r="45" spans="1:9" ht="21" customHeight="1">
      <c r="A45" s="39" t="s">
        <v>352</v>
      </c>
      <c r="B45" s="38" t="s">
        <v>323</v>
      </c>
      <c r="C45" s="3"/>
      <c r="D45" s="259"/>
      <c r="E45" s="260"/>
      <c r="F45" s="279">
        <v>30</v>
      </c>
      <c r="G45" s="260"/>
      <c r="H45" s="38">
        <f t="shared" si="1"/>
        <v>1242</v>
      </c>
      <c r="I45" s="39"/>
    </row>
    <row r="46" spans="1:9" ht="21" customHeight="1">
      <c r="A46" s="41" t="s">
        <v>392</v>
      </c>
      <c r="B46" s="38" t="s">
        <v>323</v>
      </c>
      <c r="C46" s="3"/>
      <c r="D46" s="259"/>
      <c r="E46" s="260"/>
      <c r="F46" s="279">
        <v>56</v>
      </c>
      <c r="G46" s="260"/>
      <c r="H46" s="38">
        <f t="shared" si="1"/>
        <v>1186</v>
      </c>
      <c r="I46" s="192" t="s">
        <v>686</v>
      </c>
    </row>
    <row r="47" spans="1:9" ht="21" customHeight="1">
      <c r="A47" s="39" t="s">
        <v>393</v>
      </c>
      <c r="B47" s="38" t="s">
        <v>323</v>
      </c>
      <c r="C47" s="3"/>
      <c r="D47" s="259"/>
      <c r="E47" s="260"/>
      <c r="F47" s="279">
        <v>28</v>
      </c>
      <c r="G47" s="260"/>
      <c r="H47" s="38">
        <f t="shared" si="1"/>
        <v>1158</v>
      </c>
      <c r="I47" s="39"/>
    </row>
    <row r="48" spans="1:9" ht="21" customHeight="1">
      <c r="A48" s="39" t="s">
        <v>416</v>
      </c>
      <c r="B48" s="38" t="s">
        <v>323</v>
      </c>
      <c r="C48" s="3"/>
      <c r="D48" s="259"/>
      <c r="E48" s="260"/>
      <c r="F48" s="279">
        <v>56</v>
      </c>
      <c r="G48" s="260"/>
      <c r="H48" s="38">
        <f t="shared" si="1"/>
        <v>1102</v>
      </c>
      <c r="I48" s="39"/>
    </row>
    <row r="49" spans="1:9" ht="21" customHeight="1">
      <c r="A49" s="39" t="s">
        <v>492</v>
      </c>
      <c r="B49" s="38" t="s">
        <v>323</v>
      </c>
      <c r="C49" s="3"/>
      <c r="D49" s="259"/>
      <c r="E49" s="260"/>
      <c r="F49" s="279">
        <v>30</v>
      </c>
      <c r="G49" s="260"/>
      <c r="H49" s="38">
        <f t="shared" si="1"/>
        <v>1072</v>
      </c>
      <c r="I49" s="39"/>
    </row>
    <row r="50" spans="1:9" ht="21" customHeight="1">
      <c r="A50" s="39" t="s">
        <v>445</v>
      </c>
      <c r="B50" s="38" t="s">
        <v>323</v>
      </c>
      <c r="C50" s="3"/>
      <c r="D50" s="259"/>
      <c r="E50" s="260"/>
      <c r="F50" s="279">
        <v>56</v>
      </c>
      <c r="G50" s="260"/>
      <c r="H50" s="38">
        <f t="shared" si="1"/>
        <v>1016</v>
      </c>
      <c r="I50" s="39"/>
    </row>
    <row r="51" spans="1:9" ht="21" customHeight="1">
      <c r="A51" s="39" t="s">
        <v>356</v>
      </c>
      <c r="B51" s="38" t="s">
        <v>323</v>
      </c>
      <c r="C51" s="3"/>
      <c r="D51" s="259"/>
      <c r="E51" s="260"/>
      <c r="F51" s="279">
        <v>56</v>
      </c>
      <c r="G51" s="260"/>
      <c r="H51" s="38">
        <f t="shared" si="1"/>
        <v>960</v>
      </c>
      <c r="I51" s="39"/>
    </row>
    <row r="52" spans="1:9" ht="21" customHeight="1">
      <c r="A52" s="39" t="s">
        <v>495</v>
      </c>
      <c r="B52" s="38" t="s">
        <v>323</v>
      </c>
      <c r="C52" s="3"/>
      <c r="D52" s="259"/>
      <c r="E52" s="260"/>
      <c r="F52" s="279">
        <v>56</v>
      </c>
      <c r="G52" s="260"/>
      <c r="H52" s="38">
        <f t="shared" si="1"/>
        <v>904</v>
      </c>
      <c r="I52" s="39"/>
    </row>
    <row r="53" spans="1:9" ht="21" customHeight="1">
      <c r="A53" s="39" t="s">
        <v>447</v>
      </c>
      <c r="B53" s="38" t="s">
        <v>323</v>
      </c>
      <c r="C53" s="3"/>
      <c r="D53" s="259"/>
      <c r="E53" s="260"/>
      <c r="F53" s="279">
        <v>30</v>
      </c>
      <c r="G53" s="260"/>
      <c r="H53" s="38">
        <f t="shared" si="1"/>
        <v>874</v>
      </c>
      <c r="I53" s="39"/>
    </row>
    <row r="54" spans="1:9" ht="21" customHeight="1">
      <c r="A54" s="39" t="s">
        <v>546</v>
      </c>
      <c r="B54" s="38" t="s">
        <v>323</v>
      </c>
      <c r="C54" s="3"/>
      <c r="D54" s="259"/>
      <c r="E54" s="260"/>
      <c r="F54" s="279">
        <v>7</v>
      </c>
      <c r="G54" s="260"/>
      <c r="H54" s="38">
        <f t="shared" si="1"/>
        <v>867</v>
      </c>
      <c r="I54" s="39"/>
    </row>
    <row r="55" spans="1:9" ht="21" customHeight="1">
      <c r="A55" s="39" t="s">
        <v>583</v>
      </c>
      <c r="B55" s="38" t="s">
        <v>323</v>
      </c>
      <c r="C55" s="3"/>
      <c r="D55" s="259"/>
      <c r="E55" s="260"/>
      <c r="F55" s="279">
        <v>56</v>
      </c>
      <c r="G55" s="260"/>
      <c r="H55" s="38">
        <f t="shared" si="1"/>
        <v>811</v>
      </c>
      <c r="I55" s="39"/>
    </row>
    <row r="56" spans="1:9" ht="21" customHeight="1">
      <c r="A56" s="39" t="s">
        <v>498</v>
      </c>
      <c r="B56" s="38" t="s">
        <v>323</v>
      </c>
      <c r="C56" s="3"/>
      <c r="D56" s="259"/>
      <c r="E56" s="260"/>
      <c r="F56" s="279">
        <v>56</v>
      </c>
      <c r="G56" s="260"/>
      <c r="H56" s="38">
        <f t="shared" si="1"/>
        <v>755</v>
      </c>
      <c r="I56" s="39"/>
    </row>
    <row r="57" spans="1:9" ht="21" customHeight="1">
      <c r="A57" s="41" t="s">
        <v>448</v>
      </c>
      <c r="B57" s="38" t="s">
        <v>324</v>
      </c>
      <c r="C57" s="3">
        <v>1500</v>
      </c>
      <c r="D57" s="259" t="s">
        <v>687</v>
      </c>
      <c r="E57" s="260"/>
      <c r="F57" s="279"/>
      <c r="G57" s="260"/>
      <c r="H57" s="38">
        <v>2255</v>
      </c>
      <c r="I57" s="39" t="s">
        <v>686</v>
      </c>
    </row>
    <row r="58" spans="1:9" ht="21.75" customHeight="1" thickBot="1">
      <c r="A58" s="39" t="s">
        <v>584</v>
      </c>
      <c r="B58" s="38" t="s">
        <v>323</v>
      </c>
      <c r="C58" s="3"/>
      <c r="D58" s="259"/>
      <c r="E58" s="260"/>
      <c r="F58" s="279">
        <v>30</v>
      </c>
      <c r="G58" s="260"/>
      <c r="H58" s="38">
        <f t="shared" ref="H58:H76" si="2">H57-F58</f>
        <v>2225</v>
      </c>
      <c r="I58" s="39"/>
    </row>
    <row r="59" spans="1:9" ht="21" customHeight="1">
      <c r="A59" s="39" t="s">
        <v>449</v>
      </c>
      <c r="B59" s="38" t="s">
        <v>323</v>
      </c>
      <c r="C59" s="3"/>
      <c r="D59" s="259"/>
      <c r="E59" s="260"/>
      <c r="F59" s="279">
        <v>84</v>
      </c>
      <c r="G59" s="260"/>
      <c r="H59" s="38">
        <f t="shared" si="2"/>
        <v>2141</v>
      </c>
      <c r="I59" s="39"/>
    </row>
    <row r="60" spans="1:9" ht="21" customHeight="1">
      <c r="A60" s="39" t="s">
        <v>359</v>
      </c>
      <c r="B60" s="38" t="s">
        <v>323</v>
      </c>
      <c r="C60" s="3"/>
      <c r="D60" s="259"/>
      <c r="E60" s="260"/>
      <c r="F60" s="279">
        <v>56</v>
      </c>
      <c r="G60" s="260"/>
      <c r="H60" s="38">
        <f t="shared" si="2"/>
        <v>2085</v>
      </c>
      <c r="I60" s="39"/>
    </row>
    <row r="61" spans="1:9" ht="21" customHeight="1">
      <c r="A61" s="39" t="s">
        <v>395</v>
      </c>
      <c r="B61" s="38" t="s">
        <v>323</v>
      </c>
      <c r="C61" s="3"/>
      <c r="D61" s="259"/>
      <c r="E61" s="260"/>
      <c r="F61" s="279">
        <v>30</v>
      </c>
      <c r="G61" s="260"/>
      <c r="H61" s="38">
        <f t="shared" si="2"/>
        <v>2055</v>
      </c>
      <c r="I61" s="39"/>
    </row>
    <row r="62" spans="1:9" ht="21" customHeight="1">
      <c r="A62" s="39" t="s">
        <v>396</v>
      </c>
      <c r="B62" s="38" t="s">
        <v>323</v>
      </c>
      <c r="C62" s="3"/>
      <c r="D62" s="259"/>
      <c r="E62" s="260"/>
      <c r="F62" s="279">
        <v>7</v>
      </c>
      <c r="G62" s="260"/>
      <c r="H62" s="38">
        <f t="shared" si="2"/>
        <v>2048</v>
      </c>
      <c r="I62" s="39"/>
    </row>
    <row r="63" spans="1:9" ht="21" customHeight="1">
      <c r="A63" s="39" t="s">
        <v>360</v>
      </c>
      <c r="B63" s="38" t="s">
        <v>323</v>
      </c>
      <c r="C63" s="3"/>
      <c r="D63" s="259"/>
      <c r="E63" s="260"/>
      <c r="F63" s="279">
        <v>28</v>
      </c>
      <c r="G63" s="260"/>
      <c r="H63" s="38">
        <f t="shared" si="2"/>
        <v>2020</v>
      </c>
      <c r="I63" s="39"/>
    </row>
    <row r="64" spans="1:9" ht="21" customHeight="1">
      <c r="A64" s="39" t="s">
        <v>504</v>
      </c>
      <c r="B64" s="38" t="s">
        <v>323</v>
      </c>
      <c r="C64" s="3"/>
      <c r="D64" s="259"/>
      <c r="E64" s="260"/>
      <c r="F64" s="279">
        <v>56</v>
      </c>
      <c r="G64" s="260"/>
      <c r="H64" s="38">
        <f t="shared" si="2"/>
        <v>1964</v>
      </c>
      <c r="I64" s="39"/>
    </row>
    <row r="65" spans="1:9" ht="21" customHeight="1">
      <c r="A65" s="39" t="s">
        <v>450</v>
      </c>
      <c r="B65" s="38" t="s">
        <v>323</v>
      </c>
      <c r="C65" s="3"/>
      <c r="D65" s="259"/>
      <c r="E65" s="260"/>
      <c r="F65" s="279">
        <v>56</v>
      </c>
      <c r="G65" s="260"/>
      <c r="H65" s="38">
        <f t="shared" si="2"/>
        <v>1908</v>
      </c>
      <c r="I65" s="39"/>
    </row>
    <row r="66" spans="1:9" ht="21" customHeight="1">
      <c r="A66" s="39" t="s">
        <v>363</v>
      </c>
      <c r="B66" s="38" t="s">
        <v>323</v>
      </c>
      <c r="C66" s="3"/>
      <c r="D66" s="259"/>
      <c r="E66" s="260"/>
      <c r="F66" s="279">
        <v>30</v>
      </c>
      <c r="G66" s="260"/>
      <c r="H66" s="38">
        <f t="shared" si="2"/>
        <v>1878</v>
      </c>
      <c r="I66" s="39"/>
    </row>
    <row r="67" spans="1:9" ht="21" customHeight="1">
      <c r="A67" s="39" t="s">
        <v>420</v>
      </c>
      <c r="B67" s="38" t="s">
        <v>323</v>
      </c>
      <c r="C67" s="3"/>
      <c r="D67" s="259"/>
      <c r="E67" s="260"/>
      <c r="F67" s="279">
        <v>56</v>
      </c>
      <c r="G67" s="260"/>
      <c r="H67" s="38">
        <f t="shared" si="2"/>
        <v>1822</v>
      </c>
      <c r="I67" s="39"/>
    </row>
    <row r="68" spans="1:9" ht="21" customHeight="1">
      <c r="A68" s="41" t="s">
        <v>554</v>
      </c>
      <c r="B68" s="38" t="s">
        <v>323</v>
      </c>
      <c r="C68" s="3"/>
      <c r="D68" s="259"/>
      <c r="E68" s="260"/>
      <c r="F68" s="279">
        <v>59</v>
      </c>
      <c r="G68" s="260"/>
      <c r="H68" s="38">
        <f t="shared" si="2"/>
        <v>1763</v>
      </c>
      <c r="I68" s="39"/>
    </row>
    <row r="69" spans="1:9" ht="21" customHeight="1">
      <c r="A69" s="39" t="s">
        <v>452</v>
      </c>
      <c r="B69" s="38" t="s">
        <v>323</v>
      </c>
      <c r="C69" s="3"/>
      <c r="D69" s="259"/>
      <c r="E69" s="260"/>
      <c r="F69" s="279">
        <v>56</v>
      </c>
      <c r="G69" s="260"/>
      <c r="H69" s="38">
        <f t="shared" si="2"/>
        <v>1707</v>
      </c>
      <c r="I69" s="39"/>
    </row>
    <row r="70" spans="1:9" ht="21" customHeight="1">
      <c r="A70" s="39" t="s">
        <v>454</v>
      </c>
      <c r="B70" s="38" t="s">
        <v>323</v>
      </c>
      <c r="C70" s="3"/>
      <c r="D70" s="259"/>
      <c r="E70" s="260"/>
      <c r="F70" s="279">
        <v>30</v>
      </c>
      <c r="G70" s="260"/>
      <c r="H70" s="38">
        <f t="shared" si="2"/>
        <v>1677</v>
      </c>
      <c r="I70" s="39"/>
    </row>
    <row r="71" spans="1:9" ht="21" customHeight="1">
      <c r="A71" s="39" t="s">
        <v>508</v>
      </c>
      <c r="B71" s="38" t="s">
        <v>323</v>
      </c>
      <c r="C71" s="3"/>
      <c r="D71" s="259"/>
      <c r="E71" s="260"/>
      <c r="F71" s="279">
        <v>28</v>
      </c>
      <c r="G71" s="260"/>
      <c r="H71" s="38">
        <f t="shared" si="2"/>
        <v>1649</v>
      </c>
      <c r="I71" s="39"/>
    </row>
    <row r="72" spans="1:9" ht="21" customHeight="1">
      <c r="A72" s="39" t="s">
        <v>400</v>
      </c>
      <c r="B72" s="38" t="s">
        <v>323</v>
      </c>
      <c r="C72" s="3"/>
      <c r="D72" s="259"/>
      <c r="E72" s="260"/>
      <c r="F72" s="279">
        <v>56</v>
      </c>
      <c r="G72" s="260"/>
      <c r="H72" s="38">
        <f t="shared" si="2"/>
        <v>1593</v>
      </c>
      <c r="I72" s="39"/>
    </row>
    <row r="73" spans="1:9" ht="21" customHeight="1">
      <c r="A73" s="39" t="s">
        <v>512</v>
      </c>
      <c r="B73" s="38" t="s">
        <v>323</v>
      </c>
      <c r="C73" s="3"/>
      <c r="D73" s="259"/>
      <c r="E73" s="260"/>
      <c r="F73" s="279">
        <v>30</v>
      </c>
      <c r="G73" s="260"/>
      <c r="H73" s="38">
        <f t="shared" si="2"/>
        <v>1563</v>
      </c>
      <c r="I73" s="39"/>
    </row>
    <row r="74" spans="1:9" ht="21" customHeight="1">
      <c r="A74" s="41" t="s">
        <v>368</v>
      </c>
      <c r="B74" s="38" t="s">
        <v>323</v>
      </c>
      <c r="C74" s="3"/>
      <c r="D74" s="259"/>
      <c r="E74" s="260"/>
      <c r="F74" s="279">
        <v>28</v>
      </c>
      <c r="G74" s="260"/>
      <c r="H74" s="38">
        <f t="shared" si="2"/>
        <v>1535</v>
      </c>
      <c r="I74" s="39"/>
    </row>
    <row r="75" spans="1:9" ht="21" customHeight="1">
      <c r="A75" s="41" t="s">
        <v>421</v>
      </c>
      <c r="B75" s="38" t="s">
        <v>323</v>
      </c>
      <c r="C75" s="3"/>
      <c r="D75" s="259"/>
      <c r="E75" s="260"/>
      <c r="F75" s="279">
        <v>56</v>
      </c>
      <c r="G75" s="260"/>
      <c r="H75" s="38">
        <f t="shared" si="2"/>
        <v>1479</v>
      </c>
      <c r="I75" s="39"/>
    </row>
    <row r="76" spans="1:9" ht="21" customHeight="1">
      <c r="A76" s="41" t="s">
        <v>370</v>
      </c>
      <c r="B76" s="38" t="s">
        <v>323</v>
      </c>
      <c r="C76" s="3"/>
      <c r="D76" s="259"/>
      <c r="E76" s="260"/>
      <c r="F76" s="279">
        <v>28</v>
      </c>
      <c r="G76" s="260"/>
      <c r="H76" s="38">
        <f t="shared" si="2"/>
        <v>1451</v>
      </c>
      <c r="I76" s="39"/>
    </row>
    <row r="77" spans="1:9" ht="21" customHeight="1">
      <c r="A77" s="39"/>
      <c r="B77" s="38"/>
      <c r="C77" s="3"/>
      <c r="D77" s="259"/>
      <c r="E77" s="260"/>
      <c r="F77" s="279"/>
      <c r="G77" s="260"/>
      <c r="H77" s="38"/>
      <c r="I77" s="39"/>
    </row>
    <row r="78" spans="1:9" ht="21" customHeight="1">
      <c r="A78" s="39"/>
      <c r="B78" s="38"/>
      <c r="C78" s="3"/>
      <c r="D78" s="259"/>
      <c r="E78" s="260"/>
      <c r="F78" s="279"/>
      <c r="G78" s="260"/>
      <c r="H78" s="38"/>
      <c r="I78" s="39"/>
    </row>
    <row r="79" spans="1:9" ht="21" customHeight="1">
      <c r="A79" s="41"/>
      <c r="B79" s="38"/>
      <c r="C79" s="3"/>
      <c r="D79" s="259"/>
      <c r="E79" s="260"/>
      <c r="F79" s="279"/>
      <c r="G79" s="260"/>
      <c r="H79" s="38"/>
      <c r="I79" s="192" t="s">
        <v>686</v>
      </c>
    </row>
    <row r="80" spans="1:9" ht="21" customHeight="1">
      <c r="A80" s="39"/>
      <c r="B80" s="38"/>
      <c r="C80" s="3"/>
      <c r="D80" s="259"/>
      <c r="E80" s="260"/>
      <c r="F80" s="279"/>
      <c r="G80" s="260"/>
      <c r="H80" s="38"/>
      <c r="I80" s="39"/>
    </row>
    <row r="81" spans="1:9" ht="21" customHeight="1">
      <c r="A81" s="41"/>
      <c r="B81" s="38"/>
      <c r="C81" s="3"/>
      <c r="D81" s="259"/>
      <c r="E81" s="260"/>
      <c r="F81" s="279"/>
      <c r="G81" s="260"/>
      <c r="H81" s="38"/>
      <c r="I81" s="39"/>
    </row>
    <row r="82" spans="1:9" ht="21" customHeight="1">
      <c r="A82" s="39"/>
      <c r="B82" s="38"/>
      <c r="C82" s="3"/>
      <c r="D82" s="259"/>
      <c r="E82" s="260"/>
      <c r="F82" s="279"/>
      <c r="G82" s="260"/>
      <c r="H82" s="38"/>
      <c r="I82" s="39"/>
    </row>
    <row r="83" spans="1:9" ht="21" customHeight="1">
      <c r="A83" s="38"/>
      <c r="B83" s="38"/>
      <c r="C83" s="3"/>
      <c r="D83" s="259"/>
      <c r="E83" s="260"/>
      <c r="F83" s="279"/>
      <c r="G83" s="260"/>
      <c r="H83" s="38"/>
      <c r="I83" s="39"/>
    </row>
    <row r="84" spans="1:9" ht="21" customHeight="1">
      <c r="A84" s="41"/>
      <c r="B84" s="38"/>
      <c r="C84" s="3"/>
      <c r="D84" s="259"/>
      <c r="E84" s="260"/>
      <c r="F84" s="279"/>
      <c r="G84" s="260"/>
      <c r="H84" s="38"/>
      <c r="I84" s="39"/>
    </row>
    <row r="85" spans="1:9" ht="21" customHeight="1">
      <c r="A85" s="39"/>
      <c r="B85" s="38"/>
      <c r="C85" s="3"/>
      <c r="D85" s="259"/>
      <c r="E85" s="260"/>
      <c r="F85" s="279"/>
      <c r="G85" s="260"/>
      <c r="H85" s="38"/>
      <c r="I85" s="39"/>
    </row>
    <row r="86" spans="1:9" ht="21" customHeight="1">
      <c r="A86" s="39"/>
      <c r="B86" s="38"/>
      <c r="C86" s="3"/>
      <c r="D86" s="259"/>
      <c r="E86" s="260"/>
      <c r="F86" s="279"/>
      <c r="G86" s="260"/>
      <c r="H86" s="38"/>
      <c r="I86" s="39"/>
    </row>
    <row r="87" spans="1:9" ht="21" customHeight="1">
      <c r="A87" s="41"/>
      <c r="B87" s="38"/>
      <c r="C87" s="3"/>
      <c r="D87" s="259"/>
      <c r="E87" s="260"/>
      <c r="F87" s="279"/>
      <c r="G87" s="260"/>
      <c r="H87" s="38"/>
      <c r="I87" s="39"/>
    </row>
    <row r="88" spans="1:9" ht="21" customHeight="1">
      <c r="A88" s="41"/>
      <c r="B88" s="38"/>
      <c r="C88" s="3"/>
      <c r="D88" s="259"/>
      <c r="E88" s="260"/>
      <c r="F88" s="279"/>
      <c r="G88" s="260"/>
      <c r="H88" s="38"/>
      <c r="I88" s="39"/>
    </row>
    <row r="89" spans="1:9" ht="21" customHeight="1">
      <c r="A89" s="39"/>
      <c r="B89" s="38"/>
      <c r="C89" s="3"/>
      <c r="D89" s="259"/>
      <c r="E89" s="260"/>
      <c r="F89" s="279"/>
      <c r="G89" s="260"/>
      <c r="H89" s="38"/>
      <c r="I89" s="39"/>
    </row>
    <row r="90" spans="1:9" ht="21" customHeight="1">
      <c r="A90" s="41"/>
      <c r="B90" s="38"/>
      <c r="C90" s="3"/>
      <c r="D90" s="259"/>
      <c r="E90" s="260"/>
      <c r="F90" s="279"/>
      <c r="G90" s="260"/>
      <c r="H90" s="38"/>
      <c r="I90" s="39"/>
    </row>
    <row r="91" spans="1:9" ht="21" customHeight="1">
      <c r="A91" s="39"/>
      <c r="B91" s="38"/>
      <c r="C91" s="3"/>
      <c r="D91" s="259"/>
      <c r="E91" s="260"/>
      <c r="F91" s="279"/>
      <c r="G91" s="260"/>
      <c r="H91" s="38"/>
      <c r="I91" s="39"/>
    </row>
    <row r="92" spans="1:9" ht="21" customHeight="1">
      <c r="A92" s="39"/>
      <c r="B92" s="38"/>
      <c r="C92" s="3"/>
      <c r="D92" s="259"/>
      <c r="E92" s="260"/>
      <c r="F92" s="279"/>
      <c r="G92" s="260"/>
      <c r="H92" s="38"/>
      <c r="I92" s="39"/>
    </row>
    <row r="93" spans="1:9" ht="21" customHeight="1">
      <c r="A93" s="39"/>
      <c r="B93" s="38"/>
      <c r="C93" s="3"/>
      <c r="D93" s="259"/>
      <c r="E93" s="260"/>
      <c r="F93" s="279"/>
      <c r="G93" s="260"/>
      <c r="H93" s="38"/>
      <c r="I93" s="39"/>
    </row>
    <row r="94" spans="1:9" ht="21" customHeight="1">
      <c r="A94" s="41"/>
      <c r="B94" s="38"/>
      <c r="C94" s="3"/>
      <c r="D94" s="259"/>
      <c r="E94" s="260"/>
      <c r="F94" s="279"/>
      <c r="G94" s="260"/>
      <c r="H94" s="38"/>
      <c r="I94" s="39"/>
    </row>
    <row r="95" spans="1:9" ht="21" customHeight="1">
      <c r="A95" s="41"/>
      <c r="B95" s="38"/>
      <c r="C95" s="3"/>
      <c r="D95" s="259"/>
      <c r="E95" s="260"/>
      <c r="F95" s="279"/>
      <c r="G95" s="260"/>
      <c r="H95" s="38"/>
      <c r="I95" s="39"/>
    </row>
    <row r="96" spans="1:9" ht="21" customHeight="1">
      <c r="A96" s="41"/>
      <c r="B96" s="38"/>
      <c r="C96" s="3"/>
      <c r="D96" s="259"/>
      <c r="E96" s="260"/>
      <c r="F96" s="279"/>
      <c r="G96" s="260"/>
      <c r="H96" s="38"/>
      <c r="I96" s="39"/>
    </row>
    <row r="97" spans="1:9" ht="21" customHeight="1">
      <c r="A97" s="41"/>
      <c r="B97" s="38"/>
      <c r="C97" s="3"/>
      <c r="D97" s="259"/>
      <c r="E97" s="260"/>
      <c r="F97" s="279"/>
      <c r="G97" s="260"/>
      <c r="H97" s="38"/>
      <c r="I97" s="39"/>
    </row>
    <row r="98" spans="1:9" ht="21" customHeight="1">
      <c r="A98" s="41"/>
      <c r="B98" s="38"/>
      <c r="C98" s="3"/>
      <c r="D98" s="259"/>
      <c r="E98" s="260"/>
      <c r="F98" s="279"/>
      <c r="G98" s="260"/>
      <c r="H98" s="38"/>
      <c r="I98" s="39"/>
    </row>
    <row r="99" spans="1:9" ht="21" customHeight="1">
      <c r="A99" s="41"/>
      <c r="B99" s="38"/>
      <c r="C99" s="3"/>
      <c r="D99" s="259"/>
      <c r="E99" s="260"/>
      <c r="F99" s="279"/>
      <c r="G99" s="260"/>
      <c r="H99" s="38"/>
      <c r="I99" s="39"/>
    </row>
    <row r="100" spans="1:9" ht="21" customHeight="1">
      <c r="A100" s="41"/>
      <c r="B100" s="38"/>
      <c r="C100" s="3"/>
      <c r="D100" s="259"/>
      <c r="E100" s="260"/>
      <c r="F100" s="279"/>
      <c r="G100" s="260"/>
      <c r="H100" s="38"/>
      <c r="I100" s="39"/>
    </row>
    <row r="101" spans="1:9" ht="21" customHeight="1">
      <c r="A101" s="41"/>
      <c r="B101" s="38"/>
      <c r="C101" s="3"/>
      <c r="D101" s="259"/>
      <c r="E101" s="260"/>
      <c r="F101" s="279"/>
      <c r="G101" s="260"/>
      <c r="H101" s="38"/>
      <c r="I101" s="39"/>
    </row>
    <row r="102" spans="1:9" ht="21" customHeight="1">
      <c r="A102" s="41"/>
      <c r="B102" s="38"/>
      <c r="C102" s="3"/>
      <c r="D102" s="259"/>
      <c r="E102" s="260"/>
      <c r="F102" s="279"/>
      <c r="G102" s="260"/>
      <c r="H102" s="38"/>
      <c r="I102" s="39"/>
    </row>
    <row r="103" spans="1:9" ht="21" customHeight="1">
      <c r="A103" s="41"/>
      <c r="B103" s="38"/>
      <c r="C103" s="3"/>
      <c r="D103" s="259"/>
      <c r="E103" s="260"/>
      <c r="F103" s="279"/>
      <c r="G103" s="260"/>
      <c r="H103" s="38"/>
      <c r="I103" s="39"/>
    </row>
    <row r="104" spans="1:9" ht="21" customHeight="1">
      <c r="A104" s="41"/>
      <c r="B104" s="38"/>
      <c r="C104" s="3"/>
      <c r="D104" s="259"/>
      <c r="E104" s="260"/>
      <c r="F104" s="279"/>
      <c r="G104" s="260"/>
      <c r="H104" s="38"/>
      <c r="I104" s="39"/>
    </row>
    <row r="105" spans="1:9" ht="21" customHeight="1">
      <c r="A105" s="41"/>
      <c r="B105" s="38"/>
      <c r="C105" s="3"/>
      <c r="D105" s="259"/>
      <c r="E105" s="260"/>
      <c r="F105" s="279"/>
      <c r="G105" s="260"/>
      <c r="H105" s="38"/>
      <c r="I105" s="39"/>
    </row>
    <row r="106" spans="1:9" ht="21" customHeight="1">
      <c r="A106" s="41"/>
      <c r="B106" s="38"/>
      <c r="C106" s="3"/>
      <c r="D106" s="259"/>
      <c r="E106" s="260"/>
      <c r="F106" s="279"/>
      <c r="G106" s="260"/>
      <c r="H106" s="38"/>
      <c r="I106" s="39"/>
    </row>
    <row r="107" spans="1:9" ht="21" customHeight="1">
      <c r="A107" s="41"/>
      <c r="B107" s="38"/>
      <c r="C107" s="3"/>
      <c r="D107" s="259"/>
      <c r="E107" s="260"/>
      <c r="F107" s="279"/>
      <c r="G107" s="260"/>
      <c r="H107" s="38"/>
      <c r="I107" s="39"/>
    </row>
    <row r="108" spans="1:9" ht="21" customHeight="1">
      <c r="A108" s="41"/>
      <c r="B108" s="38"/>
      <c r="C108" s="3"/>
      <c r="D108" s="259"/>
      <c r="E108" s="260"/>
      <c r="F108" s="279"/>
      <c r="G108" s="260"/>
      <c r="H108" s="38"/>
      <c r="I108" s="39"/>
    </row>
    <row r="109" spans="1:9" ht="21" customHeight="1">
      <c r="A109" s="41"/>
      <c r="B109" s="38"/>
      <c r="C109" s="3"/>
      <c r="D109" s="259"/>
      <c r="E109" s="260"/>
      <c r="F109" s="279"/>
      <c r="G109" s="260"/>
      <c r="H109" s="38"/>
      <c r="I109" s="39"/>
    </row>
    <row r="110" spans="1:9" ht="21" customHeight="1">
      <c r="A110" s="41"/>
      <c r="B110" s="38"/>
      <c r="C110" s="3"/>
      <c r="D110" s="259"/>
      <c r="E110" s="260"/>
      <c r="F110" s="279"/>
      <c r="G110" s="260"/>
      <c r="H110" s="38"/>
      <c r="I110" s="39"/>
    </row>
    <row r="111" spans="1:9" ht="21" customHeight="1">
      <c r="A111" s="41"/>
      <c r="B111" s="38"/>
      <c r="C111" s="3"/>
      <c r="D111" s="259"/>
      <c r="E111" s="260"/>
      <c r="F111" s="279"/>
      <c r="G111" s="260"/>
      <c r="H111" s="38"/>
      <c r="I111" s="39"/>
    </row>
    <row r="112" spans="1:9" ht="21" customHeight="1">
      <c r="A112" s="41"/>
      <c r="B112" s="38"/>
      <c r="C112" s="3"/>
      <c r="D112" s="259"/>
      <c r="E112" s="260"/>
      <c r="F112" s="279"/>
      <c r="G112" s="260"/>
      <c r="H112" s="38"/>
      <c r="I112" s="39"/>
    </row>
    <row r="113" spans="1:9" ht="21" customHeight="1">
      <c r="A113" s="41"/>
      <c r="B113" s="38"/>
      <c r="C113" s="3"/>
      <c r="D113" s="259"/>
      <c r="E113" s="260"/>
      <c r="F113" s="279"/>
      <c r="G113" s="260"/>
      <c r="H113" s="38"/>
      <c r="I113" s="39"/>
    </row>
    <row r="114" spans="1:9" ht="21" customHeight="1">
      <c r="A114" s="41"/>
      <c r="B114" s="38"/>
      <c r="C114" s="3"/>
      <c r="D114" s="259"/>
      <c r="E114" s="260"/>
      <c r="F114" s="279"/>
      <c r="G114" s="260"/>
      <c r="H114" s="38"/>
      <c r="I114" s="39"/>
    </row>
    <row r="115" spans="1:9" ht="21" customHeight="1">
      <c r="A115" s="41"/>
      <c r="B115" s="38"/>
      <c r="C115" s="3"/>
      <c r="D115" s="259"/>
      <c r="E115" s="260"/>
      <c r="F115" s="279"/>
      <c r="G115" s="260"/>
      <c r="H115" s="38"/>
      <c r="I115" s="39"/>
    </row>
    <row r="116" spans="1:9" ht="21" customHeight="1">
      <c r="A116" s="41"/>
      <c r="B116" s="38"/>
      <c r="C116" s="3"/>
      <c r="D116" s="259"/>
      <c r="E116" s="260"/>
      <c r="F116" s="279"/>
      <c r="G116" s="260"/>
      <c r="H116" s="38"/>
      <c r="I116" s="39"/>
    </row>
    <row r="117" spans="1:9" ht="21" customHeight="1">
      <c r="A117" s="41"/>
      <c r="B117" s="38"/>
      <c r="C117" s="3"/>
      <c r="D117" s="259"/>
      <c r="E117" s="260"/>
      <c r="F117" s="279"/>
      <c r="G117" s="260"/>
      <c r="H117" s="38"/>
      <c r="I117" s="39"/>
    </row>
    <row r="118" spans="1:9" ht="21" customHeight="1">
      <c r="A118" s="41"/>
      <c r="B118" s="38"/>
      <c r="C118" s="3"/>
      <c r="D118" s="259"/>
      <c r="E118" s="260"/>
      <c r="F118" s="279"/>
      <c r="G118" s="260"/>
      <c r="H118" s="38"/>
      <c r="I118" s="39"/>
    </row>
    <row r="119" spans="1:9" ht="21" customHeight="1">
      <c r="A119" s="41"/>
      <c r="B119" s="38"/>
      <c r="C119" s="3"/>
      <c r="D119" s="259"/>
      <c r="E119" s="260"/>
      <c r="F119" s="279"/>
      <c r="G119" s="260"/>
      <c r="H119" s="38"/>
      <c r="I119" s="39"/>
    </row>
    <row r="120" spans="1:9" ht="21" customHeight="1">
      <c r="A120" s="41"/>
      <c r="B120" s="38"/>
      <c r="C120" s="3"/>
      <c r="D120" s="259"/>
      <c r="E120" s="260"/>
      <c r="F120" s="279"/>
      <c r="G120" s="260"/>
      <c r="H120" s="38"/>
      <c r="I120" s="39"/>
    </row>
    <row r="121" spans="1:9" ht="21" customHeight="1">
      <c r="A121" s="41"/>
      <c r="B121" s="38"/>
      <c r="C121" s="3"/>
      <c r="D121" s="259"/>
      <c r="E121" s="260"/>
      <c r="F121" s="279"/>
      <c r="G121" s="260"/>
      <c r="H121" s="38"/>
      <c r="I121" s="39"/>
    </row>
    <row r="122" spans="1:9" ht="21" customHeight="1">
      <c r="A122" s="41"/>
      <c r="B122" s="38"/>
      <c r="C122" s="3"/>
      <c r="D122" s="259"/>
      <c r="E122" s="260"/>
      <c r="F122" s="279"/>
      <c r="G122" s="260"/>
      <c r="H122" s="38"/>
      <c r="I122" s="39"/>
    </row>
    <row r="123" spans="1:9" ht="21" customHeight="1">
      <c r="A123" s="41"/>
      <c r="B123" s="38"/>
      <c r="C123" s="3"/>
      <c r="D123" s="259"/>
      <c r="E123" s="260"/>
      <c r="F123" s="279"/>
      <c r="G123" s="260"/>
      <c r="H123" s="38"/>
      <c r="I123" s="39"/>
    </row>
    <row r="124" spans="1:9" ht="21" customHeight="1">
      <c r="A124" s="41"/>
      <c r="B124" s="38"/>
      <c r="C124" s="3"/>
      <c r="D124" s="259"/>
      <c r="E124" s="260"/>
      <c r="F124" s="279"/>
      <c r="G124" s="260"/>
      <c r="H124" s="38"/>
      <c r="I124" s="39"/>
    </row>
    <row r="125" spans="1:9" ht="21" customHeight="1">
      <c r="A125" s="41"/>
      <c r="B125" s="38"/>
      <c r="C125" s="3"/>
      <c r="D125" s="259"/>
      <c r="E125" s="260"/>
      <c r="F125" s="279"/>
      <c r="G125" s="260"/>
      <c r="H125" s="38"/>
      <c r="I125" s="39"/>
    </row>
    <row r="126" spans="1:9" ht="21" customHeight="1">
      <c r="A126" s="41"/>
      <c r="B126" s="38"/>
      <c r="C126" s="3"/>
      <c r="D126" s="259"/>
      <c r="E126" s="260"/>
      <c r="F126" s="279"/>
      <c r="G126" s="260"/>
      <c r="H126" s="38"/>
      <c r="I126" s="39"/>
    </row>
    <row r="127" spans="1:9" ht="21" customHeight="1">
      <c r="A127" s="41"/>
      <c r="B127" s="38"/>
      <c r="C127" s="3"/>
      <c r="D127" s="259"/>
      <c r="E127" s="260"/>
      <c r="F127" s="279"/>
      <c r="G127" s="260"/>
      <c r="H127" s="38"/>
      <c r="I127" s="39"/>
    </row>
    <row r="128" spans="1:9" ht="21" customHeight="1">
      <c r="A128" s="41"/>
      <c r="B128" s="38"/>
      <c r="C128" s="3"/>
      <c r="D128" s="259"/>
      <c r="E128" s="260"/>
      <c r="F128" s="279"/>
      <c r="G128" s="260"/>
      <c r="H128" s="38"/>
      <c r="I128" s="39"/>
    </row>
    <row r="129" spans="1:9" ht="21" customHeight="1">
      <c r="A129" s="41"/>
      <c r="B129" s="38"/>
      <c r="C129" s="3"/>
      <c r="D129" s="259"/>
      <c r="E129" s="260"/>
      <c r="F129" s="279"/>
      <c r="G129" s="260"/>
      <c r="H129" s="38"/>
      <c r="I129" s="39"/>
    </row>
    <row r="130" spans="1:9" ht="21" customHeight="1">
      <c r="A130" s="41"/>
      <c r="B130" s="38"/>
      <c r="C130" s="3"/>
      <c r="D130" s="259"/>
      <c r="E130" s="260"/>
      <c r="F130" s="279"/>
      <c r="G130" s="260"/>
      <c r="H130" s="38"/>
      <c r="I130" s="39"/>
    </row>
    <row r="131" spans="1:9" ht="21" customHeight="1">
      <c r="A131" s="41"/>
      <c r="B131" s="38"/>
      <c r="C131" s="3"/>
      <c r="D131" s="259"/>
      <c r="E131" s="260"/>
      <c r="F131" s="279"/>
      <c r="G131" s="260"/>
      <c r="H131" s="38"/>
      <c r="I131" s="39"/>
    </row>
    <row r="132" spans="1:9" ht="21" customHeight="1">
      <c r="A132" s="41"/>
      <c r="B132" s="38"/>
      <c r="C132" s="3"/>
      <c r="D132" s="259"/>
      <c r="E132" s="260"/>
      <c r="F132" s="279"/>
      <c r="G132" s="260"/>
      <c r="H132" s="38"/>
      <c r="I132" s="39"/>
    </row>
    <row r="133" spans="1:9" ht="21" customHeight="1">
      <c r="A133" s="41"/>
      <c r="B133" s="38"/>
      <c r="C133" s="3"/>
      <c r="D133" s="259"/>
      <c r="E133" s="260"/>
      <c r="F133" s="279"/>
      <c r="G133" s="260"/>
      <c r="H133" s="38"/>
      <c r="I133" s="39"/>
    </row>
    <row r="134" spans="1:9" ht="21" customHeight="1">
      <c r="A134" s="41"/>
      <c r="B134" s="38"/>
      <c r="C134" s="3"/>
      <c r="D134" s="259"/>
      <c r="E134" s="260"/>
      <c r="F134" s="279"/>
      <c r="G134" s="260"/>
      <c r="H134" s="38"/>
      <c r="I134" s="39"/>
    </row>
    <row r="135" spans="1:9" ht="21" customHeight="1">
      <c r="A135" s="41"/>
      <c r="B135" s="38"/>
      <c r="C135" s="3"/>
      <c r="D135" s="259"/>
      <c r="E135" s="260"/>
      <c r="F135" s="279"/>
      <c r="G135" s="260"/>
      <c r="H135" s="38"/>
      <c r="I135" s="39"/>
    </row>
    <row r="136" spans="1:9" ht="21" customHeight="1">
      <c r="A136" s="41"/>
      <c r="B136" s="38"/>
      <c r="C136" s="3"/>
      <c r="D136" s="259"/>
      <c r="E136" s="260"/>
      <c r="F136" s="279"/>
      <c r="G136" s="260"/>
      <c r="H136" s="38"/>
      <c r="I136" s="39"/>
    </row>
    <row r="137" spans="1:9" ht="21" customHeight="1">
      <c r="A137" s="41"/>
      <c r="B137" s="38"/>
      <c r="C137" s="3"/>
      <c r="D137" s="259"/>
      <c r="E137" s="260"/>
      <c r="F137" s="279"/>
      <c r="G137" s="260"/>
      <c r="H137" s="38"/>
      <c r="I137" s="39"/>
    </row>
    <row r="138" spans="1:9" ht="21" customHeight="1">
      <c r="A138" s="41"/>
      <c r="B138" s="38"/>
      <c r="C138" s="3"/>
      <c r="D138" s="259"/>
      <c r="E138" s="260"/>
      <c r="F138" s="279"/>
      <c r="G138" s="260"/>
      <c r="H138" s="38"/>
      <c r="I138" s="39"/>
    </row>
    <row r="139" spans="1:9" ht="21" customHeight="1">
      <c r="A139" s="41"/>
      <c r="B139" s="38"/>
      <c r="C139" s="3"/>
      <c r="D139" s="259"/>
      <c r="E139" s="260"/>
      <c r="F139" s="279"/>
      <c r="G139" s="260"/>
      <c r="H139" s="38"/>
      <c r="I139" s="39"/>
    </row>
    <row r="140" spans="1:9" ht="21" customHeight="1">
      <c r="A140" s="41"/>
      <c r="B140" s="38"/>
      <c r="C140" s="3"/>
      <c r="D140" s="259"/>
      <c r="E140" s="260"/>
      <c r="F140" s="279"/>
      <c r="G140" s="260"/>
      <c r="H140" s="38"/>
      <c r="I140" s="39"/>
    </row>
    <row r="141" spans="1:9" ht="21" customHeight="1">
      <c r="A141" s="41"/>
      <c r="B141" s="38"/>
      <c r="C141" s="3"/>
      <c r="D141" s="259"/>
      <c r="E141" s="260"/>
      <c r="F141" s="279"/>
      <c r="G141" s="260"/>
      <c r="H141" s="38"/>
      <c r="I141" s="39"/>
    </row>
    <row r="142" spans="1:9" ht="21" customHeight="1">
      <c r="A142" s="41"/>
      <c r="B142" s="38"/>
      <c r="C142" s="3"/>
      <c r="D142" s="259"/>
      <c r="E142" s="260"/>
      <c r="F142" s="279"/>
      <c r="G142" s="260"/>
      <c r="H142" s="38"/>
      <c r="I142" s="39"/>
    </row>
    <row r="143" spans="1:9" ht="21" customHeight="1">
      <c r="A143" s="41"/>
      <c r="B143" s="38"/>
      <c r="C143" s="3"/>
      <c r="D143" s="259"/>
      <c r="E143" s="260"/>
      <c r="F143" s="279"/>
      <c r="G143" s="260"/>
      <c r="H143" s="38"/>
      <c r="I143" s="39"/>
    </row>
    <row r="144" spans="1:9" ht="21" customHeight="1">
      <c r="A144" s="41"/>
      <c r="B144" s="38"/>
      <c r="C144" s="3"/>
      <c r="D144" s="259"/>
      <c r="E144" s="260"/>
      <c r="F144" s="279"/>
      <c r="G144" s="260"/>
      <c r="H144" s="38"/>
      <c r="I144" s="39"/>
    </row>
    <row r="145" spans="1:9" ht="21" customHeight="1">
      <c r="A145" s="41"/>
      <c r="B145" s="38"/>
      <c r="C145" s="3"/>
      <c r="D145" s="259"/>
      <c r="E145" s="260"/>
      <c r="F145" s="279"/>
      <c r="G145" s="260"/>
      <c r="H145" s="38"/>
      <c r="I145" s="39"/>
    </row>
    <row r="146" spans="1:9" ht="21" customHeight="1">
      <c r="A146" s="41"/>
      <c r="B146" s="38"/>
      <c r="C146" s="3"/>
      <c r="D146" s="259"/>
      <c r="E146" s="260"/>
      <c r="F146" s="279"/>
      <c r="G146" s="260"/>
      <c r="H146" s="38"/>
      <c r="I146" s="39"/>
    </row>
    <row r="147" spans="1:9" ht="21" customHeight="1">
      <c r="A147" s="41"/>
      <c r="B147" s="38"/>
      <c r="C147" s="3"/>
      <c r="D147" s="259"/>
      <c r="E147" s="260"/>
      <c r="F147" s="279"/>
      <c r="G147" s="260"/>
      <c r="H147" s="38"/>
      <c r="I147" s="39"/>
    </row>
    <row r="148" spans="1:9" ht="21" customHeight="1">
      <c r="A148" s="41"/>
      <c r="B148" s="38"/>
      <c r="C148" s="3"/>
      <c r="D148" s="259"/>
      <c r="E148" s="260"/>
      <c r="F148" s="279"/>
      <c r="G148" s="260"/>
      <c r="H148" s="38"/>
      <c r="I148" s="39"/>
    </row>
    <row r="149" spans="1:9" ht="21" customHeight="1">
      <c r="A149" s="41"/>
      <c r="B149" s="38"/>
      <c r="C149" s="3"/>
      <c r="D149" s="259"/>
      <c r="E149" s="260"/>
      <c r="F149" s="279"/>
      <c r="G149" s="260"/>
      <c r="H149" s="38"/>
      <c r="I149" s="39"/>
    </row>
    <row r="150" spans="1:9" ht="21" customHeight="1">
      <c r="A150" s="41"/>
      <c r="B150" s="38"/>
      <c r="C150" s="3"/>
      <c r="D150" s="259"/>
      <c r="E150" s="260"/>
      <c r="F150" s="279"/>
      <c r="G150" s="260"/>
      <c r="H150" s="38"/>
      <c r="I150" s="39"/>
    </row>
    <row r="151" spans="1:9" ht="21" customHeight="1">
      <c r="A151" s="41"/>
      <c r="B151" s="38"/>
      <c r="C151" s="3"/>
      <c r="D151" s="259"/>
      <c r="E151" s="260"/>
      <c r="F151" s="279"/>
      <c r="G151" s="260"/>
      <c r="H151" s="38"/>
      <c r="I151" s="39"/>
    </row>
    <row r="152" spans="1:9" ht="21" customHeight="1">
      <c r="A152" s="41"/>
      <c r="B152" s="38"/>
      <c r="C152" s="3"/>
      <c r="D152" s="259"/>
      <c r="E152" s="260"/>
      <c r="F152" s="279"/>
      <c r="G152" s="260"/>
      <c r="H152" s="38"/>
      <c r="I152" s="39"/>
    </row>
    <row r="153" spans="1:9" ht="21" customHeight="1">
      <c r="A153" s="41"/>
      <c r="B153" s="38"/>
      <c r="C153" s="3"/>
      <c r="D153" s="259"/>
      <c r="E153" s="260"/>
      <c r="F153" s="279"/>
      <c r="G153" s="260"/>
      <c r="H153" s="38"/>
      <c r="I153" s="39"/>
    </row>
    <row r="154" spans="1:9" ht="21" customHeight="1">
      <c r="A154" s="41"/>
      <c r="B154" s="38"/>
      <c r="C154" s="3"/>
      <c r="D154" s="259"/>
      <c r="E154" s="260"/>
      <c r="F154" s="279"/>
      <c r="G154" s="260"/>
      <c r="H154" s="38"/>
      <c r="I154" s="39"/>
    </row>
    <row r="155" spans="1:9" ht="21" customHeight="1">
      <c r="A155" s="41"/>
      <c r="B155" s="38"/>
      <c r="C155" s="3"/>
      <c r="D155" s="259"/>
      <c r="E155" s="260"/>
      <c r="F155" s="279"/>
      <c r="G155" s="260"/>
      <c r="H155" s="38"/>
      <c r="I155" s="39"/>
    </row>
    <row r="156" spans="1:9" ht="21" customHeight="1">
      <c r="A156" s="41"/>
      <c r="B156" s="38"/>
      <c r="C156" s="3"/>
      <c r="D156" s="259"/>
      <c r="E156" s="260"/>
      <c r="F156" s="279"/>
      <c r="G156" s="260"/>
      <c r="H156" s="38"/>
      <c r="I156" s="39"/>
    </row>
    <row r="157" spans="1:9" ht="21" customHeight="1">
      <c r="A157" s="41"/>
      <c r="B157" s="38"/>
      <c r="C157" s="3"/>
      <c r="D157" s="259"/>
      <c r="E157" s="260"/>
      <c r="F157" s="279"/>
      <c r="G157" s="260"/>
      <c r="H157" s="38"/>
      <c r="I157" s="39"/>
    </row>
    <row r="158" spans="1:9" ht="21" customHeight="1">
      <c r="A158" s="41"/>
      <c r="B158" s="38"/>
      <c r="C158" s="3"/>
      <c r="D158" s="259"/>
      <c r="E158" s="260"/>
      <c r="F158" s="279"/>
      <c r="G158" s="260"/>
      <c r="H158" s="38"/>
      <c r="I158" s="39"/>
    </row>
    <row r="159" spans="1:9" ht="21" customHeight="1">
      <c r="A159" s="41"/>
      <c r="B159" s="38"/>
      <c r="C159" s="3"/>
      <c r="D159" s="259"/>
      <c r="E159" s="260"/>
      <c r="F159" s="279"/>
      <c r="G159" s="260"/>
      <c r="H159" s="38"/>
      <c r="I159" s="39"/>
    </row>
    <row r="160" spans="1:9" ht="21" customHeight="1">
      <c r="A160" s="41"/>
      <c r="B160" s="38"/>
      <c r="C160" s="3"/>
      <c r="D160" s="259"/>
      <c r="E160" s="260"/>
      <c r="F160" s="279"/>
      <c r="G160" s="260"/>
      <c r="H160" s="38"/>
      <c r="I160" s="39"/>
    </row>
  </sheetData>
  <mergeCells count="320">
    <mergeCell ref="B2:I2"/>
    <mergeCell ref="F113:G113"/>
    <mergeCell ref="D32:E32"/>
    <mergeCell ref="F32:G32"/>
    <mergeCell ref="D97:E97"/>
    <mergeCell ref="F26:G26"/>
    <mergeCell ref="F159:G159"/>
    <mergeCell ref="F97:G97"/>
    <mergeCell ref="F90:G90"/>
    <mergeCell ref="E3:G3"/>
    <mergeCell ref="F27:G27"/>
    <mergeCell ref="D121:E121"/>
    <mergeCell ref="D42:E42"/>
    <mergeCell ref="D123:E123"/>
    <mergeCell ref="F123:G123"/>
    <mergeCell ref="D50:E50"/>
    <mergeCell ref="D110:E110"/>
    <mergeCell ref="D44:E44"/>
    <mergeCell ref="F44:G44"/>
    <mergeCell ref="F150:G150"/>
    <mergeCell ref="D152:E152"/>
    <mergeCell ref="F152:G152"/>
    <mergeCell ref="D29:E29"/>
    <mergeCell ref="D23:E23"/>
    <mergeCell ref="F87:G87"/>
    <mergeCell ref="F147:G147"/>
    <mergeCell ref="F89:G89"/>
    <mergeCell ref="F7:G7"/>
    <mergeCell ref="D105:E105"/>
    <mergeCell ref="D49:E49"/>
    <mergeCell ref="D120:E120"/>
    <mergeCell ref="D107:E107"/>
    <mergeCell ref="F36:G36"/>
    <mergeCell ref="F101:G101"/>
    <mergeCell ref="F8:G8"/>
    <mergeCell ref="F100:G100"/>
    <mergeCell ref="F115:G115"/>
    <mergeCell ref="D102:E102"/>
    <mergeCell ref="F102:G102"/>
    <mergeCell ref="D25:E25"/>
    <mergeCell ref="F77:G77"/>
    <mergeCell ref="D133:E133"/>
    <mergeCell ref="D54:E54"/>
    <mergeCell ref="D10:E10"/>
    <mergeCell ref="F10:G10"/>
    <mergeCell ref="D34:E34"/>
    <mergeCell ref="F63:G63"/>
    <mergeCell ref="F34:G34"/>
    <mergeCell ref="D99:E99"/>
    <mergeCell ref="F99:G99"/>
    <mergeCell ref="F74:G74"/>
    <mergeCell ref="D101:E101"/>
    <mergeCell ref="F30:G30"/>
    <mergeCell ref="D76:E76"/>
    <mergeCell ref="F76:G76"/>
    <mergeCell ref="F94:G94"/>
    <mergeCell ref="F59:G59"/>
    <mergeCell ref="D95:E95"/>
    <mergeCell ref="F24:G24"/>
    <mergeCell ref="F95:G95"/>
    <mergeCell ref="D57:E57"/>
    <mergeCell ref="D159:E159"/>
    <mergeCell ref="D80:E80"/>
    <mergeCell ref="F55:G55"/>
    <mergeCell ref="D136:E136"/>
    <mergeCell ref="D154:E154"/>
    <mergeCell ref="F129:G129"/>
    <mergeCell ref="F131:G131"/>
    <mergeCell ref="D58:E58"/>
    <mergeCell ref="F58:G58"/>
    <mergeCell ref="F60:G60"/>
    <mergeCell ref="F68:G68"/>
    <mergeCell ref="D84:E84"/>
    <mergeCell ref="D155:E155"/>
    <mergeCell ref="F84:G84"/>
    <mergeCell ref="D149:E149"/>
    <mergeCell ref="D86:E86"/>
    <mergeCell ref="F86:G86"/>
    <mergeCell ref="F142:G142"/>
    <mergeCell ref="D151:E151"/>
    <mergeCell ref="F80:G80"/>
    <mergeCell ref="D150:E150"/>
    <mergeCell ref="F79:G79"/>
    <mergeCell ref="F144:G144"/>
    <mergeCell ref="F81:G81"/>
    <mergeCell ref="H3:I3"/>
    <mergeCell ref="D39:E39"/>
    <mergeCell ref="F39:G39"/>
    <mergeCell ref="A1:I1"/>
    <mergeCell ref="D89:E89"/>
    <mergeCell ref="F64:G64"/>
    <mergeCell ref="D153:E153"/>
    <mergeCell ref="D128:E128"/>
    <mergeCell ref="F128:G128"/>
    <mergeCell ref="D65:E65"/>
    <mergeCell ref="F21:G21"/>
    <mergeCell ref="F50:G50"/>
    <mergeCell ref="F110:G110"/>
    <mergeCell ref="D17:E17"/>
    <mergeCell ref="F141:G141"/>
    <mergeCell ref="D146:E146"/>
    <mergeCell ref="D12:E12"/>
    <mergeCell ref="D83:E83"/>
    <mergeCell ref="D143:E143"/>
    <mergeCell ref="F49:G49"/>
    <mergeCell ref="D14:E14"/>
    <mergeCell ref="D85:E85"/>
    <mergeCell ref="F14:G14"/>
    <mergeCell ref="F78:G78"/>
    <mergeCell ref="B3:D3"/>
    <mergeCell ref="D130:E130"/>
    <mergeCell ref="D74:E74"/>
    <mergeCell ref="D68:E68"/>
    <mergeCell ref="F130:G130"/>
    <mergeCell ref="D132:E132"/>
    <mergeCell ref="F157:G157"/>
    <mergeCell ref="F132:G132"/>
    <mergeCell ref="D59:E59"/>
    <mergeCell ref="F25:G25"/>
    <mergeCell ref="C5:G5"/>
    <mergeCell ref="D36:E36"/>
    <mergeCell ref="D61:E61"/>
    <mergeCell ref="D48:E48"/>
    <mergeCell ref="D125:E125"/>
    <mergeCell ref="F125:G125"/>
    <mergeCell ref="D112:E112"/>
    <mergeCell ref="B4:D4"/>
    <mergeCell ref="D62:E62"/>
    <mergeCell ref="F13:G13"/>
    <mergeCell ref="D56:E56"/>
    <mergeCell ref="D127:E127"/>
    <mergeCell ref="F56:G56"/>
    <mergeCell ref="F105:G105"/>
    <mergeCell ref="D157:E157"/>
    <mergeCell ref="F151:G151"/>
    <mergeCell ref="E4:G4"/>
    <mergeCell ref="F11:G11"/>
    <mergeCell ref="D109:E109"/>
    <mergeCell ref="D119:E119"/>
    <mergeCell ref="D46:E46"/>
    <mergeCell ref="H4:I4"/>
    <mergeCell ref="D40:E40"/>
    <mergeCell ref="D111:E111"/>
    <mergeCell ref="F40:G40"/>
    <mergeCell ref="F12:G12"/>
    <mergeCell ref="D104:E104"/>
    <mergeCell ref="F104:G104"/>
    <mergeCell ref="D41:E41"/>
    <mergeCell ref="F41:G41"/>
    <mergeCell ref="F35:G35"/>
    <mergeCell ref="F106:G106"/>
    <mergeCell ref="D43:E43"/>
    <mergeCell ref="D137:E137"/>
    <mergeCell ref="D114:E114"/>
    <mergeCell ref="F43:G43"/>
    <mergeCell ref="D64:E64"/>
    <mergeCell ref="F120:G120"/>
    <mergeCell ref="F154:G154"/>
    <mergeCell ref="D116:E116"/>
    <mergeCell ref="D91:E91"/>
    <mergeCell ref="F91:G91"/>
    <mergeCell ref="D156:E156"/>
    <mergeCell ref="F156:G156"/>
    <mergeCell ref="D106:E106"/>
    <mergeCell ref="A5:B5"/>
    <mergeCell ref="D93:E93"/>
    <mergeCell ref="F155:G155"/>
    <mergeCell ref="F22:G22"/>
    <mergeCell ref="F93:G93"/>
    <mergeCell ref="F149:G149"/>
    <mergeCell ref="D51:E51"/>
    <mergeCell ref="F107:G107"/>
    <mergeCell ref="F57:G57"/>
    <mergeCell ref="D138:E138"/>
    <mergeCell ref="D140:E140"/>
    <mergeCell ref="D11:E11"/>
    <mergeCell ref="F33:G33"/>
    <mergeCell ref="D75:E75"/>
    <mergeCell ref="F75:G75"/>
    <mergeCell ref="F62:G62"/>
    <mergeCell ref="F31:G31"/>
    <mergeCell ref="F6:G6"/>
    <mergeCell ref="F83:G83"/>
    <mergeCell ref="F20:G20"/>
    <mergeCell ref="F85:G85"/>
    <mergeCell ref="D103:E103"/>
    <mergeCell ref="D37:E37"/>
    <mergeCell ref="D9:E9"/>
    <mergeCell ref="D118:E118"/>
    <mergeCell ref="F9:G9"/>
    <mergeCell ref="D38:E38"/>
    <mergeCell ref="D63:E63"/>
    <mergeCell ref="D96:E96"/>
    <mergeCell ref="D52:E52"/>
    <mergeCell ref="D27:E27"/>
    <mergeCell ref="F28:G28"/>
    <mergeCell ref="F65:G65"/>
    <mergeCell ref="F52:G52"/>
    <mergeCell ref="D8:E8"/>
    <mergeCell ref="F37:G37"/>
    <mergeCell ref="F53:G53"/>
    <mergeCell ref="D20:E20"/>
    <mergeCell ref="D22:E22"/>
    <mergeCell ref="F15:G15"/>
    <mergeCell ref="D13:E13"/>
    <mergeCell ref="D158:E158"/>
    <mergeCell ref="F158:G158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24:E24"/>
    <mergeCell ref="D113:E113"/>
    <mergeCell ref="D88:E88"/>
    <mergeCell ref="D148:E148"/>
    <mergeCell ref="D26:E26"/>
    <mergeCell ref="F88:G88"/>
    <mergeCell ref="F148:G148"/>
    <mergeCell ref="D115:E115"/>
    <mergeCell ref="F54:G54"/>
    <mergeCell ref="D145:E145"/>
    <mergeCell ref="F145:G145"/>
    <mergeCell ref="D16:E16"/>
    <mergeCell ref="D87:E87"/>
    <mergeCell ref="D147:E147"/>
    <mergeCell ref="F38:G38"/>
    <mergeCell ref="D122:E122"/>
    <mergeCell ref="D18:E18"/>
    <mergeCell ref="F140:G140"/>
    <mergeCell ref="F67:G67"/>
    <mergeCell ref="D82:E82"/>
    <mergeCell ref="F82:G82"/>
    <mergeCell ref="D100:E100"/>
    <mergeCell ref="F29:G29"/>
    <mergeCell ref="D31:E31"/>
    <mergeCell ref="D19:E19"/>
    <mergeCell ref="D90:E90"/>
    <mergeCell ref="F19:G19"/>
    <mergeCell ref="F146:G146"/>
    <mergeCell ref="F136:G136"/>
    <mergeCell ref="D33:E33"/>
    <mergeCell ref="D35:E35"/>
    <mergeCell ref="F138:G138"/>
    <mergeCell ref="D15:E15"/>
    <mergeCell ref="D142:E142"/>
    <mergeCell ref="D129:E129"/>
    <mergeCell ref="D79:E79"/>
    <mergeCell ref="D144:E144"/>
    <mergeCell ref="F73:G73"/>
    <mergeCell ref="D81:E81"/>
    <mergeCell ref="F137:G137"/>
    <mergeCell ref="F124:G124"/>
    <mergeCell ref="D139:E139"/>
    <mergeCell ref="F139:G139"/>
    <mergeCell ref="F114:G114"/>
    <mergeCell ref="D28:E28"/>
    <mergeCell ref="D117:E117"/>
    <mergeCell ref="D92:E92"/>
    <mergeCell ref="D55:E55"/>
    <mergeCell ref="D30:E30"/>
    <mergeCell ref="F117:G117"/>
    <mergeCell ref="F92:G92"/>
    <mergeCell ref="D67:E67"/>
    <mergeCell ref="D94:E94"/>
    <mergeCell ref="F119:G119"/>
    <mergeCell ref="D69:E69"/>
    <mergeCell ref="F69:G69"/>
    <mergeCell ref="D7:E7"/>
    <mergeCell ref="D78:E78"/>
    <mergeCell ref="D134:E134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D131:E131"/>
    <mergeCell ref="D124:E124"/>
    <mergeCell ref="F18:G18"/>
    <mergeCell ref="F45:G45"/>
    <mergeCell ref="F42:G42"/>
    <mergeCell ref="D66:E66"/>
    <mergeCell ref="D126:E126"/>
    <mergeCell ref="F66:G66"/>
    <mergeCell ref="F17:G17"/>
    <mergeCell ref="F126:G126"/>
    <mergeCell ref="D53:E53"/>
    <mergeCell ref="D47:E47"/>
    <mergeCell ref="D60:E60"/>
    <mergeCell ref="F116:G116"/>
    <mergeCell ref="F16:G16"/>
    <mergeCell ref="F103:G103"/>
    <mergeCell ref="F108:G108"/>
    <mergeCell ref="F143:G143"/>
    <mergeCell ref="F118:G118"/>
    <mergeCell ref="D45:E45"/>
    <mergeCell ref="D70:E70"/>
    <mergeCell ref="F70:G70"/>
    <mergeCell ref="F109:G109"/>
    <mergeCell ref="F47:G47"/>
    <mergeCell ref="F46:G46"/>
    <mergeCell ref="F111:G111"/>
    <mergeCell ref="F61:G61"/>
    <mergeCell ref="F48:G48"/>
    <mergeCell ref="F112:G112"/>
    <mergeCell ref="F127:G127"/>
    <mergeCell ref="D21:E21"/>
    <mergeCell ref="F51:G51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O49"/>
  <sheetViews>
    <sheetView workbookViewId="0">
      <pane ySplit="6" topLeftCell="A26" activePane="bottomLeft" state="frozen"/>
      <selection pane="bottomLeft" activeCell="I27" sqref="I27"/>
    </sheetView>
  </sheetViews>
  <sheetFormatPr defaultColWidth="8.77734375" defaultRowHeight="16.2"/>
  <cols>
    <col min="1" max="1" width="11.6640625" style="246" customWidth="1"/>
    <col min="2" max="2" width="12" style="246" customWidth="1"/>
    <col min="3" max="3" width="11.77734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688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8.2" customHeight="1">
      <c r="A3" s="23" t="s">
        <v>9</v>
      </c>
      <c r="B3" s="299" t="s">
        <v>689</v>
      </c>
      <c r="C3" s="263"/>
      <c r="D3" s="260"/>
      <c r="E3" s="266" t="s">
        <v>11</v>
      </c>
      <c r="F3" s="263"/>
      <c r="G3" s="260"/>
      <c r="H3" s="297" t="s">
        <v>690</v>
      </c>
      <c r="I3" s="269"/>
      <c r="J3" s="19" t="str">
        <f>B3</f>
        <v xml:space="preserve">Apo-Tramadol 37.5mg/ 325mg </v>
      </c>
      <c r="K3" s="34" t="s">
        <v>691</v>
      </c>
      <c r="L3" s="5">
        <f>H7</f>
        <v>140</v>
      </c>
      <c r="M3" s="3">
        <f>SUM(C$8:C$1048576)</f>
        <v>800</v>
      </c>
      <c r="N3" s="3">
        <f>SUM(F:F)</f>
        <v>956</v>
      </c>
      <c r="O3" s="3">
        <f>L3+M3-N3</f>
        <v>-16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692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693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140</v>
      </c>
      <c r="D7" s="279"/>
      <c r="E7" s="260"/>
      <c r="F7" s="279"/>
      <c r="G7" s="260"/>
      <c r="H7" s="38">
        <v>140</v>
      </c>
      <c r="I7" s="37" t="s">
        <v>571</v>
      </c>
      <c r="J7" s="12"/>
      <c r="K7" s="3"/>
      <c r="L7" s="3"/>
      <c r="M7" s="3"/>
      <c r="N7" s="3"/>
      <c r="O7" s="3"/>
    </row>
    <row r="8" spans="1:15" ht="22.2" customHeight="1">
      <c r="A8" s="198" t="s">
        <v>694</v>
      </c>
      <c r="B8" s="38" t="s">
        <v>324</v>
      </c>
      <c r="C8" s="3">
        <v>200</v>
      </c>
      <c r="D8" s="259" t="s">
        <v>695</v>
      </c>
      <c r="E8" s="260"/>
      <c r="F8" s="298"/>
      <c r="G8" s="260"/>
      <c r="H8" s="38">
        <v>340</v>
      </c>
      <c r="I8" s="109" t="s">
        <v>437</v>
      </c>
    </row>
    <row r="9" spans="1:15" ht="22.2" customHeight="1">
      <c r="A9" s="39" t="s">
        <v>523</v>
      </c>
      <c r="B9" s="38" t="s">
        <v>323</v>
      </c>
      <c r="C9" s="38"/>
      <c r="D9" s="279"/>
      <c r="E9" s="260"/>
      <c r="F9" s="279">
        <v>56</v>
      </c>
      <c r="G9" s="260"/>
      <c r="H9" s="38">
        <f>H8-F9</f>
        <v>284</v>
      </c>
      <c r="I9" s="37"/>
    </row>
    <row r="10" spans="1:15" ht="22.2" customHeight="1">
      <c r="A10" s="39" t="s">
        <v>464</v>
      </c>
      <c r="B10" s="38" t="s">
        <v>323</v>
      </c>
      <c r="C10" s="38"/>
      <c r="D10" s="279"/>
      <c r="E10" s="260"/>
      <c r="F10" s="279">
        <v>56</v>
      </c>
      <c r="G10" s="260"/>
      <c r="H10" s="38">
        <f>H9-F10</f>
        <v>228</v>
      </c>
      <c r="I10" s="37"/>
    </row>
    <row r="11" spans="1:15" ht="22.2" customHeight="1">
      <c r="A11" s="39" t="s">
        <v>650</v>
      </c>
      <c r="B11" s="38" t="s">
        <v>323</v>
      </c>
      <c r="C11" s="38"/>
      <c r="D11" s="279"/>
      <c r="E11" s="260"/>
      <c r="F11" s="279">
        <v>12</v>
      </c>
      <c r="G11" s="260"/>
      <c r="H11" s="38">
        <f>H10-F11</f>
        <v>216</v>
      </c>
      <c r="I11" s="114" t="s">
        <v>437</v>
      </c>
    </row>
    <row r="12" spans="1:15" ht="22.2" customHeight="1">
      <c r="A12" s="39" t="s">
        <v>577</v>
      </c>
      <c r="B12" s="38" t="s">
        <v>323</v>
      </c>
      <c r="C12" s="38"/>
      <c r="D12" s="279"/>
      <c r="E12" s="260"/>
      <c r="F12" s="279">
        <v>56</v>
      </c>
      <c r="G12" s="260"/>
      <c r="H12" s="38">
        <f>H11-F12</f>
        <v>160</v>
      </c>
      <c r="I12" s="37"/>
    </row>
    <row r="13" spans="1:15" ht="22.2" customHeight="1">
      <c r="A13" s="39" t="s">
        <v>435</v>
      </c>
      <c r="B13" s="148" t="s">
        <v>323</v>
      </c>
      <c r="C13" s="38"/>
      <c r="D13" s="279"/>
      <c r="E13" s="260"/>
      <c r="F13" s="279">
        <v>56</v>
      </c>
      <c r="G13" s="260"/>
      <c r="H13" s="38">
        <f>H12-F13</f>
        <v>104</v>
      </c>
      <c r="I13" s="37"/>
    </row>
    <row r="14" spans="1:15" ht="22.2" customHeight="1">
      <c r="A14" s="39" t="s">
        <v>477</v>
      </c>
      <c r="B14" s="38" t="s">
        <v>324</v>
      </c>
      <c r="C14" s="3"/>
      <c r="D14" s="259" t="s">
        <v>696</v>
      </c>
      <c r="E14" s="260"/>
      <c r="F14" s="279"/>
      <c r="G14" s="260"/>
      <c r="H14" s="38">
        <v>304</v>
      </c>
      <c r="I14" s="109" t="s">
        <v>437</v>
      </c>
    </row>
    <row r="15" spans="1:15" ht="22.2" customHeight="1">
      <c r="A15" s="41" t="s">
        <v>634</v>
      </c>
      <c r="B15" s="148" t="s">
        <v>323</v>
      </c>
      <c r="C15" s="3"/>
      <c r="D15" s="259"/>
      <c r="E15" s="260"/>
      <c r="F15" s="279">
        <v>56</v>
      </c>
      <c r="G15" s="260"/>
      <c r="H15" s="38">
        <f>H14-F15</f>
        <v>248</v>
      </c>
      <c r="I15" s="109"/>
    </row>
    <row r="16" spans="1:15" ht="21" customHeight="1">
      <c r="A16" s="39" t="s">
        <v>347</v>
      </c>
      <c r="B16" s="38" t="s">
        <v>323</v>
      </c>
      <c r="C16" s="3"/>
      <c r="D16" s="259"/>
      <c r="E16" s="260"/>
      <c r="F16" s="279">
        <v>12</v>
      </c>
      <c r="G16" s="260"/>
      <c r="H16" s="38">
        <f>H15-F16</f>
        <v>236</v>
      </c>
      <c r="I16" s="7" t="s">
        <v>414</v>
      </c>
    </row>
    <row r="17" spans="1:9" ht="21" customHeight="1">
      <c r="A17" s="41" t="s">
        <v>536</v>
      </c>
      <c r="B17" s="148" t="s">
        <v>323</v>
      </c>
      <c r="C17" s="9"/>
      <c r="D17" s="259"/>
      <c r="E17" s="260"/>
      <c r="F17" s="279">
        <v>12</v>
      </c>
      <c r="G17" s="260"/>
      <c r="H17" s="38">
        <f>H16-F17</f>
        <v>224</v>
      </c>
      <c r="I17" s="7"/>
    </row>
    <row r="18" spans="1:9" ht="21" customHeight="1">
      <c r="A18" s="39" t="s">
        <v>415</v>
      </c>
      <c r="B18" s="38" t="s">
        <v>323</v>
      </c>
      <c r="C18" s="3"/>
      <c r="D18" s="259"/>
      <c r="E18" s="260"/>
      <c r="F18" s="279">
        <v>112</v>
      </c>
      <c r="G18" s="260"/>
      <c r="H18" s="38">
        <f>H17-F18</f>
        <v>112</v>
      </c>
      <c r="I18" s="7"/>
    </row>
    <row r="19" spans="1:9" ht="21" customHeight="1">
      <c r="A19" s="38" t="s">
        <v>541</v>
      </c>
      <c r="B19" s="38" t="s">
        <v>324</v>
      </c>
      <c r="C19" s="9">
        <v>400</v>
      </c>
      <c r="D19" s="259" t="s">
        <v>697</v>
      </c>
      <c r="E19" s="260"/>
      <c r="F19" s="279"/>
      <c r="G19" s="260"/>
      <c r="H19" s="38">
        <v>512</v>
      </c>
      <c r="I19" s="109" t="s">
        <v>437</v>
      </c>
    </row>
    <row r="20" spans="1:9" ht="21" customHeight="1">
      <c r="A20" s="39" t="s">
        <v>355</v>
      </c>
      <c r="B20" s="38" t="s">
        <v>323</v>
      </c>
      <c r="C20" s="3"/>
      <c r="D20" s="259"/>
      <c r="E20" s="260"/>
      <c r="F20" s="279">
        <v>56</v>
      </c>
      <c r="G20" s="260"/>
      <c r="H20" s="38">
        <f t="shared" ref="H20:H26" si="0">H19-F20</f>
        <v>456</v>
      </c>
      <c r="I20" s="7"/>
    </row>
    <row r="21" spans="1:9" ht="21" customHeight="1">
      <c r="A21" s="39" t="s">
        <v>394</v>
      </c>
      <c r="B21" s="38" t="s">
        <v>323</v>
      </c>
      <c r="C21" s="9"/>
      <c r="D21" s="259"/>
      <c r="E21" s="260"/>
      <c r="F21" s="279">
        <v>56</v>
      </c>
      <c r="G21" s="260"/>
      <c r="H21" s="38">
        <f t="shared" si="0"/>
        <v>400</v>
      </c>
      <c r="I21" s="7"/>
    </row>
    <row r="22" spans="1:9" ht="21" customHeight="1">
      <c r="A22" s="41" t="s">
        <v>356</v>
      </c>
      <c r="B22" s="38" t="s">
        <v>323</v>
      </c>
      <c r="C22" s="3"/>
      <c r="D22" s="259"/>
      <c r="E22" s="260"/>
      <c r="F22" s="279">
        <v>68</v>
      </c>
      <c r="G22" s="260"/>
      <c r="H22" s="38">
        <f t="shared" si="0"/>
        <v>332</v>
      </c>
      <c r="I22" s="109" t="s">
        <v>437</v>
      </c>
    </row>
    <row r="23" spans="1:9" ht="21" customHeight="1">
      <c r="A23" s="41" t="s">
        <v>583</v>
      </c>
      <c r="B23" s="38" t="s">
        <v>323</v>
      </c>
      <c r="C23" s="3"/>
      <c r="D23" s="259"/>
      <c r="E23" s="260"/>
      <c r="F23" s="279">
        <v>56</v>
      </c>
      <c r="G23" s="260"/>
      <c r="H23" s="38">
        <f t="shared" si="0"/>
        <v>276</v>
      </c>
      <c r="I23" s="109" t="s">
        <v>414</v>
      </c>
    </row>
    <row r="24" spans="1:9" ht="21" customHeight="1">
      <c r="A24" s="39" t="s">
        <v>502</v>
      </c>
      <c r="B24" s="38" t="s">
        <v>323</v>
      </c>
      <c r="C24" s="3"/>
      <c r="D24" s="259"/>
      <c r="E24" s="260"/>
      <c r="F24" s="279">
        <v>56</v>
      </c>
      <c r="G24" s="260"/>
      <c r="H24" s="38">
        <f t="shared" si="0"/>
        <v>220</v>
      </c>
      <c r="I24" s="7"/>
    </row>
    <row r="25" spans="1:9" ht="21" customHeight="1">
      <c r="A25" s="39" t="s">
        <v>450</v>
      </c>
      <c r="B25" s="38" t="s">
        <v>323</v>
      </c>
      <c r="C25" s="3"/>
      <c r="D25" s="259"/>
      <c r="E25" s="260"/>
      <c r="F25" s="279">
        <v>56</v>
      </c>
      <c r="G25" s="260"/>
      <c r="H25" s="38">
        <f t="shared" si="0"/>
        <v>164</v>
      </c>
      <c r="I25" s="7"/>
    </row>
    <row r="26" spans="1:9" ht="21" customHeight="1">
      <c r="A26" s="39" t="s">
        <v>452</v>
      </c>
      <c r="B26" s="38" t="s">
        <v>323</v>
      </c>
      <c r="C26" s="3"/>
      <c r="D26" s="259"/>
      <c r="E26" s="260"/>
      <c r="F26" s="279">
        <v>56</v>
      </c>
      <c r="G26" s="260"/>
      <c r="H26" s="38">
        <f t="shared" si="0"/>
        <v>108</v>
      </c>
      <c r="I26" s="7"/>
    </row>
    <row r="27" spans="1:9" ht="21" customHeight="1">
      <c r="A27" s="39" t="s">
        <v>624</v>
      </c>
      <c r="B27" s="38" t="s">
        <v>324</v>
      </c>
      <c r="C27" s="3">
        <v>200</v>
      </c>
      <c r="D27" s="259" t="s">
        <v>698</v>
      </c>
      <c r="E27" s="260"/>
      <c r="F27" s="279"/>
      <c r="G27" s="260"/>
      <c r="H27" s="38">
        <v>308</v>
      </c>
      <c r="I27" s="109" t="s">
        <v>437</v>
      </c>
    </row>
    <row r="28" spans="1:9" ht="21" customHeight="1">
      <c r="A28" s="39" t="s">
        <v>368</v>
      </c>
      <c r="B28" s="38" t="s">
        <v>323</v>
      </c>
      <c r="C28" s="3"/>
      <c r="D28" s="259"/>
      <c r="E28" s="260"/>
      <c r="F28" s="279">
        <v>12</v>
      </c>
      <c r="G28" s="260"/>
      <c r="H28" s="38">
        <f>H27-F28</f>
        <v>296</v>
      </c>
      <c r="I28" s="7"/>
    </row>
    <row r="29" spans="1:9" ht="21" customHeight="1">
      <c r="A29" s="39" t="s">
        <v>421</v>
      </c>
      <c r="B29" s="38" t="s">
        <v>323</v>
      </c>
      <c r="C29" s="3"/>
      <c r="D29" s="259"/>
      <c r="E29" s="260"/>
      <c r="F29" s="279">
        <v>112</v>
      </c>
      <c r="G29" s="260"/>
      <c r="H29" s="38">
        <f>H28-F29</f>
        <v>184</v>
      </c>
      <c r="I29" s="7"/>
    </row>
    <row r="30" spans="1:9" ht="21" customHeight="1">
      <c r="A30" s="41"/>
      <c r="B30" s="41"/>
      <c r="C30" s="3"/>
      <c r="D30" s="259"/>
      <c r="E30" s="260"/>
      <c r="F30" s="261"/>
      <c r="G30" s="260"/>
      <c r="H30" s="38"/>
      <c r="I30" s="7" t="s">
        <v>414</v>
      </c>
    </row>
    <row r="31" spans="1:9" ht="21" customHeight="1">
      <c r="A31" s="41"/>
      <c r="B31" s="41"/>
      <c r="C31" s="3"/>
      <c r="D31" s="259"/>
      <c r="E31" s="260"/>
      <c r="F31" s="261"/>
      <c r="G31" s="260"/>
      <c r="H31" s="38"/>
      <c r="I31" s="7" t="s">
        <v>414</v>
      </c>
    </row>
    <row r="32" spans="1:9" ht="21" customHeight="1">
      <c r="A32" s="41"/>
      <c r="B32" s="41"/>
      <c r="C32" s="3"/>
      <c r="D32" s="259"/>
      <c r="E32" s="260"/>
      <c r="F32" s="261"/>
      <c r="G32" s="260"/>
      <c r="H32" s="38"/>
      <c r="I32" s="7" t="s">
        <v>414</v>
      </c>
    </row>
    <row r="33" spans="1:9" ht="21" customHeight="1">
      <c r="A33" s="41"/>
      <c r="B33" s="38"/>
      <c r="C33" s="3"/>
      <c r="D33" s="259"/>
      <c r="E33" s="260"/>
      <c r="F33" s="279"/>
      <c r="G33" s="260"/>
      <c r="H33" s="38"/>
      <c r="I33" s="7"/>
    </row>
    <row r="34" spans="1:9" ht="21" customHeight="1">
      <c r="A34" s="39"/>
      <c r="B34" s="38"/>
      <c r="C34" s="3"/>
      <c r="D34" s="259"/>
      <c r="E34" s="260"/>
      <c r="F34" s="279"/>
      <c r="G34" s="260"/>
      <c r="H34" s="38"/>
      <c r="I34" s="7"/>
    </row>
    <row r="35" spans="1:9" ht="21" customHeight="1">
      <c r="A35" s="198"/>
      <c r="B35" s="38"/>
      <c r="C35" s="3"/>
      <c r="D35" s="259"/>
      <c r="E35" s="260"/>
      <c r="F35" s="298"/>
      <c r="G35" s="260"/>
      <c r="H35" s="38"/>
      <c r="I35" s="7"/>
    </row>
    <row r="36" spans="1:9" ht="21" customHeight="1"/>
    <row r="37" spans="1:9" ht="21" customHeight="1">
      <c r="A37" s="198"/>
      <c r="B37" s="110"/>
      <c r="C37" s="3"/>
      <c r="D37" s="259"/>
      <c r="E37" s="260"/>
      <c r="F37" s="261"/>
      <c r="G37" s="260"/>
      <c r="H37" s="38"/>
      <c r="I37" s="91" t="s">
        <v>414</v>
      </c>
    </row>
    <row r="38" spans="1:9" ht="21" customHeight="1">
      <c r="A38" s="198"/>
      <c r="B38" s="38"/>
      <c r="C38" s="9"/>
      <c r="D38" s="259"/>
      <c r="E38" s="260"/>
      <c r="F38" s="298"/>
      <c r="G38" s="260"/>
      <c r="H38" s="38"/>
      <c r="I38" s="7"/>
    </row>
    <row r="39" spans="1:9" ht="21" customHeight="1">
      <c r="A39" s="198"/>
      <c r="B39" s="38"/>
      <c r="C39" s="3"/>
      <c r="D39" s="259"/>
      <c r="E39" s="260"/>
      <c r="F39" s="261"/>
      <c r="G39" s="260"/>
      <c r="H39" s="38"/>
      <c r="I39" s="7"/>
    </row>
    <row r="40" spans="1:9" ht="21" customHeight="1">
      <c r="A40" s="198"/>
      <c r="B40" s="38"/>
      <c r="C40" s="116"/>
      <c r="D40" s="259"/>
      <c r="E40" s="260"/>
      <c r="F40" s="261"/>
      <c r="G40" s="260"/>
      <c r="H40" s="38"/>
      <c r="I40" s="116"/>
    </row>
    <row r="41" spans="1:9" ht="21" customHeight="1">
      <c r="A41" s="116"/>
      <c r="B41" s="116"/>
      <c r="C41" s="116"/>
      <c r="D41" s="259"/>
      <c r="E41" s="260"/>
      <c r="F41" s="261"/>
      <c r="G41" s="260"/>
      <c r="H41" s="116"/>
      <c r="I41" s="116"/>
    </row>
    <row r="42" spans="1:9" ht="21" customHeight="1">
      <c r="A42" s="116"/>
      <c r="B42" s="116"/>
      <c r="C42" s="116"/>
      <c r="D42" s="259"/>
      <c r="E42" s="260"/>
      <c r="F42" s="261"/>
      <c r="G42" s="260"/>
      <c r="H42" s="116"/>
      <c r="I42" s="116"/>
    </row>
    <row r="43" spans="1:9" ht="21" customHeight="1">
      <c r="A43" s="116"/>
      <c r="B43" s="116"/>
      <c r="C43" s="116"/>
      <c r="D43" s="259"/>
      <c r="E43" s="260"/>
      <c r="F43" s="261"/>
      <c r="G43" s="260"/>
      <c r="H43" s="116"/>
      <c r="I43" s="116"/>
    </row>
    <row r="44" spans="1:9" ht="21" customHeight="1">
      <c r="A44" s="116"/>
      <c r="B44" s="116"/>
      <c r="C44" s="116"/>
      <c r="D44" s="259"/>
      <c r="E44" s="260"/>
      <c r="F44" s="261"/>
      <c r="G44" s="260"/>
      <c r="H44" s="116"/>
      <c r="I44" s="116"/>
    </row>
    <row r="45" spans="1:9" ht="21" customHeight="1">
      <c r="A45" s="116"/>
      <c r="B45" s="116"/>
      <c r="C45" s="116"/>
      <c r="D45" s="259"/>
      <c r="E45" s="260"/>
      <c r="F45" s="261"/>
      <c r="G45" s="260"/>
      <c r="H45" s="116"/>
      <c r="I45" s="116"/>
    </row>
    <row r="46" spans="1:9" ht="21" customHeight="1">
      <c r="A46" s="116"/>
      <c r="B46" s="116"/>
      <c r="C46" s="116"/>
      <c r="D46" s="259"/>
      <c r="E46" s="260"/>
      <c r="F46" s="261"/>
      <c r="G46" s="260"/>
      <c r="H46" s="116"/>
      <c r="I46" s="116"/>
    </row>
    <row r="47" spans="1:9" ht="21" customHeight="1">
      <c r="F47" s="261"/>
      <c r="G47" s="260"/>
    </row>
    <row r="48" spans="1:9" ht="21" customHeight="1">
      <c r="F48" s="261"/>
      <c r="G48" s="260"/>
    </row>
    <row r="49" spans="6:7" ht="21" customHeight="1">
      <c r="F49" s="261"/>
      <c r="G49" s="260"/>
    </row>
  </sheetData>
  <mergeCells count="93">
    <mergeCell ref="F49:G49"/>
    <mergeCell ref="D14:E14"/>
    <mergeCell ref="E4:G4"/>
    <mergeCell ref="F14:G14"/>
    <mergeCell ref="F11:G11"/>
    <mergeCell ref="D46:E46"/>
    <mergeCell ref="D40:E40"/>
    <mergeCell ref="F40:G40"/>
    <mergeCell ref="D21:E21"/>
    <mergeCell ref="F12:G12"/>
    <mergeCell ref="F24:G24"/>
    <mergeCell ref="D32:E32"/>
    <mergeCell ref="F32:G32"/>
    <mergeCell ref="D41:E41"/>
    <mergeCell ref="F26:G26"/>
    <mergeCell ref="F41:G41"/>
    <mergeCell ref="A1:I1"/>
    <mergeCell ref="F7:G7"/>
    <mergeCell ref="F21:G21"/>
    <mergeCell ref="D27:E27"/>
    <mergeCell ref="D17:E17"/>
    <mergeCell ref="F8:G8"/>
    <mergeCell ref="A5:B5"/>
    <mergeCell ref="F22:G22"/>
    <mergeCell ref="D12:E12"/>
    <mergeCell ref="D25:E25"/>
    <mergeCell ref="H4:I4"/>
    <mergeCell ref="B2:I2"/>
    <mergeCell ref="D16:E16"/>
    <mergeCell ref="E3:G3"/>
    <mergeCell ref="D18:E18"/>
    <mergeCell ref="F27:G27"/>
    <mergeCell ref="H3:I3"/>
    <mergeCell ref="D39:E39"/>
    <mergeCell ref="F39:G39"/>
    <mergeCell ref="F48:G48"/>
    <mergeCell ref="D15:E15"/>
    <mergeCell ref="D29:E29"/>
    <mergeCell ref="D23:E23"/>
    <mergeCell ref="D38:E38"/>
    <mergeCell ref="D28:E28"/>
    <mergeCell ref="D30:E30"/>
    <mergeCell ref="F35:G35"/>
    <mergeCell ref="F38:G38"/>
    <mergeCell ref="D43:E43"/>
    <mergeCell ref="D8:E8"/>
    <mergeCell ref="F37:G37"/>
    <mergeCell ref="B3:D3"/>
    <mergeCell ref="F47:G47"/>
    <mergeCell ref="D37:E37"/>
    <mergeCell ref="F31:G31"/>
    <mergeCell ref="F46:G46"/>
    <mergeCell ref="F28:G28"/>
    <mergeCell ref="D42:E42"/>
    <mergeCell ref="D44:E44"/>
    <mergeCell ref="F44:G44"/>
    <mergeCell ref="B4:D4"/>
    <mergeCell ref="F13:G13"/>
    <mergeCell ref="F43:G43"/>
    <mergeCell ref="D24:E24"/>
    <mergeCell ref="D33:E33"/>
    <mergeCell ref="D26:E26"/>
    <mergeCell ref="D35:E35"/>
    <mergeCell ref="D10:E10"/>
    <mergeCell ref="F10:G10"/>
    <mergeCell ref="D19:E19"/>
    <mergeCell ref="D34:E34"/>
    <mergeCell ref="F19:G19"/>
    <mergeCell ref="F34:G34"/>
    <mergeCell ref="F6:G6"/>
    <mergeCell ref="F30:G30"/>
    <mergeCell ref="D11:E11"/>
    <mergeCell ref="D31:E31"/>
    <mergeCell ref="D45:E45"/>
    <mergeCell ref="D6:E6"/>
    <mergeCell ref="F15:G15"/>
    <mergeCell ref="D13:E13"/>
    <mergeCell ref="D7:E7"/>
    <mergeCell ref="F23:G23"/>
    <mergeCell ref="F20:G20"/>
    <mergeCell ref="F18:G18"/>
    <mergeCell ref="F33:G33"/>
    <mergeCell ref="F45:G45"/>
    <mergeCell ref="F42:G42"/>
    <mergeCell ref="F17:G17"/>
    <mergeCell ref="D9:E9"/>
    <mergeCell ref="F9:G9"/>
    <mergeCell ref="D20:E20"/>
    <mergeCell ref="F29:G29"/>
    <mergeCell ref="F16:G16"/>
    <mergeCell ref="F25:G25"/>
    <mergeCell ref="C5:G5"/>
    <mergeCell ref="D22:E22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O151"/>
  <sheetViews>
    <sheetView zoomScale="90" zoomScaleNormal="90" workbookViewId="0">
      <pane ySplit="6" topLeftCell="A19" activePane="bottomLeft" state="frozen"/>
      <selection sqref="A1:I1"/>
      <selection pane="bottomLeft" activeCell="H21" sqref="H2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" customHeight="1">
      <c r="A1" s="301" t="s">
        <v>0</v>
      </c>
      <c r="B1" s="263"/>
      <c r="C1" s="263"/>
      <c r="D1" s="263"/>
      <c r="E1" s="263"/>
      <c r="F1" s="263"/>
      <c r="G1" s="263"/>
      <c r="H1" s="263"/>
      <c r="I1" s="260"/>
      <c r="J1" s="114" t="s">
        <v>637</v>
      </c>
      <c r="K1" s="38" t="s">
        <v>515</v>
      </c>
      <c r="L1" s="38" t="s">
        <v>699</v>
      </c>
      <c r="M1" s="1"/>
      <c r="N1" s="1"/>
      <c r="O1" s="1"/>
    </row>
    <row r="2" spans="1:15" ht="34.950000000000003" customHeight="1">
      <c r="A2" s="235" t="s">
        <v>700</v>
      </c>
      <c r="B2" s="302" t="s">
        <v>2</v>
      </c>
      <c r="C2" s="303"/>
      <c r="D2" s="303"/>
      <c r="E2" s="303"/>
      <c r="F2" s="303"/>
      <c r="G2" s="303"/>
      <c r="H2" s="303"/>
      <c r="I2" s="304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82" t="s">
        <v>701</v>
      </c>
      <c r="C3" s="263"/>
      <c r="D3" s="260"/>
      <c r="E3" s="266" t="s">
        <v>11</v>
      </c>
      <c r="F3" s="263"/>
      <c r="G3" s="260"/>
      <c r="H3" s="268" t="s">
        <v>702</v>
      </c>
      <c r="I3" s="269"/>
      <c r="J3" s="19" t="str">
        <f>B3</f>
        <v>Rivotril 2mg</v>
      </c>
      <c r="K3" s="34" t="s">
        <v>703</v>
      </c>
      <c r="L3" s="5">
        <f>H7</f>
        <v>206.5</v>
      </c>
      <c r="M3" s="3">
        <f>SUM(C$8:C$1048576)</f>
        <v>1200</v>
      </c>
      <c r="N3" s="3">
        <f>SUM(F:F)</f>
        <v>664</v>
      </c>
      <c r="O3" s="3">
        <f>L3+M3-N3</f>
        <v>742.5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704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705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45.6" customHeight="1">
      <c r="A7" s="133" t="s">
        <v>29</v>
      </c>
      <c r="B7" s="140" t="s">
        <v>5</v>
      </c>
      <c r="C7" s="213">
        <v>206.5</v>
      </c>
      <c r="D7" s="300"/>
      <c r="E7" s="260"/>
      <c r="F7" s="289"/>
      <c r="G7" s="260"/>
      <c r="H7" s="140">
        <v>206.5</v>
      </c>
      <c r="I7" s="202" t="s">
        <v>706</v>
      </c>
      <c r="J7" s="12"/>
      <c r="K7" s="3"/>
      <c r="L7" s="3"/>
      <c r="M7" s="3"/>
      <c r="N7" s="3"/>
      <c r="O7" s="3"/>
    </row>
    <row r="8" spans="1:15" ht="26.7" customHeight="1">
      <c r="A8" s="39" t="s">
        <v>707</v>
      </c>
      <c r="B8" s="38" t="s">
        <v>323</v>
      </c>
      <c r="C8" s="38"/>
      <c r="D8" s="279"/>
      <c r="E8" s="260"/>
      <c r="F8" s="279">
        <v>28</v>
      </c>
      <c r="G8" s="260"/>
      <c r="H8" s="38">
        <f>H7-F8</f>
        <v>178.5</v>
      </c>
      <c r="I8" s="7"/>
    </row>
    <row r="9" spans="1:15" ht="26.7" customHeight="1">
      <c r="A9" s="39" t="s">
        <v>466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150.5</v>
      </c>
      <c r="I9" s="39" t="s">
        <v>649</v>
      </c>
    </row>
    <row r="10" spans="1:15" ht="26.7" customHeight="1">
      <c r="A10" s="39" t="s">
        <v>472</v>
      </c>
      <c r="B10" s="38" t="s">
        <v>323</v>
      </c>
      <c r="C10" s="38"/>
      <c r="D10" s="279"/>
      <c r="E10" s="260"/>
      <c r="F10" s="279">
        <v>14</v>
      </c>
      <c r="G10" s="260"/>
      <c r="H10" s="38">
        <f>H9-F10</f>
        <v>136.5</v>
      </c>
      <c r="I10" s="39"/>
    </row>
    <row r="11" spans="1:15" ht="26.7" customHeight="1">
      <c r="A11" s="39" t="s">
        <v>435</v>
      </c>
      <c r="B11" s="38" t="s">
        <v>323</v>
      </c>
      <c r="C11" s="38"/>
      <c r="D11" s="279"/>
      <c r="E11" s="260"/>
      <c r="F11" s="279">
        <v>47</v>
      </c>
      <c r="G11" s="260"/>
      <c r="H11" s="38">
        <f>H10-F11</f>
        <v>89.5</v>
      </c>
      <c r="I11" s="192"/>
    </row>
    <row r="12" spans="1:15" ht="26.7" customHeight="1">
      <c r="A12" s="41" t="s">
        <v>436</v>
      </c>
      <c r="B12" s="38" t="s">
        <v>323</v>
      </c>
      <c r="C12" s="38"/>
      <c r="D12" s="279"/>
      <c r="E12" s="260"/>
      <c r="F12" s="279">
        <v>28</v>
      </c>
      <c r="G12" s="260"/>
      <c r="H12" s="38">
        <f>H11-F12</f>
        <v>61.5</v>
      </c>
      <c r="I12" s="39"/>
    </row>
    <row r="13" spans="1:15" ht="26.7" customHeight="1">
      <c r="A13" s="39" t="s">
        <v>477</v>
      </c>
      <c r="B13" s="38" t="s">
        <v>324</v>
      </c>
      <c r="C13" s="38">
        <v>600</v>
      </c>
      <c r="D13" s="279" t="s">
        <v>708</v>
      </c>
      <c r="E13" s="260"/>
      <c r="F13" s="279"/>
      <c r="G13" s="260"/>
      <c r="H13" s="38">
        <v>661.5</v>
      </c>
      <c r="I13" s="192" t="s">
        <v>654</v>
      </c>
    </row>
    <row r="14" spans="1:15" ht="26.7" customHeight="1">
      <c r="A14" s="39" t="s">
        <v>479</v>
      </c>
      <c r="B14" s="38" t="s">
        <v>323</v>
      </c>
      <c r="C14" s="38"/>
      <c r="D14" s="279"/>
      <c r="E14" s="260"/>
      <c r="F14" s="279">
        <v>14</v>
      </c>
      <c r="G14" s="260"/>
      <c r="H14" s="38">
        <f t="shared" ref="H14:H19" si="0">H13-F14</f>
        <v>647.5</v>
      </c>
      <c r="I14" s="39"/>
    </row>
    <row r="15" spans="1:15" ht="26.7" customHeight="1">
      <c r="A15" s="39" t="s">
        <v>634</v>
      </c>
      <c r="B15" s="38" t="s">
        <v>323</v>
      </c>
      <c r="C15" s="38"/>
      <c r="D15" s="279"/>
      <c r="E15" s="260"/>
      <c r="F15" s="279">
        <v>75</v>
      </c>
      <c r="G15" s="260"/>
      <c r="H15" s="38">
        <f t="shared" si="0"/>
        <v>572.5</v>
      </c>
      <c r="I15" s="39"/>
    </row>
    <row r="16" spans="1:15" ht="26.7" customHeight="1">
      <c r="A16" s="39" t="s">
        <v>533</v>
      </c>
      <c r="B16" s="38" t="s">
        <v>323</v>
      </c>
      <c r="C16" s="38"/>
      <c r="D16" s="279"/>
      <c r="E16" s="260"/>
      <c r="F16" s="279">
        <v>14</v>
      </c>
      <c r="G16" s="260"/>
      <c r="H16" s="38">
        <f t="shared" si="0"/>
        <v>558.5</v>
      </c>
      <c r="I16" s="7"/>
    </row>
    <row r="17" spans="1:9" ht="26.7" customHeight="1">
      <c r="A17" s="39" t="s">
        <v>439</v>
      </c>
      <c r="B17" s="38" t="s">
        <v>323</v>
      </c>
      <c r="C17" s="38"/>
      <c r="D17" s="279"/>
      <c r="E17" s="260"/>
      <c r="F17" s="279">
        <v>28</v>
      </c>
      <c r="G17" s="260"/>
      <c r="H17" s="38">
        <f t="shared" si="0"/>
        <v>530.5</v>
      </c>
      <c r="I17" s="7"/>
    </row>
    <row r="18" spans="1:9" ht="26.7" customHeight="1">
      <c r="A18" s="39" t="s">
        <v>415</v>
      </c>
      <c r="B18" s="38" t="s">
        <v>323</v>
      </c>
      <c r="C18" s="38"/>
      <c r="D18" s="279"/>
      <c r="E18" s="260"/>
      <c r="F18" s="279">
        <v>28</v>
      </c>
      <c r="G18" s="260"/>
      <c r="H18" s="38">
        <f t="shared" si="0"/>
        <v>502.5</v>
      </c>
      <c r="I18" s="7"/>
    </row>
    <row r="19" spans="1:9" ht="26.7" customHeight="1">
      <c r="A19" s="39" t="s">
        <v>543</v>
      </c>
      <c r="B19" s="38" t="s">
        <v>323</v>
      </c>
      <c r="C19" s="38"/>
      <c r="D19" s="279"/>
      <c r="E19" s="260"/>
      <c r="F19" s="279">
        <v>56</v>
      </c>
      <c r="G19" s="260"/>
      <c r="H19" s="38">
        <f t="shared" si="0"/>
        <v>446.5</v>
      </c>
      <c r="I19" s="7"/>
    </row>
    <row r="20" spans="1:9" ht="26.7" customHeight="1">
      <c r="A20" s="41" t="s">
        <v>355</v>
      </c>
      <c r="B20" s="38" t="s">
        <v>324</v>
      </c>
      <c r="C20" s="155">
        <v>600</v>
      </c>
      <c r="D20" s="280" t="s">
        <v>709</v>
      </c>
      <c r="E20" s="260"/>
      <c r="F20" s="280"/>
      <c r="G20" s="260"/>
      <c r="H20" s="38">
        <f>H19+C20</f>
        <v>1046.5</v>
      </c>
      <c r="I20" s="7" t="s">
        <v>657</v>
      </c>
    </row>
    <row r="21" spans="1:9" ht="26.7" customHeight="1">
      <c r="A21" s="39" t="s">
        <v>393</v>
      </c>
      <c r="B21" s="38" t="s">
        <v>323</v>
      </c>
      <c r="C21" s="116"/>
      <c r="D21" s="280"/>
      <c r="E21" s="260"/>
      <c r="F21" s="280">
        <v>14</v>
      </c>
      <c r="G21" s="260"/>
      <c r="H21" s="38">
        <f t="shared" ref="H21:H31" si="1">H20-F21</f>
        <v>1032.5</v>
      </c>
      <c r="I21" s="7"/>
    </row>
    <row r="22" spans="1:9" ht="26.7" customHeight="1">
      <c r="A22" s="39" t="s">
        <v>544</v>
      </c>
      <c r="B22" s="38" t="s">
        <v>323</v>
      </c>
      <c r="C22" s="38"/>
      <c r="D22" s="279"/>
      <c r="E22" s="260"/>
      <c r="F22" s="279">
        <v>28</v>
      </c>
      <c r="G22" s="260"/>
      <c r="H22" s="38">
        <f t="shared" si="1"/>
        <v>1004.5</v>
      </c>
      <c r="I22" s="7"/>
    </row>
    <row r="23" spans="1:9" ht="26.7" customHeight="1">
      <c r="A23" s="39" t="s">
        <v>357</v>
      </c>
      <c r="B23" s="38" t="s">
        <v>323</v>
      </c>
      <c r="C23" s="38"/>
      <c r="D23" s="279"/>
      <c r="E23" s="260"/>
      <c r="F23" s="279">
        <v>28</v>
      </c>
      <c r="G23" s="260"/>
      <c r="H23" s="38">
        <f t="shared" si="1"/>
        <v>976.5</v>
      </c>
      <c r="I23" s="7"/>
    </row>
    <row r="24" spans="1:9" ht="26.7" customHeight="1">
      <c r="A24" s="39" t="s">
        <v>449</v>
      </c>
      <c r="B24" s="38" t="s">
        <v>323</v>
      </c>
      <c r="C24" s="38"/>
      <c r="D24" s="279"/>
      <c r="E24" s="260"/>
      <c r="F24" s="279">
        <v>14</v>
      </c>
      <c r="G24" s="260"/>
      <c r="H24" s="38">
        <f t="shared" si="1"/>
        <v>962.5</v>
      </c>
      <c r="I24" s="7"/>
    </row>
    <row r="25" spans="1:9" ht="26.7" customHeight="1">
      <c r="A25" s="39" t="s">
        <v>359</v>
      </c>
      <c r="B25" s="38" t="s">
        <v>323</v>
      </c>
      <c r="C25" s="38"/>
      <c r="D25" s="279"/>
      <c r="E25" s="260"/>
      <c r="F25" s="279">
        <v>47</v>
      </c>
      <c r="G25" s="260"/>
      <c r="H25" s="38">
        <f t="shared" si="1"/>
        <v>915.5</v>
      </c>
      <c r="I25" s="7"/>
    </row>
    <row r="26" spans="1:9" ht="26.7" customHeight="1">
      <c r="A26" s="39" t="s">
        <v>549</v>
      </c>
      <c r="B26" s="38" t="s">
        <v>323</v>
      </c>
      <c r="C26" s="38"/>
      <c r="D26" s="279"/>
      <c r="E26" s="260"/>
      <c r="F26" s="279">
        <v>28</v>
      </c>
      <c r="G26" s="260"/>
      <c r="H26" s="38">
        <f t="shared" si="1"/>
        <v>887.5</v>
      </c>
      <c r="I26" s="7"/>
    </row>
    <row r="27" spans="1:9" ht="26.7" customHeight="1">
      <c r="A27" s="39" t="s">
        <v>554</v>
      </c>
      <c r="B27" s="38" t="s">
        <v>323</v>
      </c>
      <c r="C27" s="38"/>
      <c r="D27" s="279"/>
      <c r="E27" s="260"/>
      <c r="F27" s="279">
        <v>47</v>
      </c>
      <c r="G27" s="260"/>
      <c r="H27" s="38">
        <f t="shared" si="1"/>
        <v>840.5</v>
      </c>
      <c r="I27" s="7"/>
    </row>
    <row r="28" spans="1:9" ht="26.7" customHeight="1">
      <c r="A28" s="39" t="s">
        <v>588</v>
      </c>
      <c r="B28" s="38" t="s">
        <v>323</v>
      </c>
      <c r="C28" s="38"/>
      <c r="D28" s="279"/>
      <c r="E28" s="260"/>
      <c r="F28" s="279">
        <v>28</v>
      </c>
      <c r="G28" s="260"/>
      <c r="H28" s="38">
        <f t="shared" si="1"/>
        <v>812.5</v>
      </c>
      <c r="I28" s="7"/>
    </row>
    <row r="29" spans="1:9" ht="26.7" customHeight="1">
      <c r="A29" s="39" t="s">
        <v>366</v>
      </c>
      <c r="B29" s="38" t="s">
        <v>323</v>
      </c>
      <c r="C29" s="38"/>
      <c r="D29" s="279"/>
      <c r="E29" s="260"/>
      <c r="F29" s="279">
        <v>28</v>
      </c>
      <c r="G29" s="260"/>
      <c r="H29" s="38">
        <f t="shared" si="1"/>
        <v>784.5</v>
      </c>
      <c r="I29" s="7"/>
    </row>
    <row r="30" spans="1:9" ht="26.7" customHeight="1">
      <c r="A30" s="39" t="s">
        <v>400</v>
      </c>
      <c r="B30" s="38" t="s">
        <v>323</v>
      </c>
      <c r="C30" s="38"/>
      <c r="D30" s="279"/>
      <c r="E30" s="260"/>
      <c r="F30" s="279">
        <v>28</v>
      </c>
      <c r="G30" s="260"/>
      <c r="H30" s="38">
        <f t="shared" si="1"/>
        <v>756.5</v>
      </c>
      <c r="I30" s="7"/>
    </row>
    <row r="31" spans="1:9" ht="26.7" customHeight="1">
      <c r="A31" s="39" t="s">
        <v>370</v>
      </c>
      <c r="B31" s="38" t="s">
        <v>323</v>
      </c>
      <c r="C31" s="38"/>
      <c r="D31" s="279"/>
      <c r="E31" s="260"/>
      <c r="F31" s="279">
        <v>14</v>
      </c>
      <c r="G31" s="260"/>
      <c r="H31" s="38">
        <f t="shared" si="1"/>
        <v>742.5</v>
      </c>
      <c r="I31" s="7"/>
    </row>
    <row r="32" spans="1:9" ht="26.7" customHeight="1">
      <c r="A32" s="39"/>
      <c r="B32" s="38"/>
      <c r="C32" s="38"/>
      <c r="D32" s="279"/>
      <c r="E32" s="260"/>
      <c r="F32" s="279"/>
      <c r="G32" s="260"/>
      <c r="H32" s="38"/>
      <c r="I32" s="109"/>
    </row>
    <row r="33" spans="1:9" ht="26.7" customHeight="1">
      <c r="A33" s="39"/>
      <c r="B33" s="38"/>
      <c r="C33" s="38"/>
      <c r="D33" s="279"/>
      <c r="E33" s="260"/>
      <c r="F33" s="279"/>
      <c r="G33" s="260"/>
      <c r="H33" s="38"/>
      <c r="I33" s="7"/>
    </row>
    <row r="34" spans="1:9" ht="26.7" customHeight="1">
      <c r="A34" s="39"/>
      <c r="B34" s="38"/>
      <c r="C34" s="38"/>
      <c r="D34" s="279"/>
      <c r="E34" s="260"/>
      <c r="F34" s="279"/>
      <c r="G34" s="260"/>
      <c r="H34" s="38"/>
      <c r="I34" s="7"/>
    </row>
    <row r="35" spans="1:9" ht="21" customHeight="1">
      <c r="A35" s="39"/>
      <c r="B35" s="38"/>
      <c r="C35" s="38"/>
      <c r="D35" s="279"/>
      <c r="E35" s="260"/>
      <c r="F35" s="279"/>
      <c r="G35" s="260"/>
      <c r="H35" s="38"/>
      <c r="I35" s="7"/>
    </row>
    <row r="36" spans="1:9" ht="21" customHeight="1">
      <c r="A36" s="39"/>
      <c r="B36" s="38"/>
      <c r="C36" s="38"/>
      <c r="D36" s="279"/>
      <c r="E36" s="260"/>
      <c r="F36" s="279"/>
      <c r="G36" s="260"/>
      <c r="H36" s="38"/>
      <c r="I36" s="7"/>
    </row>
    <row r="37" spans="1:9" ht="21" customHeight="1">
      <c r="A37" s="39"/>
      <c r="B37" s="38"/>
      <c r="C37" s="38"/>
      <c r="D37" s="279"/>
      <c r="E37" s="260"/>
      <c r="F37" s="279"/>
      <c r="G37" s="260"/>
      <c r="H37" s="38"/>
      <c r="I37" s="7"/>
    </row>
    <row r="38" spans="1:9" ht="21" customHeight="1">
      <c r="A38" s="39"/>
      <c r="B38" s="38"/>
      <c r="C38" s="38"/>
      <c r="D38" s="279"/>
      <c r="E38" s="260"/>
      <c r="F38" s="279"/>
      <c r="G38" s="260"/>
      <c r="H38" s="38"/>
      <c r="I38" s="7"/>
    </row>
    <row r="39" spans="1:9" ht="21" customHeight="1">
      <c r="A39" s="39"/>
      <c r="B39" s="38"/>
      <c r="C39" s="38"/>
      <c r="D39" s="279"/>
      <c r="E39" s="260"/>
      <c r="F39" s="279"/>
      <c r="G39" s="260"/>
      <c r="H39" s="38"/>
      <c r="I39" s="7"/>
    </row>
    <row r="40" spans="1:9" ht="21" customHeight="1">
      <c r="A40" s="39"/>
      <c r="B40" s="38"/>
      <c r="C40" s="38"/>
      <c r="D40" s="279"/>
      <c r="E40" s="260"/>
      <c r="F40" s="279"/>
      <c r="G40" s="260"/>
      <c r="H40" s="38"/>
      <c r="I40" s="7"/>
    </row>
    <row r="41" spans="1:9" ht="21" customHeight="1">
      <c r="A41" s="39"/>
      <c r="B41" s="38"/>
      <c r="C41" s="38"/>
      <c r="D41" s="279"/>
      <c r="E41" s="260"/>
      <c r="F41" s="279"/>
      <c r="G41" s="260"/>
      <c r="H41" s="38"/>
      <c r="I41" s="7"/>
    </row>
    <row r="42" spans="1:9" ht="21" customHeight="1">
      <c r="A42" s="39"/>
      <c r="B42" s="38"/>
      <c r="C42" s="38"/>
      <c r="D42" s="279"/>
      <c r="E42" s="260"/>
      <c r="F42" s="279"/>
      <c r="G42" s="260"/>
      <c r="H42" s="38"/>
      <c r="I42" s="7"/>
    </row>
    <row r="43" spans="1:9" ht="21" customHeight="1">
      <c r="A43" s="39"/>
      <c r="B43" s="38"/>
      <c r="C43" s="38"/>
      <c r="D43" s="279"/>
      <c r="E43" s="260"/>
      <c r="F43" s="279"/>
      <c r="G43" s="260"/>
      <c r="H43" s="38"/>
      <c r="I43" s="7"/>
    </row>
    <row r="44" spans="1:9" ht="21" customHeight="1">
      <c r="A44" s="39"/>
      <c r="B44" s="38"/>
      <c r="C44" s="38"/>
      <c r="D44" s="279"/>
      <c r="E44" s="260"/>
      <c r="F44" s="279"/>
      <c r="G44" s="260"/>
      <c r="H44" s="38"/>
      <c r="I44" s="7"/>
    </row>
    <row r="45" spans="1:9" ht="21" customHeight="1">
      <c r="A45" s="39"/>
      <c r="B45" s="38"/>
      <c r="C45" s="38"/>
      <c r="D45" s="279"/>
      <c r="E45" s="260"/>
      <c r="F45" s="279"/>
      <c r="G45" s="260"/>
      <c r="H45" s="38"/>
      <c r="I45" s="7"/>
    </row>
    <row r="46" spans="1:9" ht="21" customHeight="1">
      <c r="A46" s="39"/>
      <c r="B46" s="38"/>
      <c r="C46" s="38"/>
      <c r="D46" s="279"/>
      <c r="E46" s="260"/>
      <c r="F46" s="279"/>
      <c r="G46" s="260"/>
      <c r="H46" s="38"/>
      <c r="I46" s="7"/>
    </row>
    <row r="47" spans="1:9" ht="21" customHeight="1">
      <c r="A47" s="39"/>
      <c r="B47" s="38"/>
      <c r="C47" s="38"/>
      <c r="D47" s="279"/>
      <c r="E47" s="260"/>
      <c r="F47" s="279"/>
      <c r="G47" s="260"/>
      <c r="H47" s="38"/>
      <c r="I47" s="7"/>
    </row>
    <row r="48" spans="1:9" ht="21" customHeight="1">
      <c r="A48" s="39"/>
      <c r="B48" s="38"/>
      <c r="C48" s="38"/>
      <c r="D48" s="279"/>
      <c r="E48" s="260"/>
      <c r="F48" s="279"/>
      <c r="G48" s="260"/>
      <c r="H48" s="38"/>
      <c r="I48" s="7"/>
    </row>
    <row r="49" spans="1:9" ht="21" customHeight="1">
      <c r="A49" s="39"/>
      <c r="B49" s="38"/>
      <c r="C49" s="38"/>
      <c r="D49" s="279"/>
      <c r="E49" s="260"/>
      <c r="F49" s="279"/>
      <c r="G49" s="260"/>
      <c r="H49" s="38"/>
      <c r="I49" s="7"/>
    </row>
    <row r="50" spans="1:9" ht="21" customHeight="1">
      <c r="A50" s="39"/>
      <c r="B50" s="38"/>
      <c r="C50" s="38"/>
      <c r="D50" s="279"/>
      <c r="E50" s="260"/>
      <c r="F50" s="279"/>
      <c r="G50" s="260"/>
      <c r="H50" s="38"/>
      <c r="I50" s="7"/>
    </row>
    <row r="51" spans="1:9" ht="21" customHeight="1">
      <c r="A51" s="39"/>
      <c r="B51" s="38"/>
      <c r="C51" s="38"/>
      <c r="D51" s="279"/>
      <c r="E51" s="260"/>
      <c r="F51" s="279"/>
      <c r="G51" s="260"/>
      <c r="H51" s="38"/>
      <c r="I51" s="7"/>
    </row>
    <row r="52" spans="1:9" ht="21" customHeight="1">
      <c r="A52" s="39"/>
      <c r="B52" s="38"/>
      <c r="C52" s="38"/>
      <c r="D52" s="279"/>
      <c r="E52" s="260"/>
      <c r="F52" s="279"/>
      <c r="G52" s="260"/>
      <c r="H52" s="38"/>
      <c r="I52" s="7"/>
    </row>
    <row r="53" spans="1:9" ht="21" customHeight="1">
      <c r="A53" s="39"/>
      <c r="B53" s="38"/>
      <c r="C53" s="38"/>
      <c r="D53" s="279"/>
      <c r="E53" s="260"/>
      <c r="F53" s="279"/>
      <c r="G53" s="260"/>
      <c r="H53" s="38"/>
      <c r="I53" s="7"/>
    </row>
    <row r="54" spans="1:9" ht="21" customHeight="1">
      <c r="A54" s="39"/>
      <c r="B54" s="38"/>
      <c r="C54" s="38"/>
      <c r="D54" s="279"/>
      <c r="E54" s="260"/>
      <c r="F54" s="279"/>
      <c r="G54" s="260"/>
      <c r="H54" s="38"/>
      <c r="I54" s="7"/>
    </row>
    <row r="55" spans="1:9" ht="21" customHeight="1">
      <c r="A55" s="39"/>
      <c r="B55" s="38"/>
      <c r="C55" s="38"/>
      <c r="D55" s="279"/>
      <c r="E55" s="260"/>
      <c r="F55" s="279"/>
      <c r="G55" s="260"/>
      <c r="H55" s="38"/>
      <c r="I55" s="7"/>
    </row>
    <row r="56" spans="1:9" ht="21" customHeight="1">
      <c r="A56" s="39"/>
      <c r="B56" s="38"/>
      <c r="C56" s="38"/>
      <c r="D56" s="279"/>
      <c r="E56" s="260"/>
      <c r="F56" s="279"/>
      <c r="G56" s="260"/>
      <c r="H56" s="38"/>
      <c r="I56" s="7"/>
    </row>
    <row r="57" spans="1:9" ht="21" customHeight="1">
      <c r="A57" s="39"/>
      <c r="B57" s="38"/>
      <c r="C57" s="38"/>
      <c r="D57" s="279"/>
      <c r="E57" s="260"/>
      <c r="F57" s="279"/>
      <c r="G57" s="260"/>
      <c r="H57" s="38"/>
      <c r="I57" s="7"/>
    </row>
    <row r="58" spans="1:9" ht="21" customHeight="1">
      <c r="A58" s="39"/>
      <c r="B58" s="38"/>
      <c r="C58" s="38"/>
      <c r="D58" s="279"/>
      <c r="E58" s="260"/>
      <c r="F58" s="279"/>
      <c r="G58" s="260"/>
      <c r="H58" s="38"/>
      <c r="I58" s="7"/>
    </row>
    <row r="59" spans="1:9" ht="21" customHeight="1">
      <c r="A59" s="39"/>
      <c r="B59" s="38"/>
      <c r="C59" s="38"/>
      <c r="D59" s="279"/>
      <c r="E59" s="260"/>
      <c r="F59" s="279"/>
      <c r="G59" s="260"/>
      <c r="H59" s="38"/>
      <c r="I59" s="7"/>
    </row>
    <row r="60" spans="1:9" ht="21" customHeight="1">
      <c r="A60" s="39"/>
      <c r="B60" s="38"/>
      <c r="C60" s="38"/>
      <c r="D60" s="279"/>
      <c r="E60" s="260"/>
      <c r="F60" s="279"/>
      <c r="G60" s="260"/>
      <c r="H60" s="38"/>
      <c r="I60" s="7"/>
    </row>
    <row r="61" spans="1:9" ht="21" customHeight="1">
      <c r="A61" s="39"/>
      <c r="B61" s="38"/>
      <c r="C61" s="38"/>
      <c r="D61" s="279"/>
      <c r="E61" s="260"/>
      <c r="F61" s="279"/>
      <c r="G61" s="260"/>
      <c r="H61" s="38"/>
      <c r="I61" s="7"/>
    </row>
    <row r="62" spans="1:9" ht="21" customHeight="1">
      <c r="A62" s="39"/>
      <c r="B62" s="38"/>
      <c r="C62" s="38"/>
      <c r="D62" s="279"/>
      <c r="E62" s="260"/>
      <c r="F62" s="279"/>
      <c r="G62" s="260"/>
      <c r="H62" s="38"/>
      <c r="I62" s="7"/>
    </row>
    <row r="63" spans="1:9" ht="21" customHeight="1">
      <c r="A63" s="39"/>
      <c r="B63" s="38"/>
      <c r="C63" s="38"/>
      <c r="D63" s="279"/>
      <c r="E63" s="260"/>
      <c r="F63" s="279"/>
      <c r="G63" s="260"/>
      <c r="H63" s="38"/>
      <c r="I63" s="7"/>
    </row>
    <row r="64" spans="1:9" ht="21" customHeight="1">
      <c r="A64" s="39"/>
      <c r="B64" s="38"/>
      <c r="C64" s="38"/>
      <c r="D64" s="279"/>
      <c r="E64" s="260"/>
      <c r="F64" s="279"/>
      <c r="G64" s="260"/>
      <c r="H64" s="38"/>
      <c r="I64" s="7"/>
    </row>
    <row r="65" spans="1:9" ht="21" customHeight="1">
      <c r="A65" s="39"/>
      <c r="B65" s="38"/>
      <c r="C65" s="38"/>
      <c r="D65" s="279"/>
      <c r="E65" s="260"/>
      <c r="F65" s="279"/>
      <c r="G65" s="260"/>
      <c r="H65" s="38"/>
      <c r="I65" s="7"/>
    </row>
    <row r="66" spans="1:9" ht="21" customHeight="1">
      <c r="A66" s="39"/>
      <c r="B66" s="38"/>
      <c r="C66" s="38"/>
      <c r="D66" s="279"/>
      <c r="E66" s="260"/>
      <c r="F66" s="279"/>
      <c r="G66" s="260"/>
      <c r="H66" s="38"/>
      <c r="I66" s="7"/>
    </row>
    <row r="67" spans="1:9" ht="21" customHeight="1">
      <c r="A67" s="39"/>
      <c r="B67" s="38"/>
      <c r="C67" s="38"/>
      <c r="D67" s="279"/>
      <c r="E67" s="260"/>
      <c r="F67" s="279"/>
      <c r="G67" s="260"/>
      <c r="H67" s="38"/>
      <c r="I67" s="7"/>
    </row>
    <row r="68" spans="1:9" ht="21" customHeight="1">
      <c r="A68" s="39"/>
      <c r="B68" s="38"/>
      <c r="C68" s="38"/>
      <c r="D68" s="279"/>
      <c r="E68" s="260"/>
      <c r="F68" s="279"/>
      <c r="G68" s="260"/>
      <c r="H68" s="38"/>
      <c r="I68" s="7"/>
    </row>
    <row r="69" spans="1:9" ht="21" customHeight="1">
      <c r="A69" s="39"/>
      <c r="B69" s="38"/>
      <c r="C69" s="38"/>
      <c r="D69" s="279"/>
      <c r="E69" s="260"/>
      <c r="F69" s="279"/>
      <c r="G69" s="260"/>
      <c r="H69" s="38"/>
      <c r="I69" s="7"/>
    </row>
    <row r="70" spans="1:9" ht="21" customHeight="1">
      <c r="A70" s="39"/>
      <c r="B70" s="38"/>
      <c r="C70" s="38"/>
      <c r="D70" s="279"/>
      <c r="E70" s="260"/>
      <c r="F70" s="279"/>
      <c r="G70" s="260"/>
      <c r="H70" s="38"/>
      <c r="I70" s="7"/>
    </row>
    <row r="71" spans="1:9" ht="21" customHeight="1">
      <c r="A71" s="39"/>
      <c r="B71" s="38"/>
      <c r="C71" s="38"/>
      <c r="D71" s="279"/>
      <c r="E71" s="260"/>
      <c r="F71" s="279"/>
      <c r="G71" s="260"/>
      <c r="H71" s="38"/>
      <c r="I71" s="7"/>
    </row>
    <row r="72" spans="1:9" ht="21" customHeight="1">
      <c r="A72" s="39"/>
      <c r="B72" s="38"/>
      <c r="C72" s="38"/>
      <c r="D72" s="279"/>
      <c r="E72" s="260"/>
      <c r="F72" s="279"/>
      <c r="G72" s="260"/>
      <c r="H72" s="38"/>
      <c r="I72" s="7"/>
    </row>
    <row r="73" spans="1:9" ht="21" customHeight="1">
      <c r="A73" s="39"/>
      <c r="B73" s="38"/>
      <c r="C73" s="38"/>
      <c r="D73" s="279"/>
      <c r="E73" s="260"/>
      <c r="F73" s="279"/>
      <c r="G73" s="260"/>
      <c r="H73" s="38"/>
      <c r="I73" s="7"/>
    </row>
    <row r="74" spans="1:9" ht="21" customHeight="1">
      <c r="A74" s="39"/>
      <c r="B74" s="38"/>
      <c r="C74" s="38"/>
      <c r="D74" s="279"/>
      <c r="E74" s="260"/>
      <c r="F74" s="279"/>
      <c r="G74" s="260"/>
      <c r="H74" s="38"/>
      <c r="I74" s="7"/>
    </row>
    <row r="75" spans="1:9" ht="21" customHeight="1">
      <c r="A75" s="39"/>
      <c r="B75" s="38"/>
      <c r="C75" s="38"/>
      <c r="D75" s="279"/>
      <c r="E75" s="260"/>
      <c r="F75" s="279"/>
      <c r="G75" s="260"/>
      <c r="H75" s="38"/>
      <c r="I75" s="7"/>
    </row>
    <row r="76" spans="1:9" ht="21" customHeight="1">
      <c r="A76" s="39"/>
      <c r="B76" s="38"/>
      <c r="C76" s="38"/>
      <c r="D76" s="279"/>
      <c r="E76" s="260"/>
      <c r="F76" s="279"/>
      <c r="G76" s="260"/>
      <c r="H76" s="38"/>
      <c r="I76" s="7"/>
    </row>
    <row r="77" spans="1:9" ht="21" customHeight="1">
      <c r="A77" s="39"/>
      <c r="B77" s="38"/>
      <c r="C77" s="38"/>
      <c r="D77" s="279"/>
      <c r="E77" s="260"/>
      <c r="F77" s="279"/>
      <c r="G77" s="260"/>
      <c r="H77" s="38"/>
      <c r="I77" s="7"/>
    </row>
    <row r="78" spans="1:9" ht="21" customHeight="1">
      <c r="A78" s="39"/>
      <c r="B78" s="38"/>
      <c r="C78" s="38"/>
      <c r="D78" s="279"/>
      <c r="E78" s="260"/>
      <c r="F78" s="279"/>
      <c r="G78" s="260"/>
      <c r="H78" s="38"/>
      <c r="I78" s="7"/>
    </row>
    <row r="79" spans="1:9" ht="21" customHeight="1">
      <c r="A79" s="39"/>
      <c r="B79" s="38"/>
      <c r="C79" s="38"/>
      <c r="D79" s="279"/>
      <c r="E79" s="260"/>
      <c r="F79" s="279"/>
      <c r="G79" s="260"/>
      <c r="H79" s="38"/>
      <c r="I79" s="7"/>
    </row>
    <row r="80" spans="1:9" ht="21" customHeight="1">
      <c r="A80" s="39"/>
      <c r="B80" s="38"/>
      <c r="C80" s="38"/>
      <c r="D80" s="279"/>
      <c r="E80" s="260"/>
      <c r="F80" s="279"/>
      <c r="G80" s="260"/>
      <c r="H80" s="38"/>
      <c r="I80" s="7"/>
    </row>
    <row r="81" spans="1:9" ht="21" customHeight="1">
      <c r="A81" s="39"/>
      <c r="B81" s="38"/>
      <c r="C81" s="38"/>
      <c r="D81" s="279"/>
      <c r="E81" s="260"/>
      <c r="F81" s="279"/>
      <c r="G81" s="260"/>
      <c r="H81" s="38"/>
      <c r="I81" s="7"/>
    </row>
    <row r="82" spans="1:9" ht="21" customHeight="1">
      <c r="A82" s="39"/>
      <c r="B82" s="38"/>
      <c r="C82" s="38"/>
      <c r="D82" s="279"/>
      <c r="E82" s="260"/>
      <c r="F82" s="279"/>
      <c r="G82" s="260"/>
      <c r="H82" s="38"/>
      <c r="I82" s="7"/>
    </row>
    <row r="83" spans="1:9" ht="21" customHeight="1">
      <c r="A83" s="39"/>
      <c r="B83" s="38"/>
      <c r="C83" s="38"/>
      <c r="D83" s="279"/>
      <c r="E83" s="260"/>
      <c r="F83" s="279"/>
      <c r="G83" s="260"/>
      <c r="H83" s="38"/>
      <c r="I83" s="7"/>
    </row>
    <row r="84" spans="1:9" ht="21" customHeight="1">
      <c r="A84" s="39"/>
      <c r="B84" s="38"/>
      <c r="C84" s="38"/>
      <c r="D84" s="279"/>
      <c r="E84" s="260"/>
      <c r="F84" s="279"/>
      <c r="G84" s="260"/>
      <c r="H84" s="38"/>
      <c r="I84" s="7"/>
    </row>
    <row r="85" spans="1:9" ht="21" customHeight="1">
      <c r="A85" s="39"/>
      <c r="B85" s="38"/>
      <c r="C85" s="38"/>
      <c r="D85" s="279"/>
      <c r="E85" s="260"/>
      <c r="F85" s="279"/>
      <c r="G85" s="260"/>
      <c r="H85" s="38"/>
      <c r="I85" s="7"/>
    </row>
    <row r="86" spans="1:9" ht="21" customHeight="1">
      <c r="A86" s="39"/>
      <c r="B86" s="38"/>
      <c r="C86" s="38"/>
      <c r="D86" s="279"/>
      <c r="E86" s="260"/>
      <c r="F86" s="279"/>
      <c r="G86" s="260"/>
      <c r="H86" s="38"/>
      <c r="I86" s="7"/>
    </row>
    <row r="87" spans="1:9" ht="21" customHeight="1">
      <c r="A87" s="39"/>
      <c r="B87" s="38"/>
      <c r="C87" s="38"/>
      <c r="D87" s="279"/>
      <c r="E87" s="260"/>
      <c r="F87" s="279"/>
      <c r="G87" s="260"/>
      <c r="H87" s="38"/>
      <c r="I87" s="7"/>
    </row>
    <row r="88" spans="1:9" ht="21" customHeight="1">
      <c r="A88" s="39"/>
      <c r="B88" s="38"/>
      <c r="C88" s="38"/>
      <c r="D88" s="279"/>
      <c r="E88" s="260"/>
      <c r="F88" s="279"/>
      <c r="G88" s="260"/>
      <c r="H88" s="38"/>
      <c r="I88" s="7"/>
    </row>
    <row r="89" spans="1:9" ht="21" customHeight="1">
      <c r="A89" s="39"/>
      <c r="B89" s="38"/>
      <c r="C89" s="38"/>
      <c r="D89" s="279"/>
      <c r="E89" s="260"/>
      <c r="F89" s="279"/>
      <c r="G89" s="260"/>
      <c r="H89" s="38"/>
      <c r="I89" s="7"/>
    </row>
    <row r="90" spans="1:9" ht="21" customHeight="1">
      <c r="A90" s="39"/>
      <c r="B90" s="38"/>
      <c r="C90" s="38"/>
      <c r="D90" s="279"/>
      <c r="E90" s="260"/>
      <c r="F90" s="279"/>
      <c r="G90" s="260"/>
      <c r="H90" s="38"/>
      <c r="I90" s="7"/>
    </row>
    <row r="91" spans="1:9" ht="21" customHeight="1">
      <c r="A91" s="39"/>
      <c r="B91" s="38"/>
      <c r="C91" s="38"/>
      <c r="D91" s="279"/>
      <c r="E91" s="260"/>
      <c r="F91" s="279"/>
      <c r="G91" s="260"/>
      <c r="H91" s="38"/>
      <c r="I91" s="7"/>
    </row>
    <row r="92" spans="1:9" ht="21" customHeight="1">
      <c r="A92" s="39"/>
      <c r="B92" s="38"/>
      <c r="C92" s="38"/>
      <c r="D92" s="279"/>
      <c r="E92" s="260"/>
      <c r="F92" s="279"/>
      <c r="G92" s="260"/>
      <c r="H92" s="38"/>
      <c r="I92" s="7"/>
    </row>
    <row r="93" spans="1:9" ht="21" customHeight="1">
      <c r="A93" s="39"/>
      <c r="B93" s="38"/>
      <c r="C93" s="38"/>
      <c r="D93" s="279"/>
      <c r="E93" s="260"/>
      <c r="F93" s="279"/>
      <c r="G93" s="260"/>
      <c r="H93" s="38"/>
      <c r="I93" s="7"/>
    </row>
    <row r="94" spans="1:9" ht="21" customHeight="1">
      <c r="A94" s="39"/>
      <c r="B94" s="38"/>
      <c r="C94" s="38"/>
      <c r="D94" s="279"/>
      <c r="E94" s="260"/>
      <c r="F94" s="279"/>
      <c r="G94" s="260"/>
      <c r="H94" s="38"/>
      <c r="I94" s="7"/>
    </row>
    <row r="95" spans="1:9" ht="21" customHeight="1">
      <c r="A95" s="39"/>
      <c r="B95" s="38"/>
      <c r="C95" s="38"/>
      <c r="D95" s="279"/>
      <c r="E95" s="260"/>
      <c r="F95" s="279"/>
      <c r="G95" s="260"/>
      <c r="H95" s="38"/>
      <c r="I95" s="7"/>
    </row>
    <row r="96" spans="1:9" ht="21" customHeight="1">
      <c r="A96" s="39"/>
      <c r="B96" s="38"/>
      <c r="C96" s="38"/>
      <c r="D96" s="279"/>
      <c r="E96" s="260"/>
      <c r="F96" s="279"/>
      <c r="G96" s="260"/>
      <c r="H96" s="38"/>
      <c r="I96" s="7"/>
    </row>
    <row r="97" spans="1:9" ht="21" customHeight="1">
      <c r="A97" s="39"/>
      <c r="B97" s="38"/>
      <c r="C97" s="38"/>
      <c r="D97" s="279"/>
      <c r="E97" s="260"/>
      <c r="F97" s="279"/>
      <c r="G97" s="260"/>
      <c r="H97" s="38"/>
      <c r="I97" s="7"/>
    </row>
    <row r="98" spans="1:9" ht="21" customHeight="1">
      <c r="A98" s="39"/>
      <c r="B98" s="38"/>
      <c r="C98" s="38"/>
      <c r="D98" s="279"/>
      <c r="E98" s="260"/>
      <c r="F98" s="279"/>
      <c r="G98" s="260"/>
      <c r="H98" s="38"/>
      <c r="I98" s="7"/>
    </row>
    <row r="99" spans="1:9" ht="21" customHeight="1">
      <c r="A99" s="39"/>
      <c r="B99" s="38"/>
      <c r="C99" s="38"/>
      <c r="D99" s="279"/>
      <c r="E99" s="260"/>
      <c r="F99" s="279"/>
      <c r="G99" s="260"/>
      <c r="H99" s="38"/>
      <c r="I99" s="7"/>
    </row>
    <row r="100" spans="1:9" ht="21" customHeight="1">
      <c r="A100" s="39"/>
      <c r="B100" s="38"/>
      <c r="C100" s="38"/>
      <c r="D100" s="279"/>
      <c r="E100" s="260"/>
      <c r="F100" s="279"/>
      <c r="G100" s="260"/>
      <c r="H100" s="38"/>
      <c r="I100" s="7"/>
    </row>
    <row r="101" spans="1:9" ht="21" customHeight="1">
      <c r="A101" s="39"/>
      <c r="B101" s="38"/>
      <c r="C101" s="38"/>
      <c r="D101" s="279"/>
      <c r="E101" s="260"/>
      <c r="F101" s="279"/>
      <c r="G101" s="260"/>
      <c r="H101" s="38"/>
      <c r="I101" s="7"/>
    </row>
    <row r="102" spans="1:9" ht="21" customHeight="1">
      <c r="A102" s="39"/>
      <c r="B102" s="38"/>
      <c r="C102" s="38"/>
      <c r="D102" s="279"/>
      <c r="E102" s="260"/>
      <c r="F102" s="279"/>
      <c r="G102" s="260"/>
      <c r="H102" s="38"/>
      <c r="I102" s="7"/>
    </row>
    <row r="103" spans="1:9" ht="21" customHeight="1">
      <c r="A103" s="39"/>
      <c r="B103" s="38"/>
      <c r="C103" s="38"/>
      <c r="D103" s="279"/>
      <c r="E103" s="260"/>
      <c r="F103" s="279"/>
      <c r="G103" s="260"/>
      <c r="H103" s="38"/>
      <c r="I103" s="7"/>
    </row>
    <row r="104" spans="1:9" ht="21" customHeight="1">
      <c r="A104" s="39"/>
      <c r="B104" s="38"/>
      <c r="C104" s="38"/>
      <c r="D104" s="279"/>
      <c r="E104" s="260"/>
      <c r="F104" s="279"/>
      <c r="G104" s="260"/>
      <c r="H104" s="38"/>
      <c r="I104" s="7"/>
    </row>
    <row r="105" spans="1:9" ht="21" customHeight="1">
      <c r="A105" s="39"/>
      <c r="B105" s="38"/>
      <c r="C105" s="38"/>
      <c r="D105" s="279"/>
      <c r="E105" s="260"/>
      <c r="F105" s="279"/>
      <c r="G105" s="260"/>
      <c r="H105" s="38"/>
      <c r="I105" s="7"/>
    </row>
    <row r="106" spans="1:9" ht="21" customHeight="1">
      <c r="A106" s="39"/>
      <c r="B106" s="38"/>
      <c r="C106" s="38"/>
      <c r="D106" s="279"/>
      <c r="E106" s="260"/>
      <c r="F106" s="279"/>
      <c r="G106" s="260"/>
      <c r="H106" s="38"/>
      <c r="I106" s="7"/>
    </row>
    <row r="107" spans="1:9" ht="21" customHeight="1">
      <c r="A107" s="39"/>
      <c r="B107" s="38"/>
      <c r="C107" s="38"/>
      <c r="D107" s="279"/>
      <c r="E107" s="260"/>
      <c r="F107" s="279"/>
      <c r="G107" s="260"/>
      <c r="H107" s="38"/>
      <c r="I107" s="7"/>
    </row>
    <row r="108" spans="1:9" ht="21" customHeight="1">
      <c r="A108" s="39"/>
      <c r="B108" s="38"/>
      <c r="C108" s="38"/>
      <c r="D108" s="279"/>
      <c r="E108" s="260"/>
      <c r="F108" s="279"/>
      <c r="G108" s="260"/>
      <c r="H108" s="38"/>
      <c r="I108" s="7"/>
    </row>
    <row r="109" spans="1:9" ht="21" customHeight="1">
      <c r="A109" s="39"/>
      <c r="B109" s="38"/>
      <c r="C109" s="38"/>
      <c r="D109" s="279"/>
      <c r="E109" s="260"/>
      <c r="F109" s="279"/>
      <c r="G109" s="260"/>
      <c r="H109" s="38"/>
      <c r="I109" s="7"/>
    </row>
    <row r="110" spans="1:9" ht="21" customHeight="1">
      <c r="A110" s="39"/>
      <c r="B110" s="38"/>
      <c r="C110" s="38"/>
      <c r="D110" s="279"/>
      <c r="E110" s="260"/>
      <c r="F110" s="279"/>
      <c r="G110" s="260"/>
      <c r="H110" s="38"/>
      <c r="I110" s="7"/>
    </row>
    <row r="111" spans="1:9" ht="21" customHeight="1">
      <c r="A111" s="39"/>
      <c r="B111" s="38"/>
      <c r="C111" s="38"/>
      <c r="D111" s="279"/>
      <c r="E111" s="260"/>
      <c r="F111" s="279"/>
      <c r="G111" s="260"/>
      <c r="H111" s="38"/>
      <c r="I111" s="7"/>
    </row>
    <row r="112" spans="1:9" ht="21" customHeight="1">
      <c r="A112" s="39"/>
      <c r="B112" s="38"/>
      <c r="C112" s="38"/>
      <c r="D112" s="279"/>
      <c r="E112" s="260"/>
      <c r="F112" s="279"/>
      <c r="G112" s="260"/>
      <c r="H112" s="38"/>
      <c r="I112" s="7"/>
    </row>
    <row r="113" spans="1:9" ht="21" customHeight="1">
      <c r="A113" s="39"/>
      <c r="B113" s="38"/>
      <c r="C113" s="38"/>
      <c r="D113" s="279"/>
      <c r="E113" s="260"/>
      <c r="F113" s="279"/>
      <c r="G113" s="260"/>
      <c r="H113" s="38"/>
      <c r="I113" s="7"/>
    </row>
    <row r="114" spans="1:9" ht="21" customHeight="1">
      <c r="A114" s="39"/>
      <c r="B114" s="38"/>
      <c r="C114" s="38"/>
      <c r="D114" s="279"/>
      <c r="E114" s="260"/>
      <c r="F114" s="279"/>
      <c r="G114" s="260"/>
      <c r="H114" s="38"/>
      <c r="I114" s="7"/>
    </row>
    <row r="115" spans="1:9" ht="21" customHeight="1">
      <c r="A115" s="39"/>
      <c r="B115" s="38"/>
      <c r="C115" s="38"/>
      <c r="D115" s="279"/>
      <c r="E115" s="260"/>
      <c r="F115" s="279"/>
      <c r="G115" s="260"/>
      <c r="H115" s="38"/>
      <c r="I115" s="7"/>
    </row>
    <row r="116" spans="1:9" ht="21" customHeight="1">
      <c r="A116" s="39"/>
      <c r="B116" s="38"/>
      <c r="C116" s="38"/>
      <c r="D116" s="279"/>
      <c r="E116" s="260"/>
      <c r="F116" s="279"/>
      <c r="G116" s="260"/>
      <c r="H116" s="38"/>
      <c r="I116" s="7"/>
    </row>
    <row r="117" spans="1:9" ht="21" customHeight="1">
      <c r="A117" s="39"/>
      <c r="B117" s="38"/>
      <c r="C117" s="38"/>
      <c r="D117" s="279"/>
      <c r="E117" s="260"/>
      <c r="F117" s="279"/>
      <c r="G117" s="260"/>
      <c r="H117" s="38"/>
      <c r="I117" s="7"/>
    </row>
    <row r="118" spans="1:9" ht="21" customHeight="1">
      <c r="A118" s="39"/>
      <c r="B118" s="38"/>
      <c r="C118" s="38"/>
      <c r="D118" s="279"/>
      <c r="E118" s="260"/>
      <c r="F118" s="279"/>
      <c r="G118" s="260"/>
      <c r="H118" s="38"/>
      <c r="I118" s="7"/>
    </row>
    <row r="119" spans="1:9" ht="21" customHeight="1">
      <c r="A119" s="39"/>
      <c r="B119" s="38"/>
      <c r="C119" s="38"/>
      <c r="D119" s="279"/>
      <c r="E119" s="260"/>
      <c r="F119" s="279"/>
      <c r="G119" s="260"/>
      <c r="H119" s="38"/>
      <c r="I119" s="7"/>
    </row>
    <row r="120" spans="1:9" ht="21" customHeight="1">
      <c r="A120" s="39"/>
      <c r="B120" s="38"/>
      <c r="C120" s="38"/>
      <c r="D120" s="279"/>
      <c r="E120" s="260"/>
      <c r="F120" s="279"/>
      <c r="G120" s="260"/>
      <c r="H120" s="38"/>
      <c r="I120" s="7"/>
    </row>
    <row r="121" spans="1:9" ht="21" customHeight="1">
      <c r="A121" s="39"/>
      <c r="B121" s="38"/>
      <c r="C121" s="38"/>
      <c r="D121" s="279"/>
      <c r="E121" s="260"/>
      <c r="F121" s="279"/>
      <c r="G121" s="260"/>
      <c r="H121" s="38"/>
      <c r="I121" s="7"/>
    </row>
    <row r="122" spans="1:9" ht="21" customHeight="1">
      <c r="A122" s="39"/>
      <c r="B122" s="38"/>
      <c r="C122" s="38"/>
      <c r="D122" s="279"/>
      <c r="E122" s="260"/>
      <c r="F122" s="279"/>
      <c r="G122" s="260"/>
      <c r="H122" s="38"/>
      <c r="I122" s="7"/>
    </row>
    <row r="123" spans="1:9" ht="21" customHeight="1">
      <c r="A123" s="39"/>
      <c r="B123" s="38"/>
      <c r="C123" s="38"/>
      <c r="D123" s="279"/>
      <c r="E123" s="260"/>
      <c r="F123" s="279"/>
      <c r="G123" s="260"/>
      <c r="H123" s="38"/>
      <c r="I123" s="7"/>
    </row>
    <row r="124" spans="1:9" ht="21" customHeight="1">
      <c r="A124" s="39"/>
      <c r="B124" s="38"/>
      <c r="C124" s="38"/>
      <c r="D124" s="279"/>
      <c r="E124" s="260"/>
      <c r="F124" s="279"/>
      <c r="G124" s="260"/>
      <c r="H124" s="38"/>
      <c r="I124" s="7"/>
    </row>
    <row r="125" spans="1:9" ht="21" customHeight="1">
      <c r="A125" s="39"/>
      <c r="B125" s="38"/>
      <c r="C125" s="38"/>
      <c r="D125" s="279"/>
      <c r="E125" s="260"/>
      <c r="F125" s="279"/>
      <c r="G125" s="260"/>
      <c r="H125" s="38"/>
      <c r="I125" s="7"/>
    </row>
    <row r="126" spans="1:9" ht="21" customHeight="1">
      <c r="A126" s="39"/>
      <c r="B126" s="38"/>
      <c r="C126" s="38"/>
      <c r="D126" s="279"/>
      <c r="E126" s="260"/>
      <c r="F126" s="279"/>
      <c r="G126" s="260"/>
      <c r="H126" s="38"/>
      <c r="I126" s="7"/>
    </row>
    <row r="127" spans="1:9" ht="21" customHeight="1">
      <c r="A127" s="39"/>
      <c r="B127" s="38"/>
      <c r="C127" s="38"/>
      <c r="D127" s="279"/>
      <c r="E127" s="260"/>
      <c r="F127" s="279"/>
      <c r="G127" s="260"/>
      <c r="H127" s="38"/>
      <c r="I127" s="7"/>
    </row>
    <row r="128" spans="1:9" ht="21" customHeight="1">
      <c r="A128" s="39"/>
      <c r="B128" s="38"/>
      <c r="C128" s="38"/>
      <c r="D128" s="279"/>
      <c r="E128" s="260"/>
      <c r="F128" s="279"/>
      <c r="G128" s="260"/>
      <c r="H128" s="38"/>
      <c r="I128" s="7"/>
    </row>
    <row r="129" spans="1:9" ht="21" customHeight="1">
      <c r="A129" s="39"/>
      <c r="B129" s="38"/>
      <c r="C129" s="38"/>
      <c r="D129" s="279"/>
      <c r="E129" s="260"/>
      <c r="F129" s="279"/>
      <c r="G129" s="260"/>
      <c r="H129" s="38"/>
      <c r="I129" s="7"/>
    </row>
    <row r="130" spans="1:9" ht="21" customHeight="1">
      <c r="A130" s="39"/>
      <c r="B130" s="38"/>
      <c r="C130" s="38"/>
      <c r="D130" s="279"/>
      <c r="E130" s="260"/>
      <c r="F130" s="279"/>
      <c r="G130" s="260"/>
      <c r="H130" s="38"/>
      <c r="I130" s="7"/>
    </row>
    <row r="131" spans="1:9" ht="21" customHeight="1">
      <c r="A131" s="39"/>
      <c r="B131" s="38"/>
      <c r="C131" s="38"/>
      <c r="D131" s="279"/>
      <c r="E131" s="260"/>
      <c r="F131" s="279"/>
      <c r="G131" s="260"/>
      <c r="H131" s="38"/>
      <c r="I131" s="7"/>
    </row>
    <row r="132" spans="1:9" ht="21" customHeight="1">
      <c r="A132" s="39"/>
      <c r="B132" s="38"/>
      <c r="C132" s="38"/>
      <c r="D132" s="279"/>
      <c r="E132" s="260"/>
      <c r="F132" s="279"/>
      <c r="G132" s="260"/>
      <c r="H132" s="38"/>
      <c r="I132" s="7"/>
    </row>
    <row r="133" spans="1:9" ht="21" customHeight="1">
      <c r="A133" s="39"/>
      <c r="B133" s="38"/>
      <c r="C133" s="38"/>
      <c r="D133" s="279"/>
      <c r="E133" s="260"/>
      <c r="F133" s="279"/>
      <c r="G133" s="260"/>
      <c r="H133" s="38"/>
      <c r="I133" s="7"/>
    </row>
    <row r="134" spans="1:9" ht="21" customHeight="1">
      <c r="A134" s="39"/>
      <c r="B134" s="38"/>
      <c r="C134" s="38"/>
      <c r="D134" s="279"/>
      <c r="E134" s="260"/>
      <c r="F134" s="279"/>
      <c r="G134" s="260"/>
      <c r="H134" s="38"/>
      <c r="I134" s="7"/>
    </row>
    <row r="135" spans="1:9" ht="21" customHeight="1">
      <c r="A135" s="39"/>
      <c r="B135" s="38"/>
      <c r="C135" s="38"/>
      <c r="D135" s="279"/>
      <c r="E135" s="260"/>
      <c r="F135" s="279"/>
      <c r="G135" s="260"/>
      <c r="H135" s="38"/>
      <c r="I135" s="7"/>
    </row>
    <row r="136" spans="1:9" ht="21" customHeight="1">
      <c r="A136" s="39"/>
      <c r="B136" s="38"/>
      <c r="C136" s="38"/>
      <c r="D136" s="279"/>
      <c r="E136" s="260"/>
      <c r="F136" s="279"/>
      <c r="G136" s="260"/>
      <c r="H136" s="38"/>
      <c r="I136" s="7"/>
    </row>
    <row r="137" spans="1:9" ht="21" customHeight="1">
      <c r="A137" s="39"/>
      <c r="B137" s="38"/>
      <c r="C137" s="38"/>
      <c r="D137" s="279"/>
      <c r="E137" s="260"/>
      <c r="F137" s="279"/>
      <c r="G137" s="260"/>
      <c r="H137" s="38"/>
      <c r="I137" s="7"/>
    </row>
    <row r="138" spans="1:9" ht="21" customHeight="1">
      <c r="A138" s="39"/>
      <c r="B138" s="38"/>
      <c r="C138" s="38"/>
      <c r="D138" s="279"/>
      <c r="E138" s="260"/>
      <c r="F138" s="279"/>
      <c r="G138" s="260"/>
      <c r="H138" s="38"/>
      <c r="I138" s="7"/>
    </row>
    <row r="139" spans="1:9" ht="21" customHeight="1">
      <c r="A139" s="39"/>
      <c r="B139" s="38"/>
      <c r="C139" s="38"/>
      <c r="D139" s="279"/>
      <c r="E139" s="260"/>
      <c r="F139" s="279"/>
      <c r="G139" s="260"/>
      <c r="H139" s="38"/>
      <c r="I139" s="7"/>
    </row>
    <row r="140" spans="1:9" ht="21" customHeight="1">
      <c r="A140" s="39"/>
      <c r="B140" s="38"/>
      <c r="C140" s="38"/>
      <c r="D140" s="279"/>
      <c r="E140" s="260"/>
      <c r="F140" s="279"/>
      <c r="G140" s="260"/>
      <c r="H140" s="38"/>
      <c r="I140" s="7"/>
    </row>
    <row r="141" spans="1:9" ht="21" customHeight="1">
      <c r="A141" s="39"/>
      <c r="B141" s="38"/>
      <c r="C141" s="38"/>
      <c r="D141" s="279"/>
      <c r="E141" s="260"/>
      <c r="F141" s="279"/>
      <c r="G141" s="260"/>
      <c r="H141" s="38"/>
      <c r="I141" s="7"/>
    </row>
    <row r="142" spans="1:9" ht="21" customHeight="1">
      <c r="A142" s="39"/>
      <c r="B142" s="38"/>
      <c r="C142" s="38"/>
      <c r="D142" s="279"/>
      <c r="E142" s="260"/>
      <c r="F142" s="279"/>
      <c r="G142" s="260"/>
      <c r="H142" s="38"/>
      <c r="I142" s="7"/>
    </row>
    <row r="143" spans="1:9" ht="21" customHeight="1">
      <c r="A143" s="39"/>
      <c r="B143" s="38"/>
      <c r="C143" s="38"/>
      <c r="D143" s="279"/>
      <c r="E143" s="260"/>
      <c r="F143" s="279"/>
      <c r="G143" s="260"/>
      <c r="H143" s="38"/>
      <c r="I143" s="7"/>
    </row>
    <row r="144" spans="1:9" ht="21" customHeight="1">
      <c r="A144" s="39"/>
      <c r="B144" s="38"/>
      <c r="C144" s="38"/>
      <c r="D144" s="279"/>
      <c r="E144" s="260"/>
      <c r="F144" s="279"/>
      <c r="G144" s="260"/>
      <c r="H144" s="38"/>
      <c r="I144" s="7"/>
    </row>
    <row r="145" spans="1:9" ht="21" customHeight="1">
      <c r="A145" s="39"/>
      <c r="B145" s="38"/>
      <c r="C145" s="38"/>
      <c r="D145" s="279"/>
      <c r="E145" s="260"/>
      <c r="F145" s="279"/>
      <c r="G145" s="260"/>
      <c r="H145" s="38"/>
      <c r="I145" s="7"/>
    </row>
    <row r="146" spans="1:9" ht="21" customHeight="1">
      <c r="A146" s="39"/>
      <c r="B146" s="38"/>
      <c r="C146" s="38"/>
      <c r="D146" s="279"/>
      <c r="E146" s="260"/>
      <c r="F146" s="279"/>
      <c r="G146" s="260"/>
      <c r="H146" s="38"/>
      <c r="I146" s="7"/>
    </row>
    <row r="147" spans="1:9" ht="21" customHeight="1">
      <c r="A147" s="39"/>
      <c r="B147" s="38"/>
      <c r="C147" s="38"/>
      <c r="D147" s="279"/>
      <c r="E147" s="260"/>
      <c r="F147" s="279"/>
      <c r="G147" s="260"/>
      <c r="H147" s="38"/>
      <c r="I147" s="7"/>
    </row>
    <row r="148" spans="1:9" ht="21" customHeight="1">
      <c r="A148" s="39"/>
      <c r="B148" s="38"/>
      <c r="C148" s="38"/>
      <c r="D148" s="279"/>
      <c r="E148" s="260"/>
      <c r="F148" s="279"/>
      <c r="G148" s="260"/>
      <c r="H148" s="38"/>
      <c r="I148" s="7"/>
    </row>
    <row r="149" spans="1:9" ht="21" customHeight="1">
      <c r="A149" s="39"/>
      <c r="B149" s="38"/>
      <c r="C149" s="38"/>
      <c r="D149" s="279"/>
      <c r="E149" s="260"/>
      <c r="F149" s="279"/>
      <c r="G149" s="260"/>
      <c r="H149" s="38"/>
      <c r="I149" s="7"/>
    </row>
    <row r="150" spans="1:9" ht="21" customHeight="1">
      <c r="A150" s="39"/>
      <c r="B150" s="38"/>
      <c r="C150" s="38"/>
      <c r="D150" s="279"/>
      <c r="E150" s="260"/>
      <c r="F150" s="279"/>
      <c r="G150" s="260"/>
      <c r="H150" s="38"/>
      <c r="I150" s="7"/>
    </row>
    <row r="151" spans="1:9" ht="21" customHeight="1">
      <c r="A151" s="39"/>
      <c r="B151" s="38"/>
      <c r="C151" s="38"/>
      <c r="D151" s="279"/>
      <c r="E151" s="260"/>
      <c r="F151" s="279"/>
      <c r="G151" s="260"/>
      <c r="H151" s="38"/>
      <c r="I151" s="7"/>
    </row>
  </sheetData>
  <mergeCells count="302">
    <mergeCell ref="E3:G3"/>
    <mergeCell ref="D18:E18"/>
    <mergeCell ref="D58:E58"/>
    <mergeCell ref="F131:G131"/>
    <mergeCell ref="F27:G27"/>
    <mergeCell ref="F58:G58"/>
    <mergeCell ref="F140:G140"/>
    <mergeCell ref="F52:G52"/>
    <mergeCell ref="F67:G67"/>
    <mergeCell ref="D8:E8"/>
    <mergeCell ref="D121:E121"/>
    <mergeCell ref="F37:G37"/>
    <mergeCell ref="B3:D3"/>
    <mergeCell ref="D74:E74"/>
    <mergeCell ref="D130:E130"/>
    <mergeCell ref="D68:E68"/>
    <mergeCell ref="D42:E42"/>
    <mergeCell ref="F130:G130"/>
    <mergeCell ref="D82:E82"/>
    <mergeCell ref="F82:G82"/>
    <mergeCell ref="F60:G60"/>
    <mergeCell ref="D123:E123"/>
    <mergeCell ref="F123:G123"/>
    <mergeCell ref="D132:E132"/>
    <mergeCell ref="B2:I2"/>
    <mergeCell ref="F51:G51"/>
    <mergeCell ref="F104:G104"/>
    <mergeCell ref="F113:G113"/>
    <mergeCell ref="D136:E136"/>
    <mergeCell ref="D32:E32"/>
    <mergeCell ref="D145:E145"/>
    <mergeCell ref="F32:G32"/>
    <mergeCell ref="D41:E41"/>
    <mergeCell ref="D97:E97"/>
    <mergeCell ref="F26:G26"/>
    <mergeCell ref="F41:G41"/>
    <mergeCell ref="F97:G97"/>
    <mergeCell ref="F145:G145"/>
    <mergeCell ref="F35:G35"/>
    <mergeCell ref="F106:G106"/>
    <mergeCell ref="F129:G129"/>
    <mergeCell ref="D16:E16"/>
    <mergeCell ref="D87:E87"/>
    <mergeCell ref="F38:G38"/>
    <mergeCell ref="D43:E43"/>
    <mergeCell ref="F90:G90"/>
    <mergeCell ref="D122:E122"/>
    <mergeCell ref="D137:E137"/>
    <mergeCell ref="H4:I4"/>
    <mergeCell ref="D40:E40"/>
    <mergeCell ref="D80:E80"/>
    <mergeCell ref="F40:G40"/>
    <mergeCell ref="D111:E111"/>
    <mergeCell ref="F127:G127"/>
    <mergeCell ref="D21:E21"/>
    <mergeCell ref="F59:G59"/>
    <mergeCell ref="F55:G55"/>
    <mergeCell ref="D95:E95"/>
    <mergeCell ref="F24:G24"/>
    <mergeCell ref="F12:G12"/>
    <mergeCell ref="F95:G95"/>
    <mergeCell ref="D104:E104"/>
    <mergeCell ref="D57:E57"/>
    <mergeCell ref="D110:E110"/>
    <mergeCell ref="D44:E44"/>
    <mergeCell ref="D59:E59"/>
    <mergeCell ref="F44:G44"/>
    <mergeCell ref="F151:G151"/>
    <mergeCell ref="D67:E67"/>
    <mergeCell ref="D133:E133"/>
    <mergeCell ref="F49:G49"/>
    <mergeCell ref="D14:E14"/>
    <mergeCell ref="E4:G4"/>
    <mergeCell ref="F14:G14"/>
    <mergeCell ref="D54:E54"/>
    <mergeCell ref="D85:E85"/>
    <mergeCell ref="D94:E94"/>
    <mergeCell ref="F119:G119"/>
    <mergeCell ref="D69:E69"/>
    <mergeCell ref="F11:G11"/>
    <mergeCell ref="F69:G69"/>
    <mergeCell ref="D109:E109"/>
    <mergeCell ref="F78:G78"/>
    <mergeCell ref="F132:G132"/>
    <mergeCell ref="F112:G112"/>
    <mergeCell ref="F65:G65"/>
    <mergeCell ref="D119:E119"/>
    <mergeCell ref="D46:E46"/>
    <mergeCell ref="D147:E147"/>
    <mergeCell ref="F149:G149"/>
    <mergeCell ref="D102:E102"/>
    <mergeCell ref="D28:E28"/>
    <mergeCell ref="F102:G102"/>
    <mergeCell ref="D12:E12"/>
    <mergeCell ref="D25:E25"/>
    <mergeCell ref="D83:E83"/>
    <mergeCell ref="D143:E143"/>
    <mergeCell ref="F77:G77"/>
    <mergeCell ref="D92:E92"/>
    <mergeCell ref="D55:E55"/>
    <mergeCell ref="D30:E30"/>
    <mergeCell ref="F92:G92"/>
    <mergeCell ref="F117:G117"/>
    <mergeCell ref="D117:E117"/>
    <mergeCell ref="F8:G8"/>
    <mergeCell ref="D91:E91"/>
    <mergeCell ref="F91:G91"/>
    <mergeCell ref="F100:G100"/>
    <mergeCell ref="D106:E106"/>
    <mergeCell ref="A5:B5"/>
    <mergeCell ref="D146:E146"/>
    <mergeCell ref="F141:G141"/>
    <mergeCell ref="D93:E93"/>
    <mergeCell ref="F115:G115"/>
    <mergeCell ref="F22:G22"/>
    <mergeCell ref="F93:G93"/>
    <mergeCell ref="A1:I1"/>
    <mergeCell ref="D38:E38"/>
    <mergeCell ref="D89:E89"/>
    <mergeCell ref="D129:E129"/>
    <mergeCell ref="D79:E79"/>
    <mergeCell ref="F64:G64"/>
    <mergeCell ref="D144:E144"/>
    <mergeCell ref="F73:G73"/>
    <mergeCell ref="F87:G87"/>
    <mergeCell ref="D63:E63"/>
    <mergeCell ref="D128:E128"/>
    <mergeCell ref="D81:E81"/>
    <mergeCell ref="F128:G128"/>
    <mergeCell ref="F137:G137"/>
    <mergeCell ref="F89:G89"/>
    <mergeCell ref="F124:G124"/>
    <mergeCell ref="D96:E96"/>
    <mergeCell ref="D65:E65"/>
    <mergeCell ref="F7:G7"/>
    <mergeCell ref="D105:E105"/>
    <mergeCell ref="F21:G21"/>
    <mergeCell ref="D139:E139"/>
    <mergeCell ref="D52:E52"/>
    <mergeCell ref="F53:G53"/>
    <mergeCell ref="F150:G150"/>
    <mergeCell ref="F31:G31"/>
    <mergeCell ref="F46:G46"/>
    <mergeCell ref="F28:G28"/>
    <mergeCell ref="F111:G111"/>
    <mergeCell ref="D9:E9"/>
    <mergeCell ref="D118:E118"/>
    <mergeCell ref="F9:G9"/>
    <mergeCell ref="H3:I3"/>
    <mergeCell ref="D39:E39"/>
    <mergeCell ref="F61:G61"/>
    <mergeCell ref="F39:G39"/>
    <mergeCell ref="F48:G48"/>
    <mergeCell ref="D15:E15"/>
    <mergeCell ref="D142:E142"/>
    <mergeCell ref="D29:E29"/>
    <mergeCell ref="F136:G136"/>
    <mergeCell ref="D23:E23"/>
    <mergeCell ref="F147:G147"/>
    <mergeCell ref="F139:G139"/>
    <mergeCell ref="D49:E49"/>
    <mergeCell ref="D27:E27"/>
    <mergeCell ref="D120:E120"/>
    <mergeCell ref="F114:G114"/>
    <mergeCell ref="F6:G6"/>
    <mergeCell ref="F99:G99"/>
    <mergeCell ref="D131:E131"/>
    <mergeCell ref="F74:G74"/>
    <mergeCell ref="D140:E140"/>
    <mergeCell ref="F83:G83"/>
    <mergeCell ref="D101:E101"/>
    <mergeCell ref="F30:G30"/>
    <mergeCell ref="D124:E124"/>
    <mergeCell ref="D11:E11"/>
    <mergeCell ref="D76:E76"/>
    <mergeCell ref="F138:G138"/>
    <mergeCell ref="F20:G20"/>
    <mergeCell ref="F18:G18"/>
    <mergeCell ref="F76:G76"/>
    <mergeCell ref="F45:G45"/>
    <mergeCell ref="F33:G33"/>
    <mergeCell ref="F85:G85"/>
    <mergeCell ref="F42:G42"/>
    <mergeCell ref="F94:G94"/>
    <mergeCell ref="D66:E66"/>
    <mergeCell ref="D126:E126"/>
    <mergeCell ref="F66:G66"/>
    <mergeCell ref="D75:E75"/>
    <mergeCell ref="F148:G148"/>
    <mergeCell ref="D35:E35"/>
    <mergeCell ref="D115:E115"/>
    <mergeCell ref="D10:E10"/>
    <mergeCell ref="D138:E138"/>
    <mergeCell ref="F10:G10"/>
    <mergeCell ref="F54:G54"/>
    <mergeCell ref="D19:E19"/>
    <mergeCell ref="D34:E34"/>
    <mergeCell ref="F63:G63"/>
    <mergeCell ref="D90:E90"/>
    <mergeCell ref="F19:G19"/>
    <mergeCell ref="F146:G146"/>
    <mergeCell ref="D99:E99"/>
    <mergeCell ref="F34:G34"/>
    <mergeCell ref="F126:G126"/>
    <mergeCell ref="D53:E53"/>
    <mergeCell ref="F75:G75"/>
    <mergeCell ref="F17:G17"/>
    <mergeCell ref="D47:E47"/>
    <mergeCell ref="F109:G109"/>
    <mergeCell ref="F47:G47"/>
    <mergeCell ref="F62:G62"/>
    <mergeCell ref="D103:E103"/>
    <mergeCell ref="B4:D4"/>
    <mergeCell ref="F23:G23"/>
    <mergeCell ref="F81:G81"/>
    <mergeCell ref="F121:G121"/>
    <mergeCell ref="D62:E62"/>
    <mergeCell ref="F13:G13"/>
    <mergeCell ref="D71:E71"/>
    <mergeCell ref="D127:E127"/>
    <mergeCell ref="F56:G56"/>
    <mergeCell ref="F96:G96"/>
    <mergeCell ref="F71:G71"/>
    <mergeCell ref="D56:E56"/>
    <mergeCell ref="F105:G105"/>
    <mergeCell ref="D114:E114"/>
    <mergeCell ref="F43:G43"/>
    <mergeCell ref="D24:E24"/>
    <mergeCell ref="D64:E64"/>
    <mergeCell ref="D33:E33"/>
    <mergeCell ref="D98:E98"/>
    <mergeCell ref="F120:G120"/>
    <mergeCell ref="D73:E73"/>
    <mergeCell ref="D51:E51"/>
    <mergeCell ref="F98:G98"/>
    <mergeCell ref="D113:E113"/>
    <mergeCell ref="D151:E151"/>
    <mergeCell ref="F80:G80"/>
    <mergeCell ref="D13:E13"/>
    <mergeCell ref="D61:E61"/>
    <mergeCell ref="D141:E141"/>
    <mergeCell ref="D70:E70"/>
    <mergeCell ref="D135:E135"/>
    <mergeCell ref="D48:E48"/>
    <mergeCell ref="F70:G70"/>
    <mergeCell ref="D150:E150"/>
    <mergeCell ref="F135:G135"/>
    <mergeCell ref="F79:G79"/>
    <mergeCell ref="F144:G144"/>
    <mergeCell ref="F122:G122"/>
    <mergeCell ref="D125:E125"/>
    <mergeCell ref="D72:E72"/>
    <mergeCell ref="F125:G125"/>
    <mergeCell ref="D78:E78"/>
    <mergeCell ref="F72:G72"/>
    <mergeCell ref="D134:E134"/>
    <mergeCell ref="F134:G134"/>
    <mergeCell ref="D112:E112"/>
    <mergeCell ref="F107:G107"/>
    <mergeCell ref="D88:E88"/>
    <mergeCell ref="C5:G5"/>
    <mergeCell ref="D84:E84"/>
    <mergeCell ref="D22:E22"/>
    <mergeCell ref="F84:G84"/>
    <mergeCell ref="D36:E36"/>
    <mergeCell ref="D149:E149"/>
    <mergeCell ref="D31:E31"/>
    <mergeCell ref="F143:G143"/>
    <mergeCell ref="F118:G118"/>
    <mergeCell ref="D45:E45"/>
    <mergeCell ref="D50:E50"/>
    <mergeCell ref="D6:E6"/>
    <mergeCell ref="D77:E77"/>
    <mergeCell ref="D108:E108"/>
    <mergeCell ref="D86:E86"/>
    <mergeCell ref="F15:G15"/>
    <mergeCell ref="F133:G133"/>
    <mergeCell ref="F86:G86"/>
    <mergeCell ref="F142:G142"/>
    <mergeCell ref="D7:E7"/>
    <mergeCell ref="D26:E26"/>
    <mergeCell ref="F57:G57"/>
    <mergeCell ref="D148:E148"/>
    <mergeCell ref="F88:G88"/>
    <mergeCell ref="D20:E20"/>
    <mergeCell ref="D60:E60"/>
    <mergeCell ref="D100:E100"/>
    <mergeCell ref="F29:G29"/>
    <mergeCell ref="F16:G16"/>
    <mergeCell ref="F116:G116"/>
    <mergeCell ref="F68:G68"/>
    <mergeCell ref="F25:G25"/>
    <mergeCell ref="F103:G103"/>
    <mergeCell ref="F108:G108"/>
    <mergeCell ref="D37:E37"/>
    <mergeCell ref="D107:E107"/>
    <mergeCell ref="F36:G36"/>
    <mergeCell ref="D116:E116"/>
    <mergeCell ref="F50:G50"/>
    <mergeCell ref="F101:G101"/>
    <mergeCell ref="F110:G110"/>
    <mergeCell ref="D17:E1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O201"/>
  <sheetViews>
    <sheetView zoomScale="90" zoomScaleNormal="90" workbookViewId="0">
      <pane ySplit="6" topLeftCell="A55" activePane="bottomLeft" state="frozen"/>
      <selection activeCell="A53" sqref="A53"/>
      <selection pane="bottomLeft" activeCell="A53" sqref="A5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5.44140625" style="246" customWidth="1"/>
    <col min="7" max="7" width="4.44140625" style="246" customWidth="1"/>
    <col min="8" max="8" width="9" style="246" customWidth="1"/>
    <col min="9" max="9" width="23.77734375" style="246" customWidth="1"/>
    <col min="10" max="10" width="16" style="246" bestFit="1" customWidth="1"/>
  </cols>
  <sheetData>
    <row r="1" spans="1:15" ht="34.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31" t="s">
        <v>437</v>
      </c>
      <c r="K1" s="188" t="s">
        <v>597</v>
      </c>
      <c r="L1" s="38" t="s">
        <v>515</v>
      </c>
      <c r="M1" s="38" t="s">
        <v>324</v>
      </c>
      <c r="N1" s="1"/>
      <c r="O1" s="1"/>
    </row>
    <row r="2" spans="1:15" ht="34.950000000000003" customHeight="1">
      <c r="A2" s="33" t="s">
        <v>710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711</v>
      </c>
      <c r="C3" s="263"/>
      <c r="D3" s="260"/>
      <c r="E3" s="266" t="s">
        <v>11</v>
      </c>
      <c r="F3" s="263"/>
      <c r="G3" s="260"/>
      <c r="H3" s="268" t="s">
        <v>712</v>
      </c>
      <c r="I3" s="269"/>
      <c r="J3" s="19" t="str">
        <f>B3</f>
        <v>Imovane 7.5mg</v>
      </c>
      <c r="K3" s="34" t="s">
        <v>713</v>
      </c>
      <c r="L3" s="5">
        <f>H7</f>
        <v>323</v>
      </c>
      <c r="M3" s="3">
        <f>SUM(C$8:C$1048576)</f>
        <v>1680</v>
      </c>
      <c r="N3" s="3">
        <f>SUM(F:F)</f>
        <v>1566.5</v>
      </c>
      <c r="O3" s="3">
        <f>L3+M3-N3</f>
        <v>436.5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714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715</v>
      </c>
      <c r="D5" s="263"/>
      <c r="E5" s="263"/>
      <c r="F5" s="263"/>
      <c r="G5" s="260"/>
      <c r="H5" s="95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98" customFormat="1" ht="15.75" customHeight="1">
      <c r="A6" s="94" t="s">
        <v>22</v>
      </c>
      <c r="B6" s="95" t="s">
        <v>23</v>
      </c>
      <c r="C6" s="95" t="s">
        <v>24</v>
      </c>
      <c r="D6" s="306" t="s">
        <v>25</v>
      </c>
      <c r="E6" s="260"/>
      <c r="F6" s="306" t="s">
        <v>26</v>
      </c>
      <c r="G6" s="260"/>
      <c r="H6" s="95" t="s">
        <v>27</v>
      </c>
      <c r="I6" s="77" t="s">
        <v>28</v>
      </c>
      <c r="J6" s="96"/>
      <c r="K6" s="97"/>
      <c r="L6" s="97"/>
      <c r="M6" s="97"/>
      <c r="N6" s="97"/>
      <c r="O6" s="97"/>
    </row>
    <row r="7" spans="1:15" ht="31.95" customHeight="1">
      <c r="A7" s="196" t="s">
        <v>29</v>
      </c>
      <c r="B7" s="155" t="s">
        <v>5</v>
      </c>
      <c r="C7" s="155">
        <v>323</v>
      </c>
      <c r="D7" s="280"/>
      <c r="E7" s="260"/>
      <c r="F7" s="280"/>
      <c r="G7" s="260"/>
      <c r="H7" s="155">
        <v>323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t="s">
        <v>29</v>
      </c>
      <c r="B8" s="38" t="s">
        <v>323</v>
      </c>
      <c r="C8" s="38"/>
      <c r="D8" s="279"/>
      <c r="E8" s="260"/>
      <c r="F8" s="279">
        <v>30</v>
      </c>
      <c r="G8" s="260"/>
      <c r="H8" s="38">
        <f>H7-F8</f>
        <v>293</v>
      </c>
      <c r="I8" s="37"/>
      <c r="J8" s="12"/>
      <c r="K8" s="3"/>
      <c r="L8" s="3"/>
      <c r="M8" s="3"/>
      <c r="N8" s="3"/>
      <c r="O8" s="3"/>
    </row>
    <row r="9" spans="1:15" ht="26.7" customHeight="1">
      <c r="A9" s="39" t="s">
        <v>521</v>
      </c>
      <c r="B9" s="38" t="s">
        <v>323</v>
      </c>
      <c r="C9" s="38"/>
      <c r="D9" s="279"/>
      <c r="E9" s="260"/>
      <c r="F9" s="279">
        <v>30</v>
      </c>
      <c r="G9" s="260"/>
      <c r="H9" s="38">
        <f>H8-F9</f>
        <v>263</v>
      </c>
      <c r="I9" s="37"/>
      <c r="J9" s="12"/>
      <c r="K9" s="3"/>
      <c r="L9" s="3"/>
      <c r="M9" s="3"/>
      <c r="N9" s="3"/>
      <c r="O9" s="3"/>
    </row>
    <row r="10" spans="1:15" ht="26.7" customHeight="1">
      <c r="A10" s="39" t="s">
        <v>333</v>
      </c>
      <c r="B10" s="38" t="s">
        <v>323</v>
      </c>
      <c r="C10" s="38"/>
      <c r="D10" s="279"/>
      <c r="E10" s="260"/>
      <c r="F10" s="279">
        <v>28</v>
      </c>
      <c r="G10" s="260"/>
      <c r="H10" s="38">
        <f>H9-F10</f>
        <v>235</v>
      </c>
      <c r="I10" s="37"/>
      <c r="J10" s="12"/>
      <c r="K10" s="3"/>
      <c r="L10" s="3"/>
      <c r="M10" s="3"/>
      <c r="N10" s="3"/>
      <c r="O10" s="3"/>
    </row>
    <row r="11" spans="1:15" ht="26.7" customHeight="1">
      <c r="A11" s="39" t="s">
        <v>334</v>
      </c>
      <c r="B11" s="38" t="s">
        <v>323</v>
      </c>
      <c r="C11" s="38"/>
      <c r="D11" s="279"/>
      <c r="E11" s="260"/>
      <c r="F11" s="279">
        <v>28</v>
      </c>
      <c r="G11" s="260"/>
      <c r="H11" s="38">
        <f>H10-F11</f>
        <v>207</v>
      </c>
      <c r="I11" s="37"/>
      <c r="J11" s="12"/>
      <c r="K11" s="3"/>
      <c r="L11" s="3"/>
      <c r="M11" s="3"/>
      <c r="N11" s="3"/>
      <c r="O11" s="3"/>
    </row>
    <row r="12" spans="1:15" ht="26.7" customHeight="1">
      <c r="A12" s="39" t="s">
        <v>335</v>
      </c>
      <c r="B12" s="38" t="s">
        <v>323</v>
      </c>
      <c r="C12" s="38"/>
      <c r="D12" s="279"/>
      <c r="E12" s="260"/>
      <c r="F12" s="279">
        <v>28</v>
      </c>
      <c r="G12" s="260"/>
      <c r="H12" s="38">
        <f>H11-F12</f>
        <v>179</v>
      </c>
      <c r="I12" s="26"/>
      <c r="J12" s="12"/>
      <c r="K12" s="3"/>
      <c r="L12" s="3"/>
      <c r="M12" s="3"/>
      <c r="N12" s="3"/>
      <c r="O12" s="3"/>
    </row>
    <row r="13" spans="1:15" ht="26.7" customHeight="1">
      <c r="A13" s="39" t="s">
        <v>716</v>
      </c>
      <c r="B13" s="38" t="s">
        <v>324</v>
      </c>
      <c r="C13" s="38">
        <v>280</v>
      </c>
      <c r="D13" s="279" t="s">
        <v>717</v>
      </c>
      <c r="E13" s="260"/>
      <c r="F13" s="279"/>
      <c r="G13" s="260"/>
      <c r="H13" s="38">
        <v>459</v>
      </c>
      <c r="I13" s="90" t="s">
        <v>605</v>
      </c>
      <c r="J13" s="12"/>
      <c r="K13" s="3"/>
      <c r="L13" s="3"/>
      <c r="M13" s="3"/>
      <c r="N13" s="3"/>
      <c r="O13" s="3"/>
    </row>
    <row r="14" spans="1:15" ht="26.7" customHeight="1">
      <c r="A14" s="39" t="s">
        <v>465</v>
      </c>
      <c r="B14" s="38" t="s">
        <v>323</v>
      </c>
      <c r="C14" s="38"/>
      <c r="D14" s="279"/>
      <c r="E14" s="260"/>
      <c r="F14" s="279">
        <v>30</v>
      </c>
      <c r="G14" s="260"/>
      <c r="H14" s="38">
        <f t="shared" ref="H14:H21" si="0">H13-F14</f>
        <v>429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472</v>
      </c>
      <c r="B15" s="38" t="s">
        <v>323</v>
      </c>
      <c r="C15" s="38"/>
      <c r="D15" s="279"/>
      <c r="E15" s="260"/>
      <c r="F15" s="279">
        <v>58</v>
      </c>
      <c r="G15" s="260"/>
      <c r="H15" s="38">
        <f t="shared" si="0"/>
        <v>371</v>
      </c>
      <c r="I15" s="38"/>
      <c r="J15" s="12"/>
      <c r="K15" s="3"/>
      <c r="L15" s="3"/>
      <c r="M15" s="3"/>
      <c r="N15" s="3"/>
      <c r="O15" s="3"/>
    </row>
    <row r="16" spans="1:15" ht="26.7" customHeight="1">
      <c r="A16" s="39" t="s">
        <v>338</v>
      </c>
      <c r="B16" s="38" t="s">
        <v>323</v>
      </c>
      <c r="C16" s="38"/>
      <c r="D16" s="279"/>
      <c r="E16" s="260"/>
      <c r="F16" s="279">
        <v>30</v>
      </c>
      <c r="G16" s="260"/>
      <c r="H16" s="38">
        <f t="shared" si="0"/>
        <v>341</v>
      </c>
      <c r="I16" s="26"/>
      <c r="J16" s="12"/>
    </row>
    <row r="17" spans="1:10" ht="26.7" customHeight="1">
      <c r="A17" s="39" t="s">
        <v>383</v>
      </c>
      <c r="B17" s="38" t="s">
        <v>323</v>
      </c>
      <c r="C17" s="38"/>
      <c r="D17" s="279"/>
      <c r="E17" s="260"/>
      <c r="F17" s="279">
        <v>28</v>
      </c>
      <c r="G17" s="260"/>
      <c r="H17" s="38">
        <f t="shared" si="0"/>
        <v>313</v>
      </c>
      <c r="I17" s="26"/>
      <c r="J17" s="12"/>
    </row>
    <row r="18" spans="1:10" ht="26.7" customHeight="1">
      <c r="A18" s="39" t="s">
        <v>339</v>
      </c>
      <c r="B18" s="38" t="s">
        <v>323</v>
      </c>
      <c r="C18" s="38"/>
      <c r="D18" s="279"/>
      <c r="E18" s="260"/>
      <c r="F18" s="279">
        <v>28</v>
      </c>
      <c r="G18" s="260"/>
      <c r="H18" s="38">
        <f t="shared" si="0"/>
        <v>285</v>
      </c>
      <c r="I18" s="26"/>
      <c r="J18" s="12"/>
    </row>
    <row r="19" spans="1:10" ht="26.7" customHeight="1">
      <c r="A19" s="39" t="s">
        <v>340</v>
      </c>
      <c r="B19" s="38" t="s">
        <v>323</v>
      </c>
      <c r="C19" s="38"/>
      <c r="D19" s="279"/>
      <c r="E19" s="260"/>
      <c r="F19" s="279">
        <v>28</v>
      </c>
      <c r="G19" s="260"/>
      <c r="H19" s="38">
        <f t="shared" si="0"/>
        <v>257</v>
      </c>
      <c r="I19" s="26"/>
      <c r="J19" s="12"/>
    </row>
    <row r="20" spans="1:10" ht="26.7" customHeight="1">
      <c r="A20" s="39" t="s">
        <v>342</v>
      </c>
      <c r="B20" s="38" t="s">
        <v>323</v>
      </c>
      <c r="C20" s="38"/>
      <c r="D20" s="279"/>
      <c r="E20" s="260"/>
      <c r="F20" s="279">
        <v>60</v>
      </c>
      <c r="G20" s="260"/>
      <c r="H20" s="38">
        <f t="shared" si="0"/>
        <v>197</v>
      </c>
      <c r="I20" s="26"/>
      <c r="J20" s="12"/>
    </row>
    <row r="21" spans="1:10" ht="26.7" customHeight="1">
      <c r="A21" s="39" t="s">
        <v>478</v>
      </c>
      <c r="B21" s="38" t="s">
        <v>323</v>
      </c>
      <c r="C21" s="38"/>
      <c r="D21" s="279"/>
      <c r="E21" s="260"/>
      <c r="F21" s="279">
        <v>56</v>
      </c>
      <c r="G21" s="260"/>
      <c r="H21" s="38">
        <f t="shared" si="0"/>
        <v>141</v>
      </c>
      <c r="I21" s="26"/>
      <c r="J21" s="12"/>
    </row>
    <row r="22" spans="1:10" ht="26.7" customHeight="1">
      <c r="A22" s="39" t="s">
        <v>479</v>
      </c>
      <c r="B22" s="38" t="s">
        <v>324</v>
      </c>
      <c r="C22" s="155">
        <v>280</v>
      </c>
      <c r="D22" s="280" t="s">
        <v>718</v>
      </c>
      <c r="E22" s="260"/>
      <c r="F22" s="280"/>
      <c r="G22" s="260"/>
      <c r="H22" s="38">
        <v>421</v>
      </c>
      <c r="I22" s="26" t="s">
        <v>414</v>
      </c>
      <c r="J22" s="12"/>
    </row>
    <row r="23" spans="1:10" ht="26.7" customHeight="1">
      <c r="A23" s="39" t="s">
        <v>438</v>
      </c>
      <c r="B23" s="38" t="s">
        <v>323</v>
      </c>
      <c r="C23" s="38"/>
      <c r="D23" s="279"/>
      <c r="E23" s="260"/>
      <c r="F23" s="279">
        <v>30</v>
      </c>
      <c r="G23" s="260"/>
      <c r="H23" s="38">
        <f t="shared" ref="H23:H31" si="1">H22-F23</f>
        <v>391</v>
      </c>
      <c r="I23" s="26"/>
      <c r="J23" s="12"/>
    </row>
    <row r="24" spans="1:10" ht="26.7" customHeight="1">
      <c r="A24" s="39" t="s">
        <v>634</v>
      </c>
      <c r="B24" s="38" t="s">
        <v>323</v>
      </c>
      <c r="C24" s="38"/>
      <c r="D24" s="279"/>
      <c r="E24" s="260"/>
      <c r="F24" s="279">
        <v>14</v>
      </c>
      <c r="G24" s="260"/>
      <c r="H24" s="38">
        <f t="shared" si="1"/>
        <v>377</v>
      </c>
      <c r="I24" s="26"/>
      <c r="J24" s="12"/>
    </row>
    <row r="25" spans="1:10" ht="26.7" customHeight="1">
      <c r="A25" s="39" t="s">
        <v>349</v>
      </c>
      <c r="B25" s="38" t="s">
        <v>323</v>
      </c>
      <c r="C25" s="38"/>
      <c r="D25" s="279"/>
      <c r="E25" s="260"/>
      <c r="F25" s="279">
        <v>56</v>
      </c>
      <c r="G25" s="260"/>
      <c r="H25" s="38">
        <f t="shared" si="1"/>
        <v>321</v>
      </c>
      <c r="I25" s="26"/>
      <c r="J25" s="12"/>
    </row>
    <row r="26" spans="1:10" ht="26.7" customHeight="1">
      <c r="A26" s="39" t="s">
        <v>439</v>
      </c>
      <c r="B26" s="38" t="s">
        <v>323</v>
      </c>
      <c r="C26" s="38"/>
      <c r="D26" s="279"/>
      <c r="E26" s="260"/>
      <c r="F26" s="279">
        <v>14</v>
      </c>
      <c r="G26" s="260"/>
      <c r="H26" s="38">
        <f t="shared" si="1"/>
        <v>307</v>
      </c>
      <c r="I26" s="26"/>
      <c r="J26" s="12"/>
    </row>
    <row r="27" spans="1:10" ht="26.7" customHeight="1" thickBot="1">
      <c r="A27" s="39" t="s">
        <v>535</v>
      </c>
      <c r="B27" s="38" t="s">
        <v>323</v>
      </c>
      <c r="C27" s="38"/>
      <c r="D27" s="279"/>
      <c r="E27" s="260"/>
      <c r="F27" s="279">
        <v>42</v>
      </c>
      <c r="G27" s="260"/>
      <c r="H27" s="38">
        <f t="shared" si="1"/>
        <v>265</v>
      </c>
      <c r="I27" s="32"/>
      <c r="J27" s="12"/>
    </row>
    <row r="28" spans="1:10" ht="21" customHeight="1">
      <c r="A28" s="39" t="s">
        <v>536</v>
      </c>
      <c r="B28" s="38" t="s">
        <v>323</v>
      </c>
      <c r="C28" s="38"/>
      <c r="D28" s="279"/>
      <c r="E28" s="260"/>
      <c r="F28" s="279">
        <v>30</v>
      </c>
      <c r="G28" s="260"/>
      <c r="H28" s="38">
        <f t="shared" si="1"/>
        <v>235</v>
      </c>
      <c r="I28" s="16"/>
    </row>
    <row r="29" spans="1:10" ht="21" customHeight="1">
      <c r="A29" s="39" t="s">
        <v>351</v>
      </c>
      <c r="B29" s="38" t="s">
        <v>323</v>
      </c>
      <c r="C29" s="38"/>
      <c r="D29" s="279"/>
      <c r="E29" s="260"/>
      <c r="F29" s="279">
        <v>58</v>
      </c>
      <c r="G29" s="260"/>
      <c r="H29" s="38">
        <f t="shared" si="1"/>
        <v>177</v>
      </c>
      <c r="I29" s="7" t="s">
        <v>414</v>
      </c>
    </row>
    <row r="30" spans="1:10" ht="21" customHeight="1">
      <c r="A30" s="39" t="s">
        <v>390</v>
      </c>
      <c r="B30" s="38" t="s">
        <v>323</v>
      </c>
      <c r="C30" s="38"/>
      <c r="D30" s="279"/>
      <c r="E30" s="260"/>
      <c r="F30" s="279">
        <v>58</v>
      </c>
      <c r="G30" s="260"/>
      <c r="H30" s="38">
        <f t="shared" si="1"/>
        <v>119</v>
      </c>
      <c r="I30" s="7"/>
    </row>
    <row r="31" spans="1:10" ht="21" customHeight="1">
      <c r="A31" s="39" t="s">
        <v>440</v>
      </c>
      <c r="B31" s="38" t="s">
        <v>323</v>
      </c>
      <c r="C31" s="38"/>
      <c r="D31" s="279"/>
      <c r="E31" s="260"/>
      <c r="F31" s="279">
        <v>28</v>
      </c>
      <c r="G31" s="260"/>
      <c r="H31" s="38">
        <f t="shared" si="1"/>
        <v>91</v>
      </c>
      <c r="I31" s="7"/>
    </row>
    <row r="32" spans="1:10" ht="21" customHeight="1">
      <c r="A32" s="39" t="s">
        <v>486</v>
      </c>
      <c r="B32" s="38" t="s">
        <v>324</v>
      </c>
      <c r="C32" s="38">
        <v>280</v>
      </c>
      <c r="D32" s="279" t="s">
        <v>718</v>
      </c>
      <c r="E32" s="260"/>
      <c r="F32" s="279"/>
      <c r="G32" s="260"/>
      <c r="H32" s="38">
        <v>371</v>
      </c>
      <c r="I32" s="7" t="s">
        <v>414</v>
      </c>
    </row>
    <row r="33" spans="1:9" ht="21" customHeight="1">
      <c r="A33" s="39" t="s">
        <v>489</v>
      </c>
      <c r="B33" s="38" t="s">
        <v>323</v>
      </c>
      <c r="C33" s="38"/>
      <c r="D33" s="279"/>
      <c r="E33" s="260"/>
      <c r="F33" s="279">
        <v>56</v>
      </c>
      <c r="G33" s="260"/>
      <c r="H33" s="38">
        <f t="shared" ref="H33:H38" si="2">H32-F33</f>
        <v>315</v>
      </c>
      <c r="I33" s="7"/>
    </row>
    <row r="34" spans="1:9" ht="28.95" customHeight="1">
      <c r="A34" s="39" t="s">
        <v>391</v>
      </c>
      <c r="B34" s="38" t="s">
        <v>323</v>
      </c>
      <c r="C34" s="38"/>
      <c r="D34" s="279"/>
      <c r="E34" s="260"/>
      <c r="F34" s="279">
        <v>28</v>
      </c>
      <c r="G34" s="260"/>
      <c r="H34" s="38">
        <f t="shared" si="2"/>
        <v>287</v>
      </c>
      <c r="I34" s="7"/>
    </row>
    <row r="35" spans="1:9" ht="28.95" customHeight="1">
      <c r="A35" s="39" t="s">
        <v>541</v>
      </c>
      <c r="B35" s="38" t="s">
        <v>323</v>
      </c>
      <c r="C35" s="38"/>
      <c r="D35" s="279"/>
      <c r="E35" s="260"/>
      <c r="F35" s="279">
        <v>1.5</v>
      </c>
      <c r="G35" s="260"/>
      <c r="H35" s="38">
        <f t="shared" si="2"/>
        <v>285.5</v>
      </c>
      <c r="I35" s="7"/>
    </row>
    <row r="36" spans="1:9" ht="28.95" customHeight="1">
      <c r="A36" s="39" t="s">
        <v>542</v>
      </c>
      <c r="B36" s="38" t="s">
        <v>323</v>
      </c>
      <c r="C36" s="38"/>
      <c r="D36" s="279"/>
      <c r="E36" s="260"/>
      <c r="F36" s="279">
        <v>3</v>
      </c>
      <c r="G36" s="260"/>
      <c r="H36" s="38">
        <f t="shared" si="2"/>
        <v>282.5</v>
      </c>
      <c r="I36" s="7" t="s">
        <v>414</v>
      </c>
    </row>
    <row r="37" spans="1:9" ht="28.95" customHeight="1">
      <c r="A37" s="39" t="s">
        <v>418</v>
      </c>
      <c r="B37" s="38" t="s">
        <v>323</v>
      </c>
      <c r="C37" s="38"/>
      <c r="D37" s="279"/>
      <c r="E37" s="260"/>
      <c r="F37" s="279">
        <v>28</v>
      </c>
      <c r="G37" s="260"/>
      <c r="H37" s="38">
        <f t="shared" si="2"/>
        <v>254.5</v>
      </c>
      <c r="I37" s="7"/>
    </row>
    <row r="38" spans="1:9" ht="28.95" customHeight="1">
      <c r="A38" s="39" t="s">
        <v>492</v>
      </c>
      <c r="B38" s="38" t="s">
        <v>323</v>
      </c>
      <c r="C38" s="38"/>
      <c r="D38" s="279"/>
      <c r="E38" s="260"/>
      <c r="F38" s="279">
        <v>30</v>
      </c>
      <c r="G38" s="260"/>
      <c r="H38" s="38">
        <f t="shared" si="2"/>
        <v>224.5</v>
      </c>
      <c r="I38" s="7"/>
    </row>
    <row r="39" spans="1:9" ht="28.95" customHeight="1">
      <c r="A39" s="39" t="s">
        <v>719</v>
      </c>
      <c r="B39" s="38" t="s">
        <v>324</v>
      </c>
      <c r="C39" s="38">
        <v>280</v>
      </c>
      <c r="D39" s="279" t="s">
        <v>720</v>
      </c>
      <c r="E39" s="260"/>
      <c r="F39" s="279"/>
      <c r="G39" s="260"/>
      <c r="H39" s="38">
        <v>504.5</v>
      </c>
      <c r="I39" s="109" t="s">
        <v>437</v>
      </c>
    </row>
    <row r="40" spans="1:9" ht="28.95" customHeight="1">
      <c r="A40" s="39" t="s">
        <v>444</v>
      </c>
      <c r="B40" s="38" t="s">
        <v>323</v>
      </c>
      <c r="C40" s="38"/>
      <c r="D40" s="279"/>
      <c r="E40" s="260"/>
      <c r="F40" s="279">
        <v>7</v>
      </c>
      <c r="G40" s="260"/>
      <c r="H40" s="38">
        <f t="shared" ref="H40:H48" si="3">H39-F40</f>
        <v>497.5</v>
      </c>
      <c r="I40" s="11"/>
    </row>
    <row r="41" spans="1:9" ht="28.95" customHeight="1">
      <c r="A41" s="39" t="s">
        <v>356</v>
      </c>
      <c r="B41" s="38" t="s">
        <v>323</v>
      </c>
      <c r="C41" s="38"/>
      <c r="D41" s="279"/>
      <c r="E41" s="260"/>
      <c r="F41" s="279">
        <v>56</v>
      </c>
      <c r="G41" s="260"/>
      <c r="H41" s="38">
        <f t="shared" si="3"/>
        <v>441.5</v>
      </c>
      <c r="I41" s="7"/>
    </row>
    <row r="42" spans="1:9" ht="28.95" customHeight="1">
      <c r="A42" s="39" t="s">
        <v>496</v>
      </c>
      <c r="B42" s="38" t="s">
        <v>323</v>
      </c>
      <c r="C42" s="38"/>
      <c r="D42" s="279"/>
      <c r="E42" s="260"/>
      <c r="F42" s="279">
        <v>21</v>
      </c>
      <c r="G42" s="260"/>
      <c r="H42" s="38">
        <f t="shared" si="3"/>
        <v>420.5</v>
      </c>
      <c r="I42" s="109"/>
    </row>
    <row r="43" spans="1:9" ht="28.95" customHeight="1">
      <c r="A43" s="39" t="s">
        <v>498</v>
      </c>
      <c r="B43" s="38" t="s">
        <v>323</v>
      </c>
      <c r="C43" s="38"/>
      <c r="D43" s="279"/>
      <c r="E43" s="260"/>
      <c r="F43" s="279">
        <v>28</v>
      </c>
      <c r="G43" s="260"/>
      <c r="H43" s="38">
        <f t="shared" si="3"/>
        <v>392.5</v>
      </c>
      <c r="I43" s="7"/>
    </row>
    <row r="44" spans="1:9" ht="28.95" customHeight="1">
      <c r="A44" s="39" t="s">
        <v>606</v>
      </c>
      <c r="B44" s="38" t="s">
        <v>323</v>
      </c>
      <c r="C44" s="38"/>
      <c r="D44" s="279"/>
      <c r="E44" s="260"/>
      <c r="F44" s="279">
        <v>28</v>
      </c>
      <c r="G44" s="260"/>
      <c r="H44" s="38">
        <f t="shared" si="3"/>
        <v>364.5</v>
      </c>
      <c r="I44" s="7"/>
    </row>
    <row r="45" spans="1:9" ht="28.95" customHeight="1">
      <c r="A45" s="39" t="s">
        <v>548</v>
      </c>
      <c r="B45" s="38" t="s">
        <v>323</v>
      </c>
      <c r="C45" s="38"/>
      <c r="D45" s="279"/>
      <c r="E45" s="260"/>
      <c r="F45" s="279">
        <v>30</v>
      </c>
      <c r="G45" s="260"/>
      <c r="H45" s="38">
        <f t="shared" si="3"/>
        <v>334.5</v>
      </c>
      <c r="I45" s="7"/>
    </row>
    <row r="46" spans="1:9" ht="28.95" customHeight="1">
      <c r="A46" s="39" t="s">
        <v>500</v>
      </c>
      <c r="B46" s="38" t="s">
        <v>323</v>
      </c>
      <c r="C46" s="38"/>
      <c r="D46" s="279"/>
      <c r="E46" s="260"/>
      <c r="F46" s="279">
        <v>28</v>
      </c>
      <c r="G46" s="260"/>
      <c r="H46" s="38">
        <f t="shared" si="3"/>
        <v>306.5</v>
      </c>
      <c r="I46" s="7" t="s">
        <v>414</v>
      </c>
    </row>
    <row r="47" spans="1:9" ht="28.95" customHeight="1">
      <c r="A47" s="39" t="s">
        <v>449</v>
      </c>
      <c r="B47" s="38" t="s">
        <v>323</v>
      </c>
      <c r="C47" s="38"/>
      <c r="D47" s="279"/>
      <c r="E47" s="260"/>
      <c r="F47" s="279">
        <v>30</v>
      </c>
      <c r="G47" s="260"/>
      <c r="H47" s="38">
        <f t="shared" si="3"/>
        <v>276.5</v>
      </c>
      <c r="I47" s="16"/>
    </row>
    <row r="48" spans="1:9" ht="28.95" customHeight="1">
      <c r="A48" s="39" t="s">
        <v>359</v>
      </c>
      <c r="B48" s="38" t="s">
        <v>323</v>
      </c>
      <c r="C48" s="38"/>
      <c r="D48" s="279"/>
      <c r="E48" s="260"/>
      <c r="F48" s="279">
        <v>58</v>
      </c>
      <c r="G48" s="260"/>
      <c r="H48" s="38">
        <f t="shared" si="3"/>
        <v>218.5</v>
      </c>
      <c r="I48" s="7"/>
    </row>
    <row r="49" spans="1:9" ht="28.95" customHeight="1">
      <c r="A49" s="39" t="s">
        <v>397</v>
      </c>
      <c r="B49" s="38" t="s">
        <v>324</v>
      </c>
      <c r="C49" s="38">
        <v>280</v>
      </c>
      <c r="D49" s="279" t="s">
        <v>720</v>
      </c>
      <c r="E49" s="260"/>
      <c r="F49" s="279"/>
      <c r="G49" s="260"/>
      <c r="H49" s="38">
        <v>498.5</v>
      </c>
      <c r="I49" s="7" t="s">
        <v>566</v>
      </c>
    </row>
    <row r="50" spans="1:9" ht="28.95" customHeight="1">
      <c r="A50" s="39" t="s">
        <v>502</v>
      </c>
      <c r="B50" s="38" t="s">
        <v>323</v>
      </c>
      <c r="C50" s="38"/>
      <c r="D50" s="279"/>
      <c r="E50" s="260"/>
      <c r="F50" s="279">
        <v>30</v>
      </c>
      <c r="G50" s="260"/>
      <c r="H50" s="38">
        <f t="shared" ref="H50:H57" si="4">H49-F50</f>
        <v>468.5</v>
      </c>
      <c r="I50" s="7"/>
    </row>
    <row r="51" spans="1:9" ht="28.95" customHeight="1">
      <c r="A51" s="39" t="s">
        <v>549</v>
      </c>
      <c r="B51" s="38" t="s">
        <v>323</v>
      </c>
      <c r="C51" s="38"/>
      <c r="D51" s="279"/>
      <c r="E51" s="260"/>
      <c r="F51" s="279">
        <v>28</v>
      </c>
      <c r="G51" s="260"/>
      <c r="H51" s="38">
        <f t="shared" si="4"/>
        <v>440.5</v>
      </c>
      <c r="I51" s="7"/>
    </row>
    <row r="52" spans="1:9" ht="28.95" customHeight="1">
      <c r="A52" s="39" t="s">
        <v>361</v>
      </c>
      <c r="B52" s="38" t="s">
        <v>323</v>
      </c>
      <c r="C52" s="38"/>
      <c r="D52" s="279"/>
      <c r="E52" s="260"/>
      <c r="F52" s="279">
        <v>56</v>
      </c>
      <c r="G52" s="260"/>
      <c r="H52" s="38">
        <f t="shared" si="4"/>
        <v>384.5</v>
      </c>
      <c r="I52" s="7"/>
    </row>
    <row r="53" spans="1:9" ht="28.95" customHeight="1">
      <c r="A53" s="39" t="s">
        <v>506</v>
      </c>
      <c r="B53" s="38" t="s">
        <v>323</v>
      </c>
      <c r="C53" s="57"/>
      <c r="D53" s="305"/>
      <c r="E53" s="260"/>
      <c r="F53" s="305">
        <v>28</v>
      </c>
      <c r="G53" s="260"/>
      <c r="H53" s="38">
        <f t="shared" si="4"/>
        <v>356.5</v>
      </c>
      <c r="I53" s="57"/>
    </row>
    <row r="54" spans="1:9" ht="28.95" customHeight="1">
      <c r="A54" s="58" t="s">
        <v>586</v>
      </c>
      <c r="B54" s="38" t="s">
        <v>323</v>
      </c>
      <c r="C54" s="57"/>
      <c r="D54" s="305"/>
      <c r="E54" s="260"/>
      <c r="F54" s="305">
        <v>28</v>
      </c>
      <c r="G54" s="260"/>
      <c r="H54" s="57">
        <f t="shared" si="4"/>
        <v>328.5</v>
      </c>
      <c r="I54" s="57"/>
    </row>
    <row r="55" spans="1:9" ht="28.95" customHeight="1">
      <c r="A55" s="39" t="s">
        <v>365</v>
      </c>
      <c r="B55" s="38" t="s">
        <v>323</v>
      </c>
      <c r="C55" s="57"/>
      <c r="D55" s="305"/>
      <c r="E55" s="260"/>
      <c r="F55" s="305">
        <v>58</v>
      </c>
      <c r="G55" s="260"/>
      <c r="H55" s="57">
        <f t="shared" si="4"/>
        <v>270.5</v>
      </c>
      <c r="I55" s="57"/>
    </row>
    <row r="56" spans="1:9" ht="28.95" customHeight="1">
      <c r="A56" s="39" t="s">
        <v>399</v>
      </c>
      <c r="B56" s="38" t="s">
        <v>323</v>
      </c>
      <c r="C56" s="57"/>
      <c r="D56" s="305"/>
      <c r="E56" s="260"/>
      <c r="F56" s="305">
        <v>30</v>
      </c>
      <c r="G56" s="260"/>
      <c r="H56" s="57">
        <f t="shared" si="4"/>
        <v>240.5</v>
      </c>
      <c r="I56" s="57"/>
    </row>
    <row r="57" spans="1:9" ht="28.95" customHeight="1">
      <c r="A57" s="58" t="s">
        <v>588</v>
      </c>
      <c r="B57" s="38" t="s">
        <v>323</v>
      </c>
      <c r="C57" s="57"/>
      <c r="D57" s="305"/>
      <c r="E57" s="260"/>
      <c r="F57" s="305">
        <v>56</v>
      </c>
      <c r="G57" s="260"/>
      <c r="H57" s="57">
        <f t="shared" si="4"/>
        <v>184.5</v>
      </c>
      <c r="I57" s="57"/>
    </row>
    <row r="58" spans="1:9" ht="28.95" customHeight="1">
      <c r="A58" s="41" t="s">
        <v>511</v>
      </c>
      <c r="B58" s="38" t="s">
        <v>324</v>
      </c>
      <c r="C58" s="57">
        <v>280</v>
      </c>
      <c r="D58" s="305" t="s">
        <v>721</v>
      </c>
      <c r="E58" s="260"/>
      <c r="F58" s="305"/>
      <c r="G58" s="260"/>
      <c r="H58" s="57">
        <v>464.5</v>
      </c>
      <c r="I58" s="57" t="s">
        <v>437</v>
      </c>
    </row>
    <row r="59" spans="1:9" ht="28.95" customHeight="1">
      <c r="A59" s="103" t="s">
        <v>512</v>
      </c>
      <c r="B59" s="38" t="s">
        <v>323</v>
      </c>
      <c r="C59" s="57"/>
      <c r="D59" s="305"/>
      <c r="E59" s="260"/>
      <c r="F59" s="305">
        <v>28</v>
      </c>
      <c r="G59" s="260"/>
      <c r="H59" s="57">
        <f>H58-F59</f>
        <v>436.5</v>
      </c>
      <c r="I59" s="57" t="s">
        <v>414</v>
      </c>
    </row>
    <row r="60" spans="1:9" ht="28.95" customHeight="1">
      <c r="A60" s="58"/>
      <c r="B60" s="38"/>
      <c r="C60" s="57"/>
      <c r="D60" s="305"/>
      <c r="E60" s="260"/>
      <c r="F60" s="305"/>
      <c r="G60" s="260"/>
      <c r="H60" s="57"/>
      <c r="I60" s="57"/>
    </row>
    <row r="61" spans="1:9" ht="28.95" customHeight="1">
      <c r="A61" s="39"/>
      <c r="B61" s="38"/>
      <c r="C61" s="57"/>
      <c r="D61" s="305"/>
      <c r="E61" s="260"/>
      <c r="F61" s="305"/>
      <c r="G61" s="260"/>
      <c r="H61" s="57"/>
      <c r="I61" s="57"/>
    </row>
    <row r="62" spans="1:9" ht="28.95" customHeight="1">
      <c r="A62" s="39"/>
      <c r="B62" s="38"/>
      <c r="C62" s="57"/>
      <c r="D62" s="305"/>
      <c r="E62" s="260"/>
      <c r="F62" s="305"/>
      <c r="G62" s="260"/>
      <c r="H62" s="57"/>
      <c r="I62" s="57"/>
    </row>
    <row r="63" spans="1:9" ht="28.95" customHeight="1">
      <c r="A63" s="39"/>
      <c r="B63" s="38"/>
      <c r="C63" s="57"/>
      <c r="D63" s="305"/>
      <c r="E63" s="260"/>
      <c r="F63" s="305"/>
      <c r="G63" s="260"/>
      <c r="H63" s="57"/>
      <c r="I63" s="57"/>
    </row>
    <row r="64" spans="1:9" ht="28.95" customHeight="1">
      <c r="A64" s="39"/>
      <c r="B64" s="38"/>
      <c r="C64" s="57"/>
      <c r="D64" s="305"/>
      <c r="E64" s="260"/>
      <c r="F64" s="305"/>
      <c r="G64" s="260"/>
      <c r="H64" s="57"/>
      <c r="I64" s="57"/>
    </row>
    <row r="65" spans="1:9" ht="28.95" customHeight="1">
      <c r="A65" s="41"/>
      <c r="B65" s="38"/>
      <c r="C65" s="57"/>
      <c r="D65" s="305"/>
      <c r="E65" s="260"/>
      <c r="F65" s="305"/>
      <c r="G65" s="260"/>
      <c r="H65" s="57"/>
      <c r="I65" s="57"/>
    </row>
    <row r="66" spans="1:9" ht="28.95" customHeight="1">
      <c r="A66" s="58"/>
      <c r="B66" s="38"/>
      <c r="C66" s="57"/>
      <c r="D66" s="305"/>
      <c r="E66" s="260"/>
      <c r="F66" s="305"/>
      <c r="G66" s="260"/>
      <c r="H66" s="57"/>
      <c r="I66" s="57"/>
    </row>
    <row r="67" spans="1:9" ht="28.95" customHeight="1">
      <c r="A67" s="41"/>
      <c r="B67" s="38"/>
      <c r="C67" s="57"/>
      <c r="D67" s="305"/>
      <c r="E67" s="260"/>
      <c r="F67" s="305"/>
      <c r="G67" s="260"/>
      <c r="H67" s="57"/>
      <c r="I67" s="57"/>
    </row>
    <row r="68" spans="1:9" ht="28.95" customHeight="1">
      <c r="A68" s="58"/>
      <c r="B68" s="38"/>
      <c r="C68" s="57"/>
      <c r="D68" s="305"/>
      <c r="E68" s="260"/>
      <c r="F68" s="305"/>
      <c r="G68" s="260"/>
      <c r="H68" s="57"/>
      <c r="I68" s="57"/>
    </row>
    <row r="69" spans="1:9" ht="28.95" customHeight="1">
      <c r="A69" s="39"/>
      <c r="B69" s="38"/>
      <c r="C69" s="57"/>
      <c r="D69" s="305"/>
      <c r="E69" s="260"/>
      <c r="F69" s="305"/>
      <c r="G69" s="260"/>
      <c r="H69" s="57"/>
      <c r="I69" s="57"/>
    </row>
    <row r="70" spans="1:9" ht="28.95" customHeight="1">
      <c r="A70" s="58"/>
      <c r="B70" s="38"/>
      <c r="C70" s="57"/>
      <c r="D70" s="305"/>
      <c r="E70" s="260"/>
      <c r="F70" s="305"/>
      <c r="G70" s="260"/>
      <c r="H70" s="57"/>
      <c r="I70" s="57"/>
    </row>
    <row r="71" spans="1:9" ht="28.95" customHeight="1">
      <c r="A71" s="58"/>
      <c r="B71" s="38"/>
      <c r="C71" s="57"/>
      <c r="D71" s="305"/>
      <c r="E71" s="260"/>
      <c r="F71" s="305"/>
      <c r="G71" s="260"/>
      <c r="H71" s="57"/>
      <c r="I71" s="57"/>
    </row>
    <row r="72" spans="1:9" ht="28.95" customHeight="1">
      <c r="A72" s="58"/>
      <c r="B72" s="38"/>
      <c r="C72" s="57"/>
      <c r="D72" s="305"/>
      <c r="E72" s="260"/>
      <c r="F72" s="305"/>
      <c r="G72" s="260"/>
      <c r="H72" s="57"/>
      <c r="I72" s="57"/>
    </row>
    <row r="73" spans="1:9" ht="28.95" customHeight="1">
      <c r="A73" s="58"/>
      <c r="B73" s="38"/>
      <c r="C73" s="57"/>
      <c r="D73" s="305"/>
      <c r="E73" s="260"/>
      <c r="F73" s="305"/>
      <c r="G73" s="260"/>
      <c r="H73" s="57"/>
      <c r="I73" s="57"/>
    </row>
    <row r="74" spans="1:9" ht="28.95" customHeight="1">
      <c r="A74" s="58"/>
      <c r="B74" s="38"/>
      <c r="C74" s="57"/>
      <c r="D74" s="305"/>
      <c r="E74" s="260"/>
      <c r="F74" s="305"/>
      <c r="G74" s="260"/>
      <c r="H74" s="57"/>
      <c r="I74" s="57"/>
    </row>
    <row r="75" spans="1:9" ht="28.95" customHeight="1">
      <c r="A75" s="58"/>
      <c r="B75" s="38"/>
      <c r="C75" s="57"/>
      <c r="D75" s="305"/>
      <c r="E75" s="260"/>
      <c r="F75" s="305"/>
      <c r="G75" s="260"/>
      <c r="H75" s="57"/>
      <c r="I75" s="57"/>
    </row>
    <row r="76" spans="1:9" ht="28.95" customHeight="1">
      <c r="A76" s="58"/>
      <c r="B76" s="38"/>
      <c r="C76" s="57"/>
      <c r="D76" s="305"/>
      <c r="E76" s="260"/>
      <c r="F76" s="305"/>
      <c r="G76" s="260"/>
      <c r="H76" s="57"/>
      <c r="I76" s="57"/>
    </row>
    <row r="77" spans="1:9" ht="28.95" customHeight="1">
      <c r="A77" s="58"/>
      <c r="B77" s="38"/>
      <c r="C77" s="57"/>
      <c r="D77" s="305"/>
      <c r="E77" s="260"/>
      <c r="F77" s="305"/>
      <c r="G77" s="260"/>
      <c r="H77" s="57"/>
      <c r="I77" s="57"/>
    </row>
    <row r="78" spans="1:9" ht="28.95" customHeight="1">
      <c r="A78" s="58"/>
      <c r="B78" s="38"/>
      <c r="C78" s="57"/>
      <c r="D78" s="305"/>
      <c r="E78" s="260"/>
      <c r="F78" s="305"/>
      <c r="G78" s="260"/>
      <c r="H78" s="57"/>
      <c r="I78" s="57"/>
    </row>
    <row r="79" spans="1:9" ht="28.95" customHeight="1">
      <c r="A79" s="58"/>
      <c r="B79" s="38"/>
      <c r="C79" s="57"/>
      <c r="D79" s="305"/>
      <c r="E79" s="260"/>
      <c r="F79" s="305"/>
      <c r="G79" s="260"/>
      <c r="H79" s="57"/>
      <c r="I79" s="57"/>
    </row>
    <row r="80" spans="1:9" ht="28.95" customHeight="1">
      <c r="A80" s="58"/>
      <c r="B80" s="38"/>
      <c r="C80" s="57"/>
      <c r="D80" s="305"/>
      <c r="E80" s="260"/>
      <c r="F80" s="305"/>
      <c r="G80" s="260"/>
      <c r="H80" s="57"/>
      <c r="I80" s="57"/>
    </row>
    <row r="81" spans="1:9" ht="28.95" customHeight="1">
      <c r="A81" s="58"/>
      <c r="B81" s="38"/>
      <c r="C81" s="57"/>
      <c r="D81" s="305"/>
      <c r="E81" s="260"/>
      <c r="F81" s="305"/>
      <c r="G81" s="260"/>
      <c r="H81" s="57"/>
      <c r="I81" s="57"/>
    </row>
    <row r="82" spans="1:9" ht="28.95" customHeight="1">
      <c r="A82" s="58"/>
      <c r="B82" s="38"/>
      <c r="C82" s="57"/>
      <c r="D82" s="305"/>
      <c r="E82" s="260"/>
      <c r="F82" s="305"/>
      <c r="G82" s="260"/>
      <c r="H82" s="57"/>
      <c r="I82" s="57"/>
    </row>
    <row r="83" spans="1:9" ht="28.95" customHeight="1">
      <c r="A83" s="58"/>
      <c r="B83" s="38"/>
      <c r="C83" s="57"/>
      <c r="D83" s="305"/>
      <c r="E83" s="260"/>
      <c r="F83" s="305"/>
      <c r="G83" s="260"/>
      <c r="H83" s="57"/>
      <c r="I83" s="57"/>
    </row>
    <row r="84" spans="1:9" ht="28.95" customHeight="1">
      <c r="A84" s="58"/>
      <c r="B84" s="38"/>
      <c r="C84" s="57"/>
      <c r="D84" s="305"/>
      <c r="E84" s="260"/>
      <c r="F84" s="305"/>
      <c r="G84" s="260"/>
      <c r="H84" s="57"/>
      <c r="I84" s="57"/>
    </row>
    <row r="85" spans="1:9" ht="28.95" customHeight="1">
      <c r="A85" s="58"/>
      <c r="B85" s="38"/>
      <c r="C85" s="57"/>
      <c r="D85" s="305"/>
      <c r="E85" s="260"/>
      <c r="F85" s="305"/>
      <c r="G85" s="260"/>
      <c r="H85" s="57"/>
      <c r="I85" s="57"/>
    </row>
    <row r="86" spans="1:9" ht="28.95" customHeight="1">
      <c r="A86" s="58"/>
      <c r="B86" s="38"/>
      <c r="C86" s="57"/>
      <c r="D86" s="305"/>
      <c r="E86" s="260"/>
      <c r="F86" s="305"/>
      <c r="G86" s="260"/>
      <c r="H86" s="57"/>
      <c r="I86" s="57"/>
    </row>
    <row r="87" spans="1:9" ht="28.95" customHeight="1">
      <c r="A87" s="58"/>
      <c r="B87" s="38"/>
      <c r="C87" s="57"/>
      <c r="D87" s="305"/>
      <c r="E87" s="260"/>
      <c r="F87" s="305"/>
      <c r="G87" s="260"/>
      <c r="H87" s="57"/>
      <c r="I87" s="57"/>
    </row>
    <row r="88" spans="1:9" ht="28.95" customHeight="1">
      <c r="A88" s="58"/>
      <c r="B88" s="38"/>
      <c r="C88" s="57"/>
      <c r="D88" s="305"/>
      <c r="E88" s="260"/>
      <c r="F88" s="305"/>
      <c r="G88" s="260"/>
      <c r="H88" s="57"/>
      <c r="I88" s="57"/>
    </row>
    <row r="89" spans="1:9" ht="28.95" customHeight="1">
      <c r="A89" s="58"/>
      <c r="B89" s="38"/>
      <c r="C89" s="57"/>
      <c r="D89" s="305"/>
      <c r="E89" s="260"/>
      <c r="F89" s="305"/>
      <c r="G89" s="260"/>
      <c r="H89" s="57"/>
      <c r="I89" s="57"/>
    </row>
    <row r="90" spans="1:9" ht="28.95" customHeight="1">
      <c r="A90" s="39"/>
      <c r="B90" s="38"/>
      <c r="C90" s="57"/>
      <c r="D90" s="305"/>
      <c r="E90" s="260"/>
      <c r="F90" s="305"/>
      <c r="G90" s="260"/>
      <c r="H90" s="57"/>
      <c r="I90" s="57"/>
    </row>
    <row r="91" spans="1:9" ht="28.95" customHeight="1">
      <c r="A91" s="58"/>
      <c r="B91" s="38"/>
      <c r="C91" s="57"/>
      <c r="D91" s="305"/>
      <c r="E91" s="260"/>
      <c r="F91" s="305"/>
      <c r="G91" s="260"/>
      <c r="H91" s="57"/>
      <c r="I91" s="57"/>
    </row>
    <row r="92" spans="1:9" ht="28.95" customHeight="1">
      <c r="A92" s="58"/>
      <c r="B92" s="38"/>
      <c r="C92" s="57"/>
      <c r="D92" s="305"/>
      <c r="E92" s="260"/>
      <c r="F92" s="305"/>
      <c r="G92" s="260"/>
      <c r="H92" s="57"/>
      <c r="I92" s="57"/>
    </row>
    <row r="93" spans="1:9" ht="28.95" customHeight="1">
      <c r="A93" s="58"/>
      <c r="B93" s="38"/>
      <c r="C93" s="57"/>
      <c r="D93" s="305"/>
      <c r="E93" s="260"/>
      <c r="F93" s="305"/>
      <c r="G93" s="260"/>
      <c r="H93" s="57"/>
      <c r="I93" s="57"/>
    </row>
    <row r="94" spans="1:9" ht="28.95" customHeight="1">
      <c r="A94" s="39"/>
      <c r="B94" s="38"/>
      <c r="C94" s="57"/>
      <c r="D94" s="305"/>
      <c r="E94" s="260"/>
      <c r="F94" s="305"/>
      <c r="G94" s="260"/>
      <c r="H94" s="57"/>
      <c r="I94" s="57"/>
    </row>
    <row r="95" spans="1:9" ht="28.95" customHeight="1">
      <c r="A95" s="58"/>
      <c r="B95" s="38"/>
      <c r="C95" s="57"/>
      <c r="D95" s="305"/>
      <c r="E95" s="260"/>
      <c r="F95" s="305"/>
      <c r="G95" s="260"/>
      <c r="H95" s="57"/>
      <c r="I95" s="57"/>
    </row>
    <row r="96" spans="1:9" ht="26.7" customHeight="1">
      <c r="A96" s="58"/>
      <c r="B96" s="38"/>
      <c r="C96" s="57"/>
      <c r="D96" s="305"/>
      <c r="E96" s="260"/>
      <c r="F96" s="305"/>
      <c r="G96" s="260"/>
      <c r="H96" s="57"/>
      <c r="I96" s="57"/>
    </row>
    <row r="97" spans="1:9" ht="26.7" customHeight="1">
      <c r="A97" s="39"/>
      <c r="B97" s="38"/>
      <c r="C97" s="57"/>
      <c r="D97" s="305"/>
      <c r="E97" s="260"/>
      <c r="F97" s="305"/>
      <c r="G97" s="260"/>
      <c r="H97" s="57"/>
      <c r="I97" s="57"/>
    </row>
    <row r="98" spans="1:9" ht="26.7" customHeight="1">
      <c r="A98" s="58"/>
      <c r="B98" s="38"/>
      <c r="C98" s="57"/>
      <c r="D98" s="305"/>
      <c r="E98" s="260"/>
      <c r="F98" s="305"/>
      <c r="G98" s="260"/>
      <c r="H98" s="57"/>
      <c r="I98" s="57"/>
    </row>
    <row r="99" spans="1:9" ht="26.7" customHeight="1">
      <c r="A99" s="58"/>
      <c r="B99" s="38"/>
      <c r="C99" s="57"/>
      <c r="D99" s="305"/>
      <c r="E99" s="260"/>
      <c r="F99" s="305"/>
      <c r="G99" s="260"/>
      <c r="H99" s="57"/>
      <c r="I99" s="57"/>
    </row>
    <row r="100" spans="1:9" ht="26.7" customHeight="1">
      <c r="A100" s="58"/>
      <c r="B100" s="38"/>
      <c r="C100" s="57"/>
      <c r="D100" s="305"/>
      <c r="E100" s="260"/>
      <c r="F100" s="305"/>
      <c r="G100" s="260"/>
      <c r="H100" s="57"/>
      <c r="I100" s="57"/>
    </row>
    <row r="101" spans="1:9" ht="26.7" customHeight="1">
      <c r="A101" s="38"/>
      <c r="B101" s="38"/>
      <c r="C101" s="57"/>
      <c r="D101" s="305"/>
      <c r="E101" s="260"/>
      <c r="F101" s="305"/>
      <c r="G101" s="260"/>
      <c r="H101" s="57"/>
      <c r="I101" s="57"/>
    </row>
    <row r="102" spans="1:9" ht="26.7" customHeight="1">
      <c r="A102" s="39"/>
      <c r="B102" s="38"/>
      <c r="C102" s="57"/>
      <c r="D102" s="305"/>
      <c r="E102" s="260"/>
      <c r="F102" s="305"/>
      <c r="G102" s="260"/>
      <c r="H102" s="57"/>
      <c r="I102" s="57"/>
    </row>
    <row r="103" spans="1:9" ht="26.7" customHeight="1">
      <c r="A103" s="58"/>
      <c r="B103" s="38"/>
      <c r="C103" s="57"/>
      <c r="D103" s="305"/>
      <c r="E103" s="260"/>
      <c r="F103" s="305"/>
      <c r="G103" s="260"/>
      <c r="H103" s="57"/>
      <c r="I103" s="57"/>
    </row>
    <row r="104" spans="1:9" ht="26.7" customHeight="1">
      <c r="A104" s="39"/>
      <c r="B104" s="38"/>
      <c r="C104" s="57"/>
      <c r="D104" s="305"/>
      <c r="E104" s="260"/>
      <c r="F104" s="305"/>
      <c r="G104" s="260"/>
      <c r="H104" s="57"/>
      <c r="I104" s="57"/>
    </row>
    <row r="105" spans="1:9" ht="26.7" customHeight="1">
      <c r="A105" s="58"/>
      <c r="B105" s="38"/>
      <c r="C105" s="57"/>
      <c r="D105" s="305"/>
      <c r="E105" s="260"/>
      <c r="F105" s="305"/>
      <c r="G105" s="260"/>
      <c r="H105" s="57"/>
      <c r="I105" s="57"/>
    </row>
    <row r="106" spans="1:9" ht="26.7" customHeight="1">
      <c r="A106" s="58"/>
      <c r="B106" s="38"/>
      <c r="C106" s="57"/>
      <c r="D106" s="305"/>
      <c r="E106" s="260"/>
      <c r="F106" s="305"/>
      <c r="G106" s="260"/>
      <c r="H106" s="57"/>
      <c r="I106" s="57"/>
    </row>
    <row r="107" spans="1:9" ht="26.7" customHeight="1">
      <c r="A107" s="39"/>
      <c r="B107" s="38"/>
      <c r="C107" s="57"/>
      <c r="D107" s="305"/>
      <c r="E107" s="260"/>
      <c r="F107" s="305"/>
      <c r="G107" s="260"/>
      <c r="H107" s="57"/>
      <c r="I107" s="57"/>
    </row>
    <row r="108" spans="1:9" ht="26.7" customHeight="1">
      <c r="A108" s="58"/>
      <c r="B108" s="38"/>
      <c r="C108" s="57"/>
      <c r="D108" s="305"/>
      <c r="E108" s="260"/>
      <c r="F108" s="305"/>
      <c r="G108" s="260"/>
      <c r="H108" s="57"/>
      <c r="I108" s="57"/>
    </row>
    <row r="109" spans="1:9" ht="26.7" customHeight="1">
      <c r="A109" s="58"/>
      <c r="B109" s="38"/>
      <c r="C109" s="57"/>
      <c r="D109" s="305"/>
      <c r="E109" s="260"/>
      <c r="F109" s="305"/>
      <c r="G109" s="260"/>
      <c r="H109" s="57"/>
      <c r="I109" s="57"/>
    </row>
    <row r="110" spans="1:9" ht="26.7" customHeight="1">
      <c r="A110" s="58"/>
      <c r="B110" s="38"/>
      <c r="C110" s="57"/>
      <c r="D110" s="305"/>
      <c r="E110" s="260"/>
      <c r="F110" s="305"/>
      <c r="G110" s="260"/>
      <c r="H110" s="57"/>
      <c r="I110" s="57"/>
    </row>
    <row r="111" spans="1:9" ht="26.7" customHeight="1">
      <c r="A111" s="58"/>
      <c r="B111" s="38"/>
      <c r="C111" s="57"/>
      <c r="D111" s="305"/>
      <c r="E111" s="260"/>
      <c r="F111" s="305"/>
      <c r="G111" s="260"/>
      <c r="H111" s="57"/>
      <c r="I111" s="57"/>
    </row>
    <row r="112" spans="1:9" ht="26.7" customHeight="1">
      <c r="A112" s="58"/>
      <c r="B112" s="38"/>
      <c r="C112" s="57"/>
      <c r="D112" s="305"/>
      <c r="E112" s="260"/>
      <c r="F112" s="305"/>
      <c r="G112" s="260"/>
      <c r="H112" s="57"/>
      <c r="I112" s="57"/>
    </row>
    <row r="113" spans="1:9" ht="26.7" customHeight="1">
      <c r="A113" s="58"/>
      <c r="B113" s="38"/>
      <c r="C113" s="57"/>
      <c r="D113" s="305"/>
      <c r="E113" s="260"/>
      <c r="F113" s="305"/>
      <c r="G113" s="260"/>
      <c r="H113" s="57"/>
      <c r="I113" s="57"/>
    </row>
    <row r="114" spans="1:9" ht="26.7" customHeight="1">
      <c r="A114" s="58"/>
      <c r="B114" s="38"/>
      <c r="C114" s="57"/>
      <c r="D114" s="305"/>
      <c r="E114" s="260"/>
      <c r="F114" s="305"/>
      <c r="G114" s="260"/>
      <c r="H114" s="57"/>
      <c r="I114" s="57"/>
    </row>
    <row r="115" spans="1:9" ht="26.7" customHeight="1">
      <c r="A115" s="58"/>
      <c r="B115" s="38"/>
      <c r="C115" s="57"/>
      <c r="D115" s="305"/>
      <c r="E115" s="260"/>
      <c r="F115" s="305"/>
      <c r="G115" s="260"/>
      <c r="H115" s="57"/>
      <c r="I115" s="57"/>
    </row>
    <row r="116" spans="1:9" ht="26.7" customHeight="1">
      <c r="A116" s="58"/>
      <c r="B116" s="38"/>
      <c r="C116" s="57"/>
      <c r="D116" s="305"/>
      <c r="E116" s="260"/>
      <c r="F116" s="305"/>
      <c r="G116" s="260"/>
      <c r="H116" s="57"/>
      <c r="I116" s="57"/>
    </row>
    <row r="117" spans="1:9" ht="26.7" customHeight="1">
      <c r="A117" s="58"/>
      <c r="B117" s="38"/>
      <c r="C117" s="57"/>
      <c r="D117" s="305"/>
      <c r="E117" s="260"/>
      <c r="F117" s="305"/>
      <c r="G117" s="260"/>
      <c r="H117" s="57"/>
      <c r="I117" s="57"/>
    </row>
    <row r="118" spans="1:9" ht="26.7" customHeight="1">
      <c r="A118" s="58"/>
      <c r="B118" s="38"/>
      <c r="C118" s="57"/>
      <c r="D118" s="305"/>
      <c r="E118" s="260"/>
      <c r="F118" s="305"/>
      <c r="G118" s="260"/>
      <c r="H118" s="57"/>
      <c r="I118" s="57"/>
    </row>
    <row r="119" spans="1:9" ht="26.7" customHeight="1">
      <c r="A119" s="58"/>
      <c r="B119" s="38"/>
      <c r="C119" s="57"/>
      <c r="D119" s="305"/>
      <c r="E119" s="260"/>
      <c r="F119" s="305"/>
      <c r="G119" s="260"/>
      <c r="H119" s="57"/>
      <c r="I119" s="57"/>
    </row>
    <row r="120" spans="1:9" ht="26.7" customHeight="1">
      <c r="A120" s="58"/>
      <c r="B120" s="38"/>
      <c r="C120" s="57"/>
      <c r="D120" s="305"/>
      <c r="E120" s="260"/>
      <c r="F120" s="305"/>
      <c r="G120" s="260"/>
      <c r="H120" s="57"/>
      <c r="I120" s="57"/>
    </row>
    <row r="121" spans="1:9" ht="26.7" customHeight="1">
      <c r="A121" s="58"/>
      <c r="B121" s="38"/>
      <c r="C121" s="57"/>
      <c r="D121" s="305"/>
      <c r="E121" s="260"/>
      <c r="F121" s="305"/>
      <c r="G121" s="260"/>
      <c r="H121" s="57"/>
      <c r="I121" s="57"/>
    </row>
    <row r="122" spans="1:9" ht="26.7" customHeight="1">
      <c r="A122" s="58"/>
      <c r="B122" s="38"/>
      <c r="C122" s="57"/>
      <c r="D122" s="305"/>
      <c r="E122" s="260"/>
      <c r="F122" s="305"/>
      <c r="G122" s="260"/>
      <c r="H122" s="57"/>
      <c r="I122" s="57"/>
    </row>
    <row r="123" spans="1:9" ht="26.7" customHeight="1">
      <c r="A123" s="58"/>
      <c r="B123" s="38"/>
      <c r="C123" s="57"/>
      <c r="D123" s="305"/>
      <c r="E123" s="260"/>
      <c r="F123" s="305"/>
      <c r="G123" s="260"/>
      <c r="H123" s="57"/>
      <c r="I123" s="57"/>
    </row>
    <row r="124" spans="1:9" ht="26.7" customHeight="1">
      <c r="A124" s="58"/>
      <c r="B124" s="38"/>
      <c r="C124" s="57"/>
      <c r="D124" s="305"/>
      <c r="E124" s="260"/>
      <c r="F124" s="305"/>
      <c r="G124" s="260"/>
      <c r="H124" s="57"/>
      <c r="I124" s="57"/>
    </row>
    <row r="125" spans="1:9" ht="26.7" customHeight="1">
      <c r="A125" s="58"/>
      <c r="B125" s="38"/>
      <c r="C125" s="57"/>
      <c r="D125" s="305"/>
      <c r="E125" s="260"/>
      <c r="F125" s="305"/>
      <c r="G125" s="260"/>
      <c r="H125" s="57"/>
      <c r="I125" s="57"/>
    </row>
    <row r="126" spans="1:9" ht="26.7" customHeight="1">
      <c r="A126" s="58"/>
      <c r="B126" s="38"/>
      <c r="C126" s="57"/>
      <c r="D126" s="305"/>
      <c r="E126" s="260"/>
      <c r="F126" s="305"/>
      <c r="G126" s="260"/>
      <c r="H126" s="57"/>
      <c r="I126" s="57"/>
    </row>
    <row r="127" spans="1:9" ht="26.7" customHeight="1">
      <c r="A127" s="58"/>
      <c r="B127" s="38"/>
      <c r="C127" s="57"/>
      <c r="D127" s="305"/>
      <c r="E127" s="260"/>
      <c r="F127" s="305"/>
      <c r="G127" s="260"/>
      <c r="H127" s="57"/>
      <c r="I127" s="57"/>
    </row>
    <row r="128" spans="1:9" ht="26.7" customHeight="1">
      <c r="A128" s="58"/>
      <c r="B128" s="38"/>
      <c r="C128" s="57"/>
      <c r="D128" s="305"/>
      <c r="E128" s="260"/>
      <c r="F128" s="305"/>
      <c r="G128" s="260"/>
      <c r="H128" s="57"/>
      <c r="I128" s="57"/>
    </row>
    <row r="129" spans="1:9" ht="26.7" customHeight="1">
      <c r="A129" s="58"/>
      <c r="B129" s="38"/>
      <c r="C129" s="57"/>
      <c r="D129" s="305"/>
      <c r="E129" s="260"/>
      <c r="F129" s="305"/>
      <c r="G129" s="260"/>
      <c r="H129" s="57"/>
      <c r="I129" s="57"/>
    </row>
    <row r="130" spans="1:9" ht="26.7" customHeight="1">
      <c r="A130" s="58"/>
      <c r="B130" s="38"/>
      <c r="C130" s="57"/>
      <c r="D130" s="305"/>
      <c r="E130" s="260"/>
      <c r="F130" s="305"/>
      <c r="G130" s="260"/>
      <c r="H130" s="57"/>
      <c r="I130" s="57"/>
    </row>
    <row r="131" spans="1:9" ht="26.7" customHeight="1">
      <c r="A131" s="58"/>
      <c r="B131" s="38"/>
      <c r="C131" s="57"/>
      <c r="D131" s="305"/>
      <c r="E131" s="260"/>
      <c r="F131" s="305"/>
      <c r="G131" s="260"/>
      <c r="H131" s="57"/>
      <c r="I131" s="57"/>
    </row>
    <row r="132" spans="1:9">
      <c r="A132" s="58"/>
      <c r="B132" s="38"/>
      <c r="C132" s="57"/>
      <c r="D132" s="305"/>
      <c r="E132" s="260"/>
      <c r="F132" s="305"/>
      <c r="G132" s="260"/>
      <c r="H132" s="57"/>
      <c r="I132" s="57"/>
    </row>
    <row r="133" spans="1:9">
      <c r="A133" s="58"/>
      <c r="B133" s="38"/>
      <c r="C133" s="57"/>
      <c r="D133" s="305"/>
      <c r="E133" s="260"/>
      <c r="F133" s="305"/>
      <c r="G133" s="260"/>
      <c r="H133" s="57"/>
      <c r="I133" s="57"/>
    </row>
    <row r="134" spans="1:9">
      <c r="A134" s="58"/>
      <c r="B134" s="38"/>
      <c r="C134" s="57"/>
      <c r="D134" s="305"/>
      <c r="E134" s="260"/>
      <c r="F134" s="305"/>
      <c r="G134" s="260"/>
      <c r="H134" s="57"/>
      <c r="I134" s="57"/>
    </row>
    <row r="135" spans="1:9">
      <c r="A135" s="58"/>
      <c r="B135" s="38"/>
      <c r="C135" s="57"/>
      <c r="D135" s="305"/>
      <c r="E135" s="260"/>
      <c r="F135" s="305"/>
      <c r="G135" s="260"/>
      <c r="H135" s="57"/>
      <c r="I135" s="57"/>
    </row>
    <row r="136" spans="1:9">
      <c r="A136" s="58"/>
      <c r="B136" s="38"/>
      <c r="C136" s="57"/>
      <c r="D136" s="305"/>
      <c r="E136" s="260"/>
      <c r="F136" s="305"/>
      <c r="G136" s="260"/>
      <c r="H136" s="57"/>
      <c r="I136" s="57"/>
    </row>
    <row r="137" spans="1:9">
      <c r="A137" s="58"/>
      <c r="B137" s="38"/>
      <c r="C137" s="57"/>
      <c r="D137" s="305"/>
      <c r="E137" s="260"/>
      <c r="F137" s="305"/>
      <c r="G137" s="260"/>
      <c r="H137" s="57"/>
      <c r="I137" s="57"/>
    </row>
    <row r="138" spans="1:9">
      <c r="A138" s="58"/>
      <c r="B138" s="38"/>
      <c r="C138" s="57"/>
      <c r="D138" s="305"/>
      <c r="E138" s="260"/>
      <c r="F138" s="305"/>
      <c r="G138" s="260"/>
      <c r="H138" s="57"/>
      <c r="I138" s="57"/>
    </row>
    <row r="139" spans="1:9">
      <c r="A139" s="58"/>
      <c r="B139" s="38"/>
      <c r="C139" s="57"/>
      <c r="D139" s="305"/>
      <c r="E139" s="260"/>
      <c r="F139" s="305"/>
      <c r="G139" s="260"/>
      <c r="H139" s="57"/>
      <c r="I139" s="57"/>
    </row>
    <row r="140" spans="1:9">
      <c r="A140" s="58"/>
      <c r="B140" s="38"/>
      <c r="C140" s="57"/>
      <c r="D140" s="305"/>
      <c r="E140" s="260"/>
      <c r="F140" s="305"/>
      <c r="G140" s="260"/>
      <c r="H140" s="57"/>
      <c r="I140" s="57"/>
    </row>
    <row r="141" spans="1:9">
      <c r="A141" s="58"/>
      <c r="B141" s="38"/>
      <c r="C141" s="57"/>
      <c r="D141" s="305"/>
      <c r="E141" s="260"/>
      <c r="F141" s="305"/>
      <c r="G141" s="260"/>
      <c r="H141" s="57"/>
      <c r="I141" s="57"/>
    </row>
    <row r="142" spans="1:9">
      <c r="A142" s="58"/>
      <c r="B142" s="38"/>
      <c r="C142" s="57"/>
      <c r="D142" s="305"/>
      <c r="E142" s="260"/>
      <c r="F142" s="305"/>
      <c r="G142" s="260"/>
      <c r="H142" s="57"/>
      <c r="I142" s="57"/>
    </row>
    <row r="143" spans="1:9">
      <c r="A143" s="58"/>
      <c r="B143" s="38"/>
      <c r="C143" s="57"/>
      <c r="D143" s="305"/>
      <c r="E143" s="260"/>
      <c r="F143" s="305"/>
      <c r="G143" s="260"/>
      <c r="H143" s="57"/>
      <c r="I143" s="57"/>
    </row>
    <row r="144" spans="1:9">
      <c r="A144" s="58"/>
      <c r="B144" s="38"/>
      <c r="C144" s="57"/>
      <c r="D144" s="305"/>
      <c r="E144" s="260"/>
      <c r="F144" s="305"/>
      <c r="G144" s="260"/>
      <c r="H144" s="57"/>
      <c r="I144" s="57"/>
    </row>
    <row r="145" spans="1:9">
      <c r="A145" s="58"/>
      <c r="B145" s="38"/>
      <c r="C145" s="57"/>
      <c r="D145" s="305"/>
      <c r="E145" s="260"/>
      <c r="F145" s="305"/>
      <c r="G145" s="260"/>
      <c r="H145" s="57"/>
      <c r="I145" s="57"/>
    </row>
    <row r="146" spans="1:9">
      <c r="A146" s="58"/>
      <c r="B146" s="38"/>
      <c r="C146" s="57"/>
      <c r="D146" s="305"/>
      <c r="E146" s="260"/>
      <c r="F146" s="305"/>
      <c r="G146" s="260"/>
      <c r="H146" s="57"/>
      <c r="I146" s="57"/>
    </row>
    <row r="147" spans="1:9">
      <c r="A147" s="58"/>
      <c r="B147" s="38"/>
      <c r="C147" s="57"/>
      <c r="D147" s="305"/>
      <c r="E147" s="260"/>
      <c r="F147" s="305"/>
      <c r="G147" s="260"/>
      <c r="H147" s="57"/>
      <c r="I147" s="57"/>
    </row>
    <row r="148" spans="1:9">
      <c r="A148" s="58"/>
      <c r="B148" s="38"/>
      <c r="C148" s="57"/>
      <c r="D148" s="305"/>
      <c r="E148" s="260"/>
      <c r="F148" s="305"/>
      <c r="G148" s="260"/>
      <c r="H148" s="57"/>
      <c r="I148" s="57"/>
    </row>
    <row r="149" spans="1:9">
      <c r="A149" s="58"/>
      <c r="B149" s="38"/>
      <c r="C149" s="57"/>
      <c r="D149" s="305"/>
      <c r="E149" s="260"/>
      <c r="F149" s="305"/>
      <c r="G149" s="260"/>
      <c r="H149" s="57"/>
      <c r="I149" s="57"/>
    </row>
    <row r="150" spans="1:9">
      <c r="A150" s="58"/>
      <c r="B150" s="38"/>
      <c r="C150" s="57"/>
      <c r="D150" s="305"/>
      <c r="E150" s="260"/>
      <c r="F150" s="305"/>
      <c r="G150" s="260"/>
      <c r="H150" s="57"/>
      <c r="I150" s="57"/>
    </row>
    <row r="151" spans="1:9">
      <c r="A151" s="58"/>
      <c r="B151" s="38"/>
      <c r="C151" s="57"/>
      <c r="D151" s="305"/>
      <c r="E151" s="260"/>
      <c r="F151" s="305"/>
      <c r="G151" s="260"/>
      <c r="H151" s="57"/>
      <c r="I151" s="57"/>
    </row>
    <row r="152" spans="1:9">
      <c r="A152" s="58"/>
      <c r="B152" s="38"/>
      <c r="C152" s="57"/>
      <c r="D152" s="305"/>
      <c r="E152" s="260"/>
      <c r="F152" s="305"/>
      <c r="G152" s="260"/>
      <c r="H152" s="57"/>
      <c r="I152" s="57"/>
    </row>
    <row r="153" spans="1:9">
      <c r="A153" s="58"/>
      <c r="B153" s="38"/>
      <c r="C153" s="57"/>
      <c r="D153" s="305"/>
      <c r="E153" s="260"/>
      <c r="F153" s="305"/>
      <c r="G153" s="260"/>
      <c r="H153" s="57"/>
      <c r="I153" s="57"/>
    </row>
    <row r="154" spans="1:9">
      <c r="A154" s="58"/>
      <c r="B154" s="38"/>
      <c r="C154" s="57"/>
      <c r="D154" s="305"/>
      <c r="E154" s="260"/>
      <c r="F154" s="305"/>
      <c r="G154" s="260"/>
      <c r="H154" s="57"/>
      <c r="I154" s="57"/>
    </row>
    <row r="155" spans="1:9">
      <c r="A155" s="58"/>
      <c r="B155" s="38"/>
      <c r="C155" s="57"/>
      <c r="D155" s="305"/>
      <c r="E155" s="260"/>
      <c r="F155" s="305"/>
      <c r="G155" s="260"/>
      <c r="H155" s="57"/>
      <c r="I155" s="57"/>
    </row>
    <row r="156" spans="1:9">
      <c r="A156" s="58"/>
      <c r="B156" s="38"/>
      <c r="C156" s="57"/>
      <c r="D156" s="305"/>
      <c r="E156" s="260"/>
      <c r="F156" s="305"/>
      <c r="G156" s="260"/>
      <c r="H156" s="57"/>
      <c r="I156" s="57"/>
    </row>
    <row r="157" spans="1:9">
      <c r="A157" s="58"/>
      <c r="B157" s="38"/>
      <c r="C157" s="57"/>
      <c r="D157" s="305"/>
      <c r="E157" s="260"/>
      <c r="F157" s="305"/>
      <c r="G157" s="260"/>
      <c r="H157" s="57"/>
      <c r="I157" s="57"/>
    </row>
    <row r="158" spans="1:9">
      <c r="A158" s="58"/>
      <c r="B158" s="38"/>
      <c r="C158" s="57"/>
      <c r="D158" s="305"/>
      <c r="E158" s="260"/>
      <c r="F158" s="305"/>
      <c r="G158" s="260"/>
      <c r="H158" s="57"/>
      <c r="I158" s="57"/>
    </row>
    <row r="159" spans="1:9">
      <c r="A159" s="58"/>
      <c r="B159" s="38"/>
      <c r="C159" s="57"/>
      <c r="D159" s="305"/>
      <c r="E159" s="260"/>
      <c r="F159" s="305"/>
      <c r="G159" s="260"/>
      <c r="H159" s="57"/>
      <c r="I159" s="57"/>
    </row>
    <row r="160" spans="1:9">
      <c r="A160" s="58"/>
      <c r="B160" s="38"/>
      <c r="C160" s="57"/>
      <c r="D160" s="305"/>
      <c r="E160" s="260"/>
      <c r="F160" s="305"/>
      <c r="G160" s="260"/>
      <c r="H160" s="57"/>
      <c r="I160" s="57"/>
    </row>
    <row r="161" spans="1:9">
      <c r="A161" s="58"/>
      <c r="B161" s="38"/>
      <c r="C161" s="57"/>
      <c r="D161" s="305"/>
      <c r="E161" s="260"/>
      <c r="F161" s="305"/>
      <c r="G161" s="260"/>
      <c r="H161" s="57"/>
      <c r="I161" s="57"/>
    </row>
    <row r="162" spans="1:9">
      <c r="A162" s="58"/>
      <c r="B162" s="38"/>
      <c r="C162" s="57"/>
      <c r="D162" s="305"/>
      <c r="E162" s="260"/>
      <c r="F162" s="305"/>
      <c r="G162" s="260"/>
      <c r="H162" s="57"/>
      <c r="I162" s="57"/>
    </row>
    <row r="163" spans="1:9">
      <c r="A163" s="58"/>
      <c r="B163" s="38"/>
      <c r="C163" s="57"/>
      <c r="D163" s="305"/>
      <c r="E163" s="260"/>
      <c r="F163" s="305"/>
      <c r="G163" s="260"/>
      <c r="H163" s="57"/>
      <c r="I163" s="57"/>
    </row>
    <row r="164" spans="1:9">
      <c r="A164" s="58"/>
      <c r="B164" s="38"/>
      <c r="C164" s="57"/>
      <c r="D164" s="305"/>
      <c r="E164" s="260"/>
      <c r="F164" s="305"/>
      <c r="G164" s="260"/>
      <c r="H164" s="57"/>
      <c r="I164" s="57"/>
    </row>
    <row r="165" spans="1:9">
      <c r="A165" s="58"/>
      <c r="B165" s="38"/>
      <c r="C165" s="57"/>
      <c r="D165" s="305"/>
      <c r="E165" s="260"/>
      <c r="F165" s="305"/>
      <c r="G165" s="260"/>
      <c r="H165" s="57"/>
      <c r="I165" s="57"/>
    </row>
    <row r="166" spans="1:9">
      <c r="A166" s="58"/>
      <c r="B166" s="38"/>
      <c r="C166" s="57"/>
      <c r="D166" s="305"/>
      <c r="E166" s="260"/>
      <c r="F166" s="305"/>
      <c r="G166" s="260"/>
      <c r="H166" s="57"/>
      <c r="I166" s="57"/>
    </row>
    <row r="167" spans="1:9">
      <c r="A167" s="58"/>
      <c r="B167" s="38"/>
      <c r="C167" s="57"/>
      <c r="D167" s="305"/>
      <c r="E167" s="260"/>
      <c r="F167" s="305"/>
      <c r="G167" s="260"/>
      <c r="H167" s="57"/>
      <c r="I167" s="57"/>
    </row>
    <row r="168" spans="1:9">
      <c r="A168" s="58"/>
      <c r="B168" s="38"/>
      <c r="C168" s="57"/>
      <c r="D168" s="305"/>
      <c r="E168" s="260"/>
      <c r="F168" s="305"/>
      <c r="G168" s="260"/>
      <c r="H168" s="57"/>
      <c r="I168" s="57"/>
    </row>
    <row r="169" spans="1:9">
      <c r="A169" s="58"/>
      <c r="B169" s="38"/>
      <c r="C169" s="57"/>
      <c r="D169" s="305"/>
      <c r="E169" s="260"/>
      <c r="F169" s="305"/>
      <c r="G169" s="260"/>
      <c r="H169" s="57"/>
      <c r="I169" s="57"/>
    </row>
    <row r="170" spans="1:9">
      <c r="A170" s="58"/>
      <c r="B170" s="38"/>
      <c r="C170" s="57"/>
      <c r="D170" s="305"/>
      <c r="E170" s="260"/>
      <c r="F170" s="305"/>
      <c r="G170" s="260"/>
      <c r="H170" s="57"/>
      <c r="I170" s="57"/>
    </row>
    <row r="171" spans="1:9">
      <c r="A171" s="58"/>
      <c r="B171" s="38"/>
      <c r="C171" s="57"/>
      <c r="D171" s="305"/>
      <c r="E171" s="260"/>
      <c r="F171" s="305"/>
      <c r="G171" s="260"/>
      <c r="H171" s="57"/>
      <c r="I171" s="57"/>
    </row>
    <row r="172" spans="1:9">
      <c r="A172" s="58"/>
      <c r="B172" s="38"/>
      <c r="C172" s="57"/>
      <c r="D172" s="305"/>
      <c r="E172" s="260"/>
      <c r="F172" s="305"/>
      <c r="G172" s="260"/>
      <c r="H172" s="57"/>
      <c r="I172" s="57"/>
    </row>
    <row r="173" spans="1:9">
      <c r="A173" s="58"/>
      <c r="B173" s="38"/>
      <c r="C173" s="57"/>
      <c r="D173" s="305"/>
      <c r="E173" s="260"/>
      <c r="F173" s="305"/>
      <c r="G173" s="260"/>
      <c r="H173" s="57"/>
      <c r="I173" s="57"/>
    </row>
    <row r="174" spans="1:9">
      <c r="A174" s="58"/>
      <c r="B174" s="38"/>
      <c r="C174" s="57"/>
      <c r="D174" s="305"/>
      <c r="E174" s="260"/>
      <c r="F174" s="305"/>
      <c r="G174" s="260"/>
      <c r="H174" s="57"/>
      <c r="I174" s="57"/>
    </row>
    <row r="175" spans="1:9">
      <c r="A175" s="58"/>
      <c r="B175" s="38"/>
      <c r="C175" s="57"/>
      <c r="D175" s="305"/>
      <c r="E175" s="260"/>
      <c r="F175" s="305"/>
      <c r="G175" s="260"/>
      <c r="H175" s="57"/>
      <c r="I175" s="57"/>
    </row>
    <row r="176" spans="1:9">
      <c r="A176" s="58"/>
      <c r="B176" s="38"/>
      <c r="C176" s="57"/>
      <c r="D176" s="305"/>
      <c r="E176" s="260"/>
      <c r="F176" s="305"/>
      <c r="G176" s="260"/>
      <c r="H176" s="57"/>
      <c r="I176" s="57"/>
    </row>
    <row r="177" spans="1:9">
      <c r="A177" s="58"/>
      <c r="B177" s="38"/>
      <c r="C177" s="57"/>
      <c r="D177" s="305"/>
      <c r="E177" s="260"/>
      <c r="F177" s="305"/>
      <c r="G177" s="260"/>
      <c r="H177" s="57"/>
      <c r="I177" s="57"/>
    </row>
    <row r="178" spans="1:9">
      <c r="A178" s="58"/>
      <c r="B178" s="38"/>
      <c r="C178" s="57"/>
      <c r="D178" s="305"/>
      <c r="E178" s="260"/>
      <c r="F178" s="305"/>
      <c r="G178" s="260"/>
      <c r="H178" s="57"/>
      <c r="I178" s="57"/>
    </row>
    <row r="179" spans="1:9">
      <c r="A179" s="58"/>
      <c r="B179" s="38"/>
      <c r="C179" s="57"/>
      <c r="D179" s="305"/>
      <c r="E179" s="260"/>
      <c r="F179" s="305"/>
      <c r="G179" s="260"/>
      <c r="H179" s="57"/>
      <c r="I179" s="57"/>
    </row>
    <row r="180" spans="1:9">
      <c r="A180" s="58"/>
      <c r="B180" s="38"/>
      <c r="C180" s="57"/>
      <c r="D180" s="305"/>
      <c r="E180" s="260"/>
      <c r="F180" s="305"/>
      <c r="G180" s="260"/>
      <c r="H180" s="57"/>
      <c r="I180" s="57"/>
    </row>
    <row r="181" spans="1:9">
      <c r="A181" s="58"/>
      <c r="B181" s="38"/>
      <c r="C181" s="57"/>
      <c r="D181" s="305"/>
      <c r="E181" s="260"/>
      <c r="F181" s="305"/>
      <c r="G181" s="260"/>
      <c r="H181" s="57"/>
      <c r="I181" s="57"/>
    </row>
    <row r="182" spans="1:9">
      <c r="A182" s="58"/>
      <c r="B182" s="38"/>
      <c r="C182" s="57"/>
      <c r="D182" s="305"/>
      <c r="E182" s="260"/>
      <c r="F182" s="305"/>
      <c r="G182" s="260"/>
      <c r="H182" s="57"/>
      <c r="I182" s="57"/>
    </row>
    <row r="183" spans="1:9">
      <c r="A183" s="58"/>
      <c r="B183" s="38"/>
      <c r="C183" s="57"/>
      <c r="D183" s="305"/>
      <c r="E183" s="260"/>
      <c r="F183" s="305"/>
      <c r="G183" s="260"/>
      <c r="H183" s="57"/>
      <c r="I183" s="57"/>
    </row>
    <row r="184" spans="1:9">
      <c r="A184" s="58"/>
      <c r="B184" s="38"/>
      <c r="C184" s="57"/>
      <c r="D184" s="305"/>
      <c r="E184" s="260"/>
      <c r="F184" s="305"/>
      <c r="G184" s="260"/>
      <c r="H184" s="57"/>
      <c r="I184" s="57"/>
    </row>
    <row r="185" spans="1:9">
      <c r="A185" s="58"/>
      <c r="B185" s="38"/>
      <c r="C185" s="57"/>
      <c r="D185" s="305"/>
      <c r="E185" s="260"/>
      <c r="F185" s="305"/>
      <c r="G185" s="260"/>
      <c r="H185" s="57"/>
      <c r="I185" s="57"/>
    </row>
    <row r="186" spans="1:9">
      <c r="A186" s="58"/>
      <c r="B186" s="38"/>
      <c r="C186" s="57"/>
      <c r="D186" s="305"/>
      <c r="E186" s="260"/>
      <c r="F186" s="305"/>
      <c r="G186" s="260"/>
      <c r="H186" s="57"/>
      <c r="I186" s="57"/>
    </row>
    <row r="187" spans="1:9">
      <c r="A187" s="58"/>
      <c r="B187" s="38"/>
      <c r="C187" s="57"/>
      <c r="D187" s="305"/>
      <c r="E187" s="260"/>
      <c r="F187" s="305"/>
      <c r="G187" s="260"/>
      <c r="H187" s="57"/>
      <c r="I187" s="57"/>
    </row>
    <row r="188" spans="1:9">
      <c r="A188" s="58"/>
      <c r="B188" s="38"/>
      <c r="C188" s="57"/>
      <c r="D188" s="305"/>
      <c r="E188" s="260"/>
      <c r="F188" s="305"/>
      <c r="G188" s="260"/>
      <c r="H188" s="57"/>
      <c r="I188" s="57"/>
    </row>
    <row r="189" spans="1:9">
      <c r="A189" s="58"/>
      <c r="B189" s="38"/>
      <c r="C189" s="57"/>
      <c r="D189" s="305"/>
      <c r="E189" s="260"/>
      <c r="F189" s="305"/>
      <c r="G189" s="260"/>
      <c r="H189" s="57"/>
      <c r="I189" s="57"/>
    </row>
    <row r="190" spans="1:9">
      <c r="A190" s="58"/>
      <c r="B190" s="38"/>
      <c r="C190" s="57"/>
      <c r="D190" s="305"/>
      <c r="E190" s="260"/>
      <c r="F190" s="305"/>
      <c r="G190" s="260"/>
      <c r="H190" s="57"/>
      <c r="I190" s="57"/>
    </row>
    <row r="191" spans="1:9">
      <c r="A191" s="58"/>
      <c r="B191" s="38"/>
      <c r="C191" s="57"/>
      <c r="D191" s="305"/>
      <c r="E191" s="260"/>
      <c r="F191" s="305"/>
      <c r="G191" s="260"/>
      <c r="H191" s="57"/>
      <c r="I191" s="57"/>
    </row>
    <row r="192" spans="1:9">
      <c r="A192" s="58"/>
      <c r="B192" s="38"/>
      <c r="C192" s="57"/>
      <c r="D192" s="305"/>
      <c r="E192" s="260"/>
      <c r="F192" s="305"/>
      <c r="G192" s="260"/>
      <c r="H192" s="57"/>
      <c r="I192" s="57"/>
    </row>
    <row r="193" spans="1:9">
      <c r="A193" s="58"/>
      <c r="B193" s="38"/>
      <c r="C193" s="57"/>
      <c r="D193" s="305"/>
      <c r="E193" s="260"/>
      <c r="F193" s="305"/>
      <c r="G193" s="260"/>
      <c r="H193" s="57"/>
      <c r="I193" s="57"/>
    </row>
    <row r="194" spans="1:9">
      <c r="A194" s="58"/>
      <c r="B194" s="38"/>
      <c r="C194" s="57"/>
      <c r="D194" s="305"/>
      <c r="E194" s="260"/>
      <c r="F194" s="305"/>
      <c r="G194" s="260"/>
      <c r="H194" s="57"/>
      <c r="I194" s="57"/>
    </row>
    <row r="195" spans="1:9">
      <c r="A195" s="58"/>
      <c r="B195" s="38"/>
      <c r="C195" s="57"/>
      <c r="D195" s="305"/>
      <c r="E195" s="260"/>
      <c r="F195" s="305"/>
      <c r="G195" s="260"/>
      <c r="H195" s="57"/>
      <c r="I195" s="57"/>
    </row>
    <row r="196" spans="1:9">
      <c r="A196" s="58"/>
      <c r="B196" s="38"/>
      <c r="C196" s="57"/>
      <c r="D196" s="305"/>
      <c r="E196" s="260"/>
      <c r="F196" s="305"/>
      <c r="G196" s="260"/>
      <c r="H196" s="57"/>
      <c r="I196" s="57"/>
    </row>
    <row r="197" spans="1:9">
      <c r="A197" s="58"/>
      <c r="B197" s="38"/>
      <c r="C197" s="57"/>
      <c r="D197" s="305"/>
      <c r="E197" s="260"/>
      <c r="F197" s="305"/>
      <c r="G197" s="260"/>
      <c r="H197" s="57"/>
      <c r="I197" s="57"/>
    </row>
    <row r="198" spans="1:9">
      <c r="A198" s="58"/>
      <c r="B198" s="38"/>
      <c r="C198" s="57"/>
      <c r="D198" s="305"/>
      <c r="E198" s="260"/>
      <c r="F198" s="305"/>
      <c r="G198" s="260"/>
      <c r="H198" s="57"/>
      <c r="I198" s="57"/>
    </row>
    <row r="199" spans="1:9">
      <c r="A199" s="58"/>
      <c r="B199" s="38"/>
      <c r="C199" s="57"/>
      <c r="D199" s="305"/>
      <c r="E199" s="260"/>
      <c r="F199" s="305"/>
      <c r="G199" s="260"/>
      <c r="H199" s="57"/>
      <c r="I199" s="57"/>
    </row>
    <row r="200" spans="1:9">
      <c r="A200" s="58"/>
      <c r="B200" s="38"/>
      <c r="C200" s="57"/>
      <c r="D200" s="305"/>
      <c r="E200" s="260"/>
      <c r="F200" s="305"/>
      <c r="G200" s="260"/>
      <c r="H200" s="57"/>
      <c r="I200" s="57"/>
    </row>
    <row r="201" spans="1:9">
      <c r="A201" s="58"/>
      <c r="B201" s="38"/>
      <c r="C201" s="57"/>
      <c r="D201" s="305"/>
      <c r="E201" s="260"/>
      <c r="F201" s="305"/>
      <c r="G201" s="260"/>
      <c r="H201" s="57"/>
      <c r="I201" s="57"/>
    </row>
  </sheetData>
  <mergeCells count="402">
    <mergeCell ref="B2:I2"/>
    <mergeCell ref="F113:G113"/>
    <mergeCell ref="D32:E32"/>
    <mergeCell ref="F32:G32"/>
    <mergeCell ref="D97:E97"/>
    <mergeCell ref="F26:G26"/>
    <mergeCell ref="F159:G159"/>
    <mergeCell ref="F97:G97"/>
    <mergeCell ref="F90:G90"/>
    <mergeCell ref="E3:G3"/>
    <mergeCell ref="F27:G27"/>
    <mergeCell ref="D121:E121"/>
    <mergeCell ref="D42:E42"/>
    <mergeCell ref="D123:E123"/>
    <mergeCell ref="F123:G123"/>
    <mergeCell ref="D50:E50"/>
    <mergeCell ref="D110:E110"/>
    <mergeCell ref="D44:E44"/>
    <mergeCell ref="F44:G44"/>
    <mergeCell ref="D171:E171"/>
    <mergeCell ref="F100:G100"/>
    <mergeCell ref="F165:G165"/>
    <mergeCell ref="F115:G115"/>
    <mergeCell ref="D102:E102"/>
    <mergeCell ref="F179:G179"/>
    <mergeCell ref="F102:G102"/>
    <mergeCell ref="D196:E196"/>
    <mergeCell ref="D25:E25"/>
    <mergeCell ref="F77:G77"/>
    <mergeCell ref="F166:G166"/>
    <mergeCell ref="D133:E133"/>
    <mergeCell ref="D54:E54"/>
    <mergeCell ref="D191:E191"/>
    <mergeCell ref="F191:G191"/>
    <mergeCell ref="F59:G59"/>
    <mergeCell ref="D95:E95"/>
    <mergeCell ref="F95:G95"/>
    <mergeCell ref="D57:E57"/>
    <mergeCell ref="D184:E184"/>
    <mergeCell ref="F184:G184"/>
    <mergeCell ref="D192:E192"/>
    <mergeCell ref="D173:E173"/>
    <mergeCell ref="D170:E170"/>
    <mergeCell ref="D49:E49"/>
    <mergeCell ref="D120:E120"/>
    <mergeCell ref="D107:E107"/>
    <mergeCell ref="D163:E163"/>
    <mergeCell ref="F36:G36"/>
    <mergeCell ref="F163:G163"/>
    <mergeCell ref="F101:G101"/>
    <mergeCell ref="F8:G8"/>
    <mergeCell ref="F24:G24"/>
    <mergeCell ref="D200:E200"/>
    <mergeCell ref="F129:G129"/>
    <mergeCell ref="F200:G200"/>
    <mergeCell ref="F131:G131"/>
    <mergeCell ref="D58:E58"/>
    <mergeCell ref="F58:G58"/>
    <mergeCell ref="F52:G52"/>
    <mergeCell ref="D8:E8"/>
    <mergeCell ref="F37:G37"/>
    <mergeCell ref="F195:G195"/>
    <mergeCell ref="F60:G60"/>
    <mergeCell ref="F197:G197"/>
    <mergeCell ref="F53:G53"/>
    <mergeCell ref="D20:E20"/>
    <mergeCell ref="F68:G68"/>
    <mergeCell ref="D84:E84"/>
    <mergeCell ref="D155:E155"/>
    <mergeCell ref="F84:G84"/>
    <mergeCell ref="D22:E22"/>
    <mergeCell ref="D149:E149"/>
    <mergeCell ref="D86:E86"/>
    <mergeCell ref="F15:G15"/>
    <mergeCell ref="F86:G86"/>
    <mergeCell ref="F142:G142"/>
    <mergeCell ref="D199:E199"/>
    <mergeCell ref="F128:G128"/>
    <mergeCell ref="D186:E186"/>
    <mergeCell ref="D65:E65"/>
    <mergeCell ref="F21:G21"/>
    <mergeCell ref="F192:G192"/>
    <mergeCell ref="D194:E194"/>
    <mergeCell ref="F194:G194"/>
    <mergeCell ref="F50:G50"/>
    <mergeCell ref="F110:G110"/>
    <mergeCell ref="F181:G181"/>
    <mergeCell ref="F141:G141"/>
    <mergeCell ref="D146:E146"/>
    <mergeCell ref="D83:E83"/>
    <mergeCell ref="D143:E143"/>
    <mergeCell ref="F49:G49"/>
    <mergeCell ref="D85:E85"/>
    <mergeCell ref="F78:G78"/>
    <mergeCell ref="F65:G65"/>
    <mergeCell ref="D159:E159"/>
    <mergeCell ref="D80:E80"/>
    <mergeCell ref="F55:G55"/>
    <mergeCell ref="F169:G169"/>
    <mergeCell ref="D136:E136"/>
    <mergeCell ref="H3:I3"/>
    <mergeCell ref="D39:E39"/>
    <mergeCell ref="F39:G39"/>
    <mergeCell ref="A1:I1"/>
    <mergeCell ref="D89:E89"/>
    <mergeCell ref="F64:G64"/>
    <mergeCell ref="D153:E153"/>
    <mergeCell ref="F178:G178"/>
    <mergeCell ref="D128:E128"/>
    <mergeCell ref="D17:E17"/>
    <mergeCell ref="D12:E12"/>
    <mergeCell ref="D14:E14"/>
    <mergeCell ref="F14:G14"/>
    <mergeCell ref="D154:E154"/>
    <mergeCell ref="D151:E151"/>
    <mergeCell ref="F80:G80"/>
    <mergeCell ref="D13:E13"/>
    <mergeCell ref="D150:E150"/>
    <mergeCell ref="F79:G79"/>
    <mergeCell ref="F144:G144"/>
    <mergeCell ref="F81:G81"/>
    <mergeCell ref="D177:E177"/>
    <mergeCell ref="D33:E33"/>
    <mergeCell ref="D164:E164"/>
    <mergeCell ref="D198:E198"/>
    <mergeCell ref="F33:G33"/>
    <mergeCell ref="F198:G198"/>
    <mergeCell ref="D75:E75"/>
    <mergeCell ref="F75:G75"/>
    <mergeCell ref="F62:G62"/>
    <mergeCell ref="D181:E181"/>
    <mergeCell ref="F31:G31"/>
    <mergeCell ref="F28:G28"/>
    <mergeCell ref="D35:E35"/>
    <mergeCell ref="D34:E34"/>
    <mergeCell ref="F63:G63"/>
    <mergeCell ref="F34:G34"/>
    <mergeCell ref="D99:E99"/>
    <mergeCell ref="F99:G99"/>
    <mergeCell ref="F74:G74"/>
    <mergeCell ref="D101:E101"/>
    <mergeCell ref="F30:G30"/>
    <mergeCell ref="D76:E76"/>
    <mergeCell ref="F138:G138"/>
    <mergeCell ref="F76:G76"/>
    <mergeCell ref="F94:G94"/>
    <mergeCell ref="D175:E175"/>
    <mergeCell ref="F150:G150"/>
    <mergeCell ref="D193:E193"/>
    <mergeCell ref="D127:E127"/>
    <mergeCell ref="F56:G56"/>
    <mergeCell ref="F13:G13"/>
    <mergeCell ref="D176:E176"/>
    <mergeCell ref="F105:G105"/>
    <mergeCell ref="D114:E114"/>
    <mergeCell ref="F43:G43"/>
    <mergeCell ref="F176:G176"/>
    <mergeCell ref="F170:G170"/>
    <mergeCell ref="D64:E64"/>
    <mergeCell ref="F120:G120"/>
    <mergeCell ref="D51:E51"/>
    <mergeCell ref="F107:G107"/>
    <mergeCell ref="F57:G57"/>
    <mergeCell ref="F171:G171"/>
    <mergeCell ref="D138:E138"/>
    <mergeCell ref="D140:E140"/>
    <mergeCell ref="D165:E165"/>
    <mergeCell ref="D152:E152"/>
    <mergeCell ref="F152:G152"/>
    <mergeCell ref="D29:E29"/>
    <mergeCell ref="D23:E23"/>
    <mergeCell ref="F87:G87"/>
    <mergeCell ref="B3:D3"/>
    <mergeCell ref="D201:E201"/>
    <mergeCell ref="D68:E68"/>
    <mergeCell ref="F130:G130"/>
    <mergeCell ref="D188:E188"/>
    <mergeCell ref="D132:E132"/>
    <mergeCell ref="F157:G157"/>
    <mergeCell ref="F132:G132"/>
    <mergeCell ref="D59:E59"/>
    <mergeCell ref="D178:E178"/>
    <mergeCell ref="D172:E172"/>
    <mergeCell ref="F172:G172"/>
    <mergeCell ref="F196:G196"/>
    <mergeCell ref="F25:G25"/>
    <mergeCell ref="C5:G5"/>
    <mergeCell ref="D36:E36"/>
    <mergeCell ref="F173:G173"/>
    <mergeCell ref="D61:E61"/>
    <mergeCell ref="D48:E48"/>
    <mergeCell ref="D125:E125"/>
    <mergeCell ref="F125:G125"/>
    <mergeCell ref="F185:G185"/>
    <mergeCell ref="D112:E112"/>
    <mergeCell ref="B4:D4"/>
    <mergeCell ref="D190:E190"/>
    <mergeCell ref="D46:E46"/>
    <mergeCell ref="D40:E40"/>
    <mergeCell ref="H4:I4"/>
    <mergeCell ref="D111:E111"/>
    <mergeCell ref="F40:G40"/>
    <mergeCell ref="D183:E183"/>
    <mergeCell ref="F12:G12"/>
    <mergeCell ref="F177:G177"/>
    <mergeCell ref="D104:E104"/>
    <mergeCell ref="F104:G104"/>
    <mergeCell ref="D185:E185"/>
    <mergeCell ref="D41:E41"/>
    <mergeCell ref="F41:G41"/>
    <mergeCell ref="F35:G35"/>
    <mergeCell ref="F106:G106"/>
    <mergeCell ref="D43:E43"/>
    <mergeCell ref="D137:E137"/>
    <mergeCell ref="D74:E74"/>
    <mergeCell ref="D130:E130"/>
    <mergeCell ref="D62:E62"/>
    <mergeCell ref="D56:E56"/>
    <mergeCell ref="D11:E11"/>
    <mergeCell ref="D10:E10"/>
    <mergeCell ref="A5:B5"/>
    <mergeCell ref="D93:E93"/>
    <mergeCell ref="F155:G155"/>
    <mergeCell ref="F22:G22"/>
    <mergeCell ref="F93:G93"/>
    <mergeCell ref="F149:G149"/>
    <mergeCell ref="D157:E157"/>
    <mergeCell ref="F151:G151"/>
    <mergeCell ref="E4:G4"/>
    <mergeCell ref="D109:E109"/>
    <mergeCell ref="F11:G11"/>
    <mergeCell ref="D119:E119"/>
    <mergeCell ref="F10:G10"/>
    <mergeCell ref="F147:G147"/>
    <mergeCell ref="F89:G89"/>
    <mergeCell ref="F7:G7"/>
    <mergeCell ref="D105:E105"/>
    <mergeCell ref="F199:G199"/>
    <mergeCell ref="D24:E24"/>
    <mergeCell ref="D113:E113"/>
    <mergeCell ref="D88:E88"/>
    <mergeCell ref="D26:E26"/>
    <mergeCell ref="F88:G88"/>
    <mergeCell ref="D148:E148"/>
    <mergeCell ref="F148:G148"/>
    <mergeCell ref="D115:E115"/>
    <mergeCell ref="F54:G54"/>
    <mergeCell ref="D90:E90"/>
    <mergeCell ref="F146:G146"/>
    <mergeCell ref="F83:G83"/>
    <mergeCell ref="F85:G85"/>
    <mergeCell ref="D179:E179"/>
    <mergeCell ref="D166:E166"/>
    <mergeCell ref="D103:E103"/>
    <mergeCell ref="D37:E37"/>
    <mergeCell ref="D168:E168"/>
    <mergeCell ref="D180:E180"/>
    <mergeCell ref="D118:E118"/>
    <mergeCell ref="D167:E167"/>
    <mergeCell ref="D161:E161"/>
    <mergeCell ref="F167:G167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19:E19"/>
    <mergeCell ref="F19:G19"/>
    <mergeCell ref="F6:G6"/>
    <mergeCell ref="F20:G20"/>
    <mergeCell ref="D9:E9"/>
    <mergeCell ref="F9:G9"/>
    <mergeCell ref="F136:G136"/>
    <mergeCell ref="D38:E38"/>
    <mergeCell ref="D63:E63"/>
    <mergeCell ref="D96:E96"/>
    <mergeCell ref="D52:E52"/>
    <mergeCell ref="F201:G201"/>
    <mergeCell ref="F164:G164"/>
    <mergeCell ref="F139:G139"/>
    <mergeCell ref="F114:G114"/>
    <mergeCell ref="D28:E28"/>
    <mergeCell ref="D117:E117"/>
    <mergeCell ref="D92:E92"/>
    <mergeCell ref="D55:E55"/>
    <mergeCell ref="F117:G117"/>
    <mergeCell ref="F92:G92"/>
    <mergeCell ref="D30:E30"/>
    <mergeCell ref="D67:E67"/>
    <mergeCell ref="D94:E94"/>
    <mergeCell ref="F119:G119"/>
    <mergeCell ref="D69:E69"/>
    <mergeCell ref="F69:G69"/>
    <mergeCell ref="F112:G112"/>
    <mergeCell ref="F183:G183"/>
    <mergeCell ref="F193:G193"/>
    <mergeCell ref="F127:G127"/>
    <mergeCell ref="F51:G51"/>
    <mergeCell ref="D145:E145"/>
    <mergeCell ref="F145:G145"/>
    <mergeCell ref="D87:E87"/>
    <mergeCell ref="D197:E197"/>
    <mergeCell ref="F126:G126"/>
    <mergeCell ref="D53:E53"/>
    <mergeCell ref="F17:G17"/>
    <mergeCell ref="F66:G66"/>
    <mergeCell ref="D47:E47"/>
    <mergeCell ref="F109:G109"/>
    <mergeCell ref="F47:G47"/>
    <mergeCell ref="F190:G190"/>
    <mergeCell ref="F46:G46"/>
    <mergeCell ref="F111:G111"/>
    <mergeCell ref="F61:G61"/>
    <mergeCell ref="F48:G48"/>
    <mergeCell ref="D142:E142"/>
    <mergeCell ref="D129:E129"/>
    <mergeCell ref="D79:E79"/>
    <mergeCell ref="D144:E144"/>
    <mergeCell ref="F73:G73"/>
    <mergeCell ref="D81:E81"/>
    <mergeCell ref="F137:G137"/>
    <mergeCell ref="F124:G124"/>
    <mergeCell ref="D139:E139"/>
    <mergeCell ref="D21:E21"/>
    <mergeCell ref="D147:E147"/>
    <mergeCell ref="D195:E195"/>
    <mergeCell ref="D189:E189"/>
    <mergeCell ref="F18:G18"/>
    <mergeCell ref="F189:G189"/>
    <mergeCell ref="F45:G45"/>
    <mergeCell ref="F42:G42"/>
    <mergeCell ref="D66:E66"/>
    <mergeCell ref="D126:E126"/>
    <mergeCell ref="F188:G188"/>
    <mergeCell ref="F38:G38"/>
    <mergeCell ref="D122:E122"/>
    <mergeCell ref="D18:E18"/>
    <mergeCell ref="F140:G140"/>
    <mergeCell ref="F67:G67"/>
    <mergeCell ref="F186:G186"/>
    <mergeCell ref="D82:E82"/>
    <mergeCell ref="F82:G82"/>
    <mergeCell ref="D100:E100"/>
    <mergeCell ref="F29:G29"/>
    <mergeCell ref="D31:E31"/>
    <mergeCell ref="D158:E158"/>
    <mergeCell ref="F158:G158"/>
    <mergeCell ref="F161:G161"/>
    <mergeCell ref="D169:E169"/>
    <mergeCell ref="D7:E7"/>
    <mergeCell ref="D78:E78"/>
    <mergeCell ref="D134:E134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D131:E131"/>
    <mergeCell ref="D124:E124"/>
    <mergeCell ref="D15:E15"/>
    <mergeCell ref="D16:E16"/>
    <mergeCell ref="D27:E27"/>
    <mergeCell ref="D116:E116"/>
    <mergeCell ref="D91:E91"/>
    <mergeCell ref="F91:G91"/>
    <mergeCell ref="D106:E106"/>
    <mergeCell ref="D60:E60"/>
    <mergeCell ref="D187:E187"/>
    <mergeCell ref="F116:G116"/>
    <mergeCell ref="F187:G187"/>
    <mergeCell ref="F16:G16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  <mergeCell ref="F70:G70"/>
    <mergeCell ref="F175:G175"/>
    <mergeCell ref="F162:G162"/>
    <mergeCell ref="F154:G154"/>
    <mergeCell ref="D162:E162"/>
    <mergeCell ref="D156:E156"/>
    <mergeCell ref="F156:G156"/>
    <mergeCell ref="F180:G180"/>
    <mergeCell ref="D182:E182"/>
    <mergeCell ref="F182:G182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theme="2" tint="-0.499984740745262"/>
  </sheetPr>
  <dimension ref="A1:O59"/>
  <sheetViews>
    <sheetView workbookViewId="0">
      <pane ySplit="6" topLeftCell="A22" activePane="bottomLeft" state="frozen"/>
      <selection activeCell="A81" sqref="A81"/>
      <selection pane="bottomLeft" activeCell="I28" sqref="I28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722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723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Semi-Nax  10mg</v>
      </c>
      <c r="K3" s="34" t="s">
        <v>724</v>
      </c>
      <c r="L3" s="5">
        <f>H7</f>
        <v>107</v>
      </c>
      <c r="M3" s="3">
        <f>SUM(C$8:C$1048576)</f>
        <v>750</v>
      </c>
      <c r="N3" s="3">
        <f>SUM(F:F)</f>
        <v>690</v>
      </c>
      <c r="O3" s="3">
        <f>L3+M3-N3</f>
        <v>167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725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726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107</v>
      </c>
      <c r="D7" s="280"/>
      <c r="E7" s="260"/>
      <c r="F7" s="280"/>
      <c r="G7" s="260"/>
      <c r="H7" s="155">
        <v>107</v>
      </c>
      <c r="I7" s="210" t="s">
        <v>571</v>
      </c>
      <c r="J7" s="12"/>
      <c r="K7" s="3"/>
      <c r="L7" s="3"/>
      <c r="M7" s="3"/>
      <c r="N7" s="3"/>
      <c r="O7" s="3"/>
    </row>
    <row r="8" spans="1:15" ht="21" customHeight="1">
      <c r="A8" s="39" t="s">
        <v>463</v>
      </c>
      <c r="B8" s="38" t="s">
        <v>323</v>
      </c>
      <c r="C8" s="38"/>
      <c r="D8" s="259"/>
      <c r="E8" s="260"/>
      <c r="F8" s="279">
        <v>30</v>
      </c>
      <c r="G8" s="260"/>
      <c r="H8" s="38">
        <f>H7-F8</f>
        <v>77</v>
      </c>
      <c r="I8" s="7" t="s">
        <v>414</v>
      </c>
    </row>
    <row r="9" spans="1:15" ht="21" customHeight="1">
      <c r="A9" s="39" t="s">
        <v>466</v>
      </c>
      <c r="B9" s="38" t="s">
        <v>323</v>
      </c>
      <c r="C9" s="38"/>
      <c r="D9" s="259"/>
      <c r="E9" s="260"/>
      <c r="F9" s="279">
        <v>56</v>
      </c>
      <c r="G9" s="260"/>
      <c r="H9" s="38">
        <f>H8-F9</f>
        <v>21</v>
      </c>
      <c r="I9" s="226" t="s">
        <v>727</v>
      </c>
    </row>
    <row r="10" spans="1:15" ht="21" customHeight="1">
      <c r="A10" s="39" t="s">
        <v>573</v>
      </c>
      <c r="B10" s="38" t="s">
        <v>324</v>
      </c>
      <c r="C10" s="38">
        <v>100</v>
      </c>
      <c r="D10" s="259" t="s">
        <v>728</v>
      </c>
      <c r="E10" s="260"/>
      <c r="F10" s="279"/>
      <c r="G10" s="260"/>
      <c r="H10" s="38">
        <v>121</v>
      </c>
      <c r="I10" s="109" t="s">
        <v>437</v>
      </c>
    </row>
    <row r="11" spans="1:15" ht="21" customHeight="1">
      <c r="A11" s="39" t="s">
        <v>473</v>
      </c>
      <c r="B11" s="38" t="s">
        <v>323</v>
      </c>
      <c r="C11" s="38"/>
      <c r="D11" s="259"/>
      <c r="E11" s="260"/>
      <c r="F11" s="279">
        <v>56</v>
      </c>
      <c r="G11" s="260"/>
      <c r="H11" s="38">
        <f>H10-F11</f>
        <v>65</v>
      </c>
      <c r="I11" s="7"/>
    </row>
    <row r="12" spans="1:15" ht="21" customHeight="1">
      <c r="A12" s="39" t="s">
        <v>339</v>
      </c>
      <c r="B12" s="38" t="s">
        <v>324</v>
      </c>
      <c r="C12" s="38">
        <v>100</v>
      </c>
      <c r="D12" s="259" t="s">
        <v>728</v>
      </c>
      <c r="E12" s="260"/>
      <c r="F12" s="279"/>
      <c r="G12" s="260"/>
      <c r="H12" s="38">
        <v>165</v>
      </c>
      <c r="I12" s="109" t="s">
        <v>437</v>
      </c>
    </row>
    <row r="13" spans="1:15" ht="21" customHeight="1">
      <c r="A13" s="39" t="s">
        <v>339</v>
      </c>
      <c r="B13" s="38" t="s">
        <v>324</v>
      </c>
      <c r="C13" s="38">
        <v>60</v>
      </c>
      <c r="D13" s="259" t="s">
        <v>729</v>
      </c>
      <c r="E13" s="260"/>
      <c r="F13" s="279"/>
      <c r="G13" s="260"/>
      <c r="H13" s="38">
        <f>H12+C13</f>
        <v>225</v>
      </c>
      <c r="I13" s="7" t="s">
        <v>608</v>
      </c>
    </row>
    <row r="14" spans="1:15" ht="21" customHeight="1">
      <c r="A14" s="39" t="s">
        <v>577</v>
      </c>
      <c r="B14" s="38" t="s">
        <v>324</v>
      </c>
      <c r="C14" s="38">
        <v>40</v>
      </c>
      <c r="D14" s="259" t="s">
        <v>729</v>
      </c>
      <c r="E14" s="260"/>
      <c r="F14" s="279"/>
      <c r="G14" s="260"/>
      <c r="H14" s="38">
        <f>H13+C14</f>
        <v>265</v>
      </c>
      <c r="I14" s="7" t="s">
        <v>608</v>
      </c>
    </row>
    <row r="15" spans="1:15" ht="21" customHeight="1">
      <c r="A15" s="39" t="s">
        <v>577</v>
      </c>
      <c r="B15" s="38" t="s">
        <v>323</v>
      </c>
      <c r="C15" s="38"/>
      <c r="D15" s="259"/>
      <c r="E15" s="260"/>
      <c r="F15" s="279">
        <v>28</v>
      </c>
      <c r="G15" s="260"/>
      <c r="H15" s="38">
        <f>H14-F15</f>
        <v>237</v>
      </c>
      <c r="I15" s="7"/>
    </row>
    <row r="16" spans="1:15" ht="21" customHeight="1">
      <c r="A16" s="39" t="s">
        <v>525</v>
      </c>
      <c r="B16" s="38" t="s">
        <v>324</v>
      </c>
      <c r="C16" s="38">
        <v>50</v>
      </c>
      <c r="D16" s="259" t="s">
        <v>729</v>
      </c>
      <c r="E16" s="260"/>
      <c r="F16" s="279"/>
      <c r="G16" s="260"/>
      <c r="H16" s="38">
        <v>287</v>
      </c>
      <c r="I16" s="109" t="s">
        <v>608</v>
      </c>
    </row>
    <row r="17" spans="1:9" ht="21" customHeight="1">
      <c r="A17" s="39" t="s">
        <v>525</v>
      </c>
      <c r="B17" s="38" t="s">
        <v>323</v>
      </c>
      <c r="C17" s="38"/>
      <c r="D17" s="259"/>
      <c r="E17" s="260"/>
      <c r="F17" s="279">
        <v>30</v>
      </c>
      <c r="G17" s="260"/>
      <c r="H17" s="38">
        <f>H16-F17</f>
        <v>257</v>
      </c>
      <c r="I17" s="7"/>
    </row>
    <row r="18" spans="1:9" ht="21" customHeight="1">
      <c r="A18" s="39" t="s">
        <v>386</v>
      </c>
      <c r="B18" s="38" t="s">
        <v>323</v>
      </c>
      <c r="C18" s="38"/>
      <c r="D18" s="259"/>
      <c r="E18" s="260"/>
      <c r="F18" s="279">
        <v>70</v>
      </c>
      <c r="G18" s="260"/>
      <c r="H18" s="38">
        <f>H17-F18</f>
        <v>187</v>
      </c>
      <c r="I18" s="109" t="s">
        <v>608</v>
      </c>
    </row>
    <row r="19" spans="1:9" ht="21" customHeight="1">
      <c r="A19" s="39" t="s">
        <v>346</v>
      </c>
      <c r="B19" s="38" t="s">
        <v>323</v>
      </c>
      <c r="C19" s="38"/>
      <c r="D19" s="259"/>
      <c r="E19" s="260"/>
      <c r="F19" s="279">
        <v>28</v>
      </c>
      <c r="G19" s="260"/>
      <c r="H19" s="38">
        <f>H18-F19</f>
        <v>159</v>
      </c>
      <c r="I19" s="7"/>
    </row>
    <row r="20" spans="1:9" ht="21" customHeight="1">
      <c r="A20" s="39" t="s">
        <v>439</v>
      </c>
      <c r="B20" s="38" t="s">
        <v>323</v>
      </c>
      <c r="C20" s="38"/>
      <c r="D20" s="259"/>
      <c r="E20" s="260"/>
      <c r="F20" s="279">
        <v>56</v>
      </c>
      <c r="G20" s="260"/>
      <c r="H20" s="38">
        <f>H19-F20</f>
        <v>103</v>
      </c>
      <c r="I20" s="7"/>
    </row>
    <row r="21" spans="1:9" ht="21" customHeight="1">
      <c r="A21" s="39" t="s">
        <v>488</v>
      </c>
      <c r="B21" s="38" t="s">
        <v>323</v>
      </c>
      <c r="C21" s="38"/>
      <c r="D21" s="259"/>
      <c r="E21" s="260"/>
      <c r="F21" s="279">
        <v>28</v>
      </c>
      <c r="G21" s="260"/>
      <c r="H21" s="38">
        <f>H20-F21</f>
        <v>75</v>
      </c>
      <c r="I21" s="7"/>
    </row>
    <row r="22" spans="1:9" ht="21" customHeight="1">
      <c r="A22" s="39" t="s">
        <v>353</v>
      </c>
      <c r="B22" s="38" t="s">
        <v>324</v>
      </c>
      <c r="C22" s="38">
        <v>100</v>
      </c>
      <c r="D22" s="259" t="s">
        <v>730</v>
      </c>
      <c r="E22" s="260"/>
      <c r="F22" s="279"/>
      <c r="G22" s="260"/>
      <c r="H22" s="38">
        <v>175</v>
      </c>
      <c r="I22" s="109" t="s">
        <v>437</v>
      </c>
    </row>
    <row r="23" spans="1:9" ht="21" customHeight="1">
      <c r="A23" s="39" t="s">
        <v>542</v>
      </c>
      <c r="B23" s="38" t="s">
        <v>323</v>
      </c>
      <c r="C23" s="38"/>
      <c r="D23" s="259"/>
      <c r="E23" s="260"/>
      <c r="F23" s="279">
        <v>28</v>
      </c>
      <c r="G23" s="260"/>
      <c r="H23" s="38">
        <f>H22-F23</f>
        <v>147</v>
      </c>
      <c r="I23" s="7"/>
    </row>
    <row r="24" spans="1:9" ht="21" customHeight="1">
      <c r="A24" s="39" t="s">
        <v>582</v>
      </c>
      <c r="B24" s="38" t="s">
        <v>323</v>
      </c>
      <c r="C24" s="38"/>
      <c r="D24" s="259"/>
      <c r="E24" s="260"/>
      <c r="F24" s="279">
        <v>28</v>
      </c>
      <c r="G24" s="260"/>
      <c r="H24" s="38">
        <f>H23-F24</f>
        <v>119</v>
      </c>
      <c r="I24" s="7"/>
    </row>
    <row r="25" spans="1:9" ht="21" customHeight="1">
      <c r="A25" s="39" t="s">
        <v>495</v>
      </c>
      <c r="B25" s="38" t="s">
        <v>323</v>
      </c>
      <c r="C25" s="38"/>
      <c r="D25" s="259"/>
      <c r="E25" s="260"/>
      <c r="F25" s="279">
        <v>28</v>
      </c>
      <c r="G25" s="260"/>
      <c r="H25" s="38">
        <f>H24-F25</f>
        <v>91</v>
      </c>
      <c r="I25" s="7"/>
    </row>
    <row r="26" spans="1:9" ht="21" customHeight="1">
      <c r="A26" s="39" t="s">
        <v>544</v>
      </c>
      <c r="B26" s="38" t="s">
        <v>324</v>
      </c>
      <c r="C26" s="38">
        <v>220</v>
      </c>
      <c r="D26" s="259" t="s">
        <v>731</v>
      </c>
      <c r="E26" s="260"/>
      <c r="F26" s="279"/>
      <c r="G26" s="260"/>
      <c r="H26" s="38">
        <v>311</v>
      </c>
      <c r="I26" s="7" t="s">
        <v>608</v>
      </c>
    </row>
    <row r="27" spans="1:9" ht="21" customHeight="1">
      <c r="A27" s="39" t="s">
        <v>544</v>
      </c>
      <c r="B27" s="38" t="s">
        <v>324</v>
      </c>
      <c r="C27" s="38">
        <v>80</v>
      </c>
      <c r="D27" s="259" t="s">
        <v>732</v>
      </c>
      <c r="E27" s="260"/>
      <c r="F27" s="279"/>
      <c r="G27" s="260"/>
      <c r="H27" s="38">
        <v>391</v>
      </c>
      <c r="I27" s="7" t="s">
        <v>608</v>
      </c>
    </row>
    <row r="28" spans="1:9" ht="21" customHeight="1">
      <c r="A28" s="39" t="s">
        <v>357</v>
      </c>
      <c r="B28" s="38" t="s">
        <v>323</v>
      </c>
      <c r="C28" s="38"/>
      <c r="D28" s="259"/>
      <c r="E28" s="260"/>
      <c r="F28" s="279">
        <v>56</v>
      </c>
      <c r="G28" s="260"/>
      <c r="H28" s="38">
        <f t="shared" ref="H28:H33" si="0">H27-F28</f>
        <v>335</v>
      </c>
      <c r="I28" s="7"/>
    </row>
    <row r="29" spans="1:9" ht="21" customHeight="1">
      <c r="A29" s="39" t="s">
        <v>499</v>
      </c>
      <c r="B29" s="38" t="s">
        <v>323</v>
      </c>
      <c r="C29" s="38"/>
      <c r="D29" s="259"/>
      <c r="E29" s="260"/>
      <c r="F29" s="279">
        <v>28</v>
      </c>
      <c r="G29" s="260"/>
      <c r="H29" s="38">
        <f t="shared" si="0"/>
        <v>307</v>
      </c>
      <c r="I29" s="7"/>
    </row>
    <row r="30" spans="1:9" ht="21" customHeight="1">
      <c r="A30" s="39" t="s">
        <v>397</v>
      </c>
      <c r="B30" s="38" t="s">
        <v>323</v>
      </c>
      <c r="C30" s="38"/>
      <c r="D30" s="259"/>
      <c r="E30" s="260"/>
      <c r="F30" s="279">
        <v>28</v>
      </c>
      <c r="G30" s="260"/>
      <c r="H30" s="38">
        <f t="shared" si="0"/>
        <v>279</v>
      </c>
      <c r="I30" s="7"/>
    </row>
    <row r="31" spans="1:9" ht="21" customHeight="1">
      <c r="A31" s="39" t="s">
        <v>587</v>
      </c>
      <c r="B31" s="38" t="s">
        <v>323</v>
      </c>
      <c r="C31" s="38"/>
      <c r="D31" s="259"/>
      <c r="E31" s="260"/>
      <c r="F31" s="279">
        <v>28</v>
      </c>
      <c r="G31" s="260"/>
      <c r="H31" s="38">
        <f t="shared" si="0"/>
        <v>251</v>
      </c>
      <c r="I31" s="7"/>
    </row>
    <row r="32" spans="1:9" ht="21" customHeight="1">
      <c r="A32" s="39" t="s">
        <v>366</v>
      </c>
      <c r="B32" s="38" t="s">
        <v>323</v>
      </c>
      <c r="C32" s="38"/>
      <c r="D32" s="259"/>
      <c r="E32" s="260"/>
      <c r="F32" s="279">
        <v>56</v>
      </c>
      <c r="G32" s="260"/>
      <c r="H32" s="38">
        <f t="shared" si="0"/>
        <v>195</v>
      </c>
      <c r="I32" s="7"/>
    </row>
    <row r="33" spans="1:9" ht="21" customHeight="1">
      <c r="A33" s="39" t="s">
        <v>368</v>
      </c>
      <c r="B33" s="38" t="s">
        <v>323</v>
      </c>
      <c r="C33" s="38"/>
      <c r="D33" s="259"/>
      <c r="E33" s="260"/>
      <c r="F33" s="279">
        <v>28</v>
      </c>
      <c r="G33" s="260"/>
      <c r="H33" s="38">
        <f t="shared" si="0"/>
        <v>167</v>
      </c>
      <c r="I33" s="7"/>
    </row>
    <row r="34" spans="1:9" ht="21" customHeight="1">
      <c r="A34" s="39"/>
      <c r="B34" s="38"/>
      <c r="C34" s="38"/>
      <c r="D34" s="259"/>
      <c r="E34" s="260"/>
      <c r="F34" s="279"/>
      <c r="G34" s="260"/>
      <c r="H34" s="38"/>
      <c r="I34" s="7"/>
    </row>
    <row r="35" spans="1:9" ht="21" customHeight="1">
      <c r="A35" s="39"/>
      <c r="B35" s="38"/>
      <c r="C35" s="38"/>
      <c r="D35" s="259"/>
      <c r="E35" s="260"/>
      <c r="F35" s="279"/>
      <c r="G35" s="260"/>
      <c r="H35" s="38"/>
      <c r="I35" s="7"/>
    </row>
    <row r="36" spans="1:9" ht="21" customHeight="1">
      <c r="A36" s="39"/>
      <c r="B36" s="38"/>
      <c r="C36" s="38"/>
      <c r="D36" s="259"/>
      <c r="E36" s="260"/>
      <c r="F36" s="279"/>
      <c r="G36" s="260"/>
      <c r="H36" s="38"/>
      <c r="I36" s="7"/>
    </row>
    <row r="37" spans="1:9" ht="21" customHeight="1">
      <c r="A37" s="39"/>
      <c r="B37" s="38"/>
      <c r="C37" s="38"/>
      <c r="D37" s="259"/>
      <c r="E37" s="260"/>
      <c r="F37" s="279"/>
      <c r="G37" s="260"/>
      <c r="H37" s="38"/>
      <c r="I37" s="7"/>
    </row>
    <row r="38" spans="1:9" ht="21" customHeight="1">
      <c r="A38" s="39"/>
      <c r="B38" s="38"/>
      <c r="C38" s="38"/>
      <c r="D38" s="259"/>
      <c r="E38" s="260"/>
      <c r="F38" s="279"/>
      <c r="G38" s="260"/>
      <c r="H38" s="38"/>
      <c r="I38" s="7"/>
    </row>
    <row r="39" spans="1:9" ht="21" customHeight="1">
      <c r="A39" s="39"/>
      <c r="B39" s="38"/>
      <c r="C39" s="38"/>
      <c r="D39" s="259"/>
      <c r="E39" s="260"/>
      <c r="F39" s="279"/>
      <c r="G39" s="260"/>
      <c r="H39" s="38"/>
      <c r="I39" s="7"/>
    </row>
    <row r="40" spans="1:9" ht="21" customHeight="1">
      <c r="A40" s="39"/>
      <c r="B40" s="38"/>
      <c r="C40" s="38"/>
      <c r="D40" s="259"/>
      <c r="E40" s="260"/>
      <c r="F40" s="279"/>
      <c r="G40" s="260"/>
      <c r="H40" s="38"/>
      <c r="I40" s="7"/>
    </row>
    <row r="41" spans="1:9" ht="21" customHeight="1">
      <c r="A41" s="39"/>
      <c r="B41" s="38"/>
      <c r="C41" s="38"/>
      <c r="D41" s="259"/>
      <c r="E41" s="260"/>
      <c r="F41" s="279"/>
      <c r="G41" s="260"/>
      <c r="H41" s="38"/>
      <c r="I41" s="7"/>
    </row>
    <row r="42" spans="1:9" ht="21" customHeight="1">
      <c r="A42" s="39"/>
      <c r="B42" s="38"/>
      <c r="C42" s="38"/>
      <c r="D42" s="259"/>
      <c r="E42" s="260"/>
      <c r="F42" s="279"/>
      <c r="G42" s="260"/>
      <c r="H42" s="38"/>
      <c r="I42" s="7"/>
    </row>
    <row r="43" spans="1:9" ht="21" customHeight="1">
      <c r="A43" s="39"/>
      <c r="B43" s="38"/>
      <c r="C43" s="38"/>
      <c r="D43" s="259"/>
      <c r="E43" s="260"/>
      <c r="F43" s="279"/>
      <c r="G43" s="260"/>
      <c r="H43" s="38"/>
      <c r="I43" s="7"/>
    </row>
    <row r="44" spans="1:9" ht="21" customHeight="1">
      <c r="A44" s="39"/>
      <c r="B44" s="38"/>
      <c r="C44" s="38"/>
      <c r="D44" s="259"/>
      <c r="E44" s="260"/>
      <c r="F44" s="279"/>
      <c r="G44" s="260"/>
      <c r="H44" s="38"/>
      <c r="I44" s="7"/>
    </row>
    <row r="45" spans="1:9" ht="21" customHeight="1">
      <c r="A45" s="39"/>
      <c r="B45" s="38"/>
      <c r="C45" s="38"/>
      <c r="D45" s="259"/>
      <c r="E45" s="260"/>
      <c r="F45" s="279"/>
      <c r="G45" s="260"/>
      <c r="H45" s="38"/>
      <c r="I45" s="7"/>
    </row>
    <row r="46" spans="1:9" ht="21" customHeight="1">
      <c r="A46" s="39"/>
      <c r="B46" s="38"/>
      <c r="C46" s="38"/>
      <c r="D46" s="259"/>
      <c r="E46" s="260"/>
      <c r="F46" s="279"/>
      <c r="G46" s="260"/>
      <c r="H46" s="38"/>
      <c r="I46" s="7"/>
    </row>
    <row r="47" spans="1:9" ht="21" customHeight="1">
      <c r="A47" s="39"/>
      <c r="B47" s="38"/>
      <c r="C47" s="38"/>
      <c r="D47" s="259"/>
      <c r="E47" s="260"/>
      <c r="F47" s="279"/>
      <c r="G47" s="260"/>
      <c r="H47" s="38"/>
      <c r="I47" s="7"/>
    </row>
    <row r="48" spans="1:9" ht="21" customHeight="1">
      <c r="A48" s="39"/>
      <c r="B48" s="38"/>
      <c r="C48" s="38"/>
      <c r="D48" s="259"/>
      <c r="E48" s="260"/>
      <c r="F48" s="279"/>
      <c r="G48" s="260"/>
      <c r="H48" s="38"/>
      <c r="I48" s="7"/>
    </row>
    <row r="49" spans="1:9" ht="21" customHeight="1">
      <c r="A49" s="39"/>
      <c r="B49" s="38"/>
      <c r="C49" s="38"/>
      <c r="D49" s="259"/>
      <c r="E49" s="260"/>
      <c r="F49" s="279"/>
      <c r="G49" s="260"/>
      <c r="H49" s="38"/>
      <c r="I49" s="7"/>
    </row>
    <row r="50" spans="1:9" ht="21" customHeight="1">
      <c r="A50" s="39"/>
      <c r="B50" s="38"/>
      <c r="C50" s="38"/>
      <c r="D50" s="259"/>
      <c r="E50" s="260"/>
      <c r="F50" s="279"/>
      <c r="G50" s="260"/>
      <c r="H50" s="38"/>
      <c r="I50" s="7"/>
    </row>
    <row r="51" spans="1:9" ht="21" customHeight="1">
      <c r="A51" s="39"/>
      <c r="B51" s="38"/>
      <c r="C51" s="38"/>
      <c r="D51" s="259"/>
      <c r="E51" s="260"/>
      <c r="F51" s="279"/>
      <c r="G51" s="260"/>
      <c r="H51" s="38"/>
      <c r="I51" s="7"/>
    </row>
    <row r="52" spans="1:9" ht="21" customHeight="1">
      <c r="A52" s="39"/>
      <c r="B52" s="38"/>
      <c r="C52" s="38"/>
      <c r="D52" s="259"/>
      <c r="E52" s="260"/>
      <c r="F52" s="279"/>
      <c r="G52" s="260"/>
      <c r="H52" s="38"/>
      <c r="I52" s="7"/>
    </row>
    <row r="53" spans="1:9" ht="21" customHeight="1">
      <c r="A53" s="39"/>
      <c r="B53" s="38"/>
      <c r="C53" s="38"/>
      <c r="D53" s="259"/>
      <c r="E53" s="260"/>
      <c r="F53" s="279"/>
      <c r="G53" s="260"/>
      <c r="H53" s="38"/>
      <c r="I53" s="7"/>
    </row>
    <row r="54" spans="1:9" ht="21" customHeight="1">
      <c r="A54" s="39"/>
      <c r="B54" s="38"/>
      <c r="C54" s="38"/>
      <c r="D54" s="259"/>
      <c r="E54" s="260"/>
      <c r="F54" s="279"/>
      <c r="G54" s="260"/>
      <c r="H54" s="38"/>
      <c r="I54" s="7"/>
    </row>
    <row r="55" spans="1:9" ht="21" customHeight="1">
      <c r="A55" s="39"/>
      <c r="B55" s="38"/>
      <c r="C55" s="38"/>
      <c r="D55" s="259"/>
      <c r="E55" s="260"/>
      <c r="F55" s="279"/>
      <c r="G55" s="260"/>
      <c r="H55" s="38"/>
      <c r="I55" s="7"/>
    </row>
    <row r="56" spans="1:9" ht="21" customHeight="1">
      <c r="A56" s="39"/>
      <c r="B56" s="38"/>
      <c r="C56" s="38"/>
      <c r="D56" s="259"/>
      <c r="E56" s="260"/>
      <c r="F56" s="279"/>
      <c r="G56" s="260"/>
      <c r="H56" s="38"/>
      <c r="I56" s="7"/>
    </row>
    <row r="57" spans="1:9" ht="21" customHeight="1">
      <c r="A57" s="39"/>
      <c r="B57" s="38"/>
      <c r="C57" s="38"/>
      <c r="D57" s="259"/>
      <c r="E57" s="260"/>
      <c r="F57" s="279"/>
      <c r="G57" s="260"/>
      <c r="H57" s="38"/>
      <c r="I57" s="7"/>
    </row>
    <row r="58" spans="1:9" ht="21" customHeight="1">
      <c r="A58" s="39"/>
      <c r="B58" s="38"/>
      <c r="C58" s="38"/>
      <c r="D58" s="259"/>
      <c r="E58" s="260"/>
      <c r="F58" s="279"/>
      <c r="G58" s="260"/>
      <c r="H58" s="38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38"/>
      <c r="I59" s="7"/>
    </row>
  </sheetData>
  <mergeCells count="118"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D44:E44"/>
    <mergeCell ref="H4:I4"/>
    <mergeCell ref="D40:E40"/>
    <mergeCell ref="F40:G40"/>
    <mergeCell ref="D21:E21"/>
    <mergeCell ref="F59:G59"/>
    <mergeCell ref="F55:G55"/>
    <mergeCell ref="F12:G12"/>
    <mergeCell ref="F24:G24"/>
    <mergeCell ref="D57:E57"/>
    <mergeCell ref="D58:E58"/>
    <mergeCell ref="F58:G58"/>
    <mergeCell ref="F52:G52"/>
    <mergeCell ref="D59:E59"/>
    <mergeCell ref="F53:G53"/>
    <mergeCell ref="H3:I3"/>
    <mergeCell ref="D39:E39"/>
    <mergeCell ref="F39:G39"/>
    <mergeCell ref="F48:G48"/>
    <mergeCell ref="D15:E15"/>
    <mergeCell ref="D29:E29"/>
    <mergeCell ref="D23:E23"/>
    <mergeCell ref="D38:E38"/>
    <mergeCell ref="A1:I1"/>
    <mergeCell ref="F44:G44"/>
    <mergeCell ref="F7:G7"/>
    <mergeCell ref="F21:G21"/>
    <mergeCell ref="D27:E27"/>
    <mergeCell ref="F36:G36"/>
    <mergeCell ref="D17:E17"/>
    <mergeCell ref="F8:G8"/>
    <mergeCell ref="A5:B5"/>
    <mergeCell ref="D28:E28"/>
    <mergeCell ref="F22:G22"/>
    <mergeCell ref="D12:E12"/>
    <mergeCell ref="D25:E25"/>
    <mergeCell ref="D30:E30"/>
    <mergeCell ref="D14:E14"/>
    <mergeCell ref="E4:G4"/>
    <mergeCell ref="F57:G57"/>
    <mergeCell ref="D35:E35"/>
    <mergeCell ref="D10:E10"/>
    <mergeCell ref="F54:G54"/>
    <mergeCell ref="D19:E19"/>
    <mergeCell ref="D34:E34"/>
    <mergeCell ref="F10:G10"/>
    <mergeCell ref="F19:G19"/>
    <mergeCell ref="F34:G34"/>
    <mergeCell ref="F30:G30"/>
    <mergeCell ref="D11:E11"/>
    <mergeCell ref="F20:G20"/>
    <mergeCell ref="F18:G18"/>
    <mergeCell ref="F33:G33"/>
    <mergeCell ref="F45:G45"/>
    <mergeCell ref="F42:G42"/>
    <mergeCell ref="F17:G17"/>
    <mergeCell ref="D53:E53"/>
    <mergeCell ref="D47:E47"/>
    <mergeCell ref="F47:G47"/>
    <mergeCell ref="D37:E37"/>
    <mergeCell ref="F31:G31"/>
    <mergeCell ref="F46:G46"/>
    <mergeCell ref="F28:G28"/>
    <mergeCell ref="D48:E48"/>
    <mergeCell ref="D7:E7"/>
    <mergeCell ref="B4:D4"/>
    <mergeCell ref="F23:G23"/>
    <mergeCell ref="D56:E56"/>
    <mergeCell ref="F13:G13"/>
    <mergeCell ref="F56:G56"/>
    <mergeCell ref="F43:G43"/>
    <mergeCell ref="D24:E24"/>
    <mergeCell ref="D33:E33"/>
    <mergeCell ref="D51:E51"/>
    <mergeCell ref="D26:E26"/>
    <mergeCell ref="F6:G6"/>
    <mergeCell ref="D9:E9"/>
    <mergeCell ref="F9:G9"/>
    <mergeCell ref="D52:E52"/>
    <mergeCell ref="D49:E49"/>
    <mergeCell ref="F50:G50"/>
    <mergeCell ref="D55:E55"/>
    <mergeCell ref="F49:G49"/>
    <mergeCell ref="F14:G14"/>
    <mergeCell ref="D54:E54"/>
    <mergeCell ref="F11:G11"/>
    <mergeCell ref="D46:E46"/>
    <mergeCell ref="D20:E20"/>
    <mergeCell ref="F29:G29"/>
    <mergeCell ref="F16:G16"/>
    <mergeCell ref="F25:G25"/>
    <mergeCell ref="C5:G5"/>
    <mergeCell ref="D22:E22"/>
    <mergeCell ref="D36:E36"/>
    <mergeCell ref="D31:E31"/>
    <mergeCell ref="D45:E45"/>
    <mergeCell ref="D6:E6"/>
    <mergeCell ref="F15:G15"/>
    <mergeCell ref="D13:E13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A1:O90"/>
  <sheetViews>
    <sheetView topLeftCell="A4" zoomScaleNormal="100" workbookViewId="0">
      <selection activeCell="I15" sqref="I15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/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733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82" t="s">
        <v>734</v>
      </c>
      <c r="C3" s="263"/>
      <c r="D3" s="260"/>
      <c r="E3" s="266" t="s">
        <v>11</v>
      </c>
      <c r="F3" s="263"/>
      <c r="G3" s="260"/>
      <c r="H3" s="268" t="s">
        <v>735</v>
      </c>
      <c r="I3" s="269"/>
      <c r="J3" s="19" t="str">
        <f>B3</f>
        <v>Concerta E.R 18mg</v>
      </c>
      <c r="K3" s="34" t="s">
        <v>736</v>
      </c>
      <c r="L3" s="5">
        <f>H7</f>
        <v>26</v>
      </c>
      <c r="M3" s="3">
        <f>SUM(C$8:C$1048576)</f>
        <v>120</v>
      </c>
      <c r="N3" s="3">
        <f>SUM(F:F)</f>
        <v>120</v>
      </c>
      <c r="O3" s="3">
        <f>L3+M3-N3</f>
        <v>26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676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737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26</v>
      </c>
      <c r="D7" s="280"/>
      <c r="E7" s="260"/>
      <c r="F7" s="280"/>
      <c r="G7" s="260"/>
      <c r="H7" s="155">
        <v>26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409</v>
      </c>
      <c r="B8" s="6" t="s">
        <v>324</v>
      </c>
      <c r="C8" s="7">
        <v>30</v>
      </c>
      <c r="D8" s="259" t="s">
        <v>738</v>
      </c>
      <c r="E8" s="260"/>
      <c r="F8" s="294"/>
      <c r="G8" s="260"/>
      <c r="H8" s="93">
        <v>56</v>
      </c>
      <c r="I8" s="114" t="s">
        <v>414</v>
      </c>
      <c r="J8" s="12"/>
    </row>
    <row r="9" spans="1:15" ht="26.7" customHeight="1">
      <c r="A9" s="39" t="s">
        <v>382</v>
      </c>
      <c r="B9" s="38" t="s">
        <v>323</v>
      </c>
      <c r="C9" s="7"/>
      <c r="D9" s="259"/>
      <c r="E9" s="260"/>
      <c r="F9" s="294">
        <v>30</v>
      </c>
      <c r="G9" s="260"/>
      <c r="H9" s="93">
        <f>H8-F9</f>
        <v>26</v>
      </c>
      <c r="I9" s="236" t="s">
        <v>739</v>
      </c>
      <c r="J9" s="12"/>
    </row>
    <row r="10" spans="1:15" ht="26.7" customHeight="1">
      <c r="A10" s="39" t="s">
        <v>622</v>
      </c>
      <c r="B10" s="38" t="s">
        <v>324</v>
      </c>
      <c r="C10" s="7">
        <v>30</v>
      </c>
      <c r="D10" s="259" t="s">
        <v>738</v>
      </c>
      <c r="E10" s="260"/>
      <c r="F10" s="294"/>
      <c r="G10" s="260"/>
      <c r="H10" s="93">
        <v>56</v>
      </c>
      <c r="I10" s="199" t="s">
        <v>437</v>
      </c>
      <c r="J10" s="12"/>
    </row>
    <row r="11" spans="1:15" ht="26.7" customHeight="1">
      <c r="A11" s="39" t="s">
        <v>474</v>
      </c>
      <c r="B11" s="38" t="s">
        <v>323</v>
      </c>
      <c r="C11" s="7"/>
      <c r="D11" s="259"/>
      <c r="E11" s="260"/>
      <c r="F11" s="294">
        <v>30</v>
      </c>
      <c r="G11" s="260"/>
      <c r="H11" s="93">
        <f>H10-F11</f>
        <v>26</v>
      </c>
      <c r="I11" s="236" t="s">
        <v>739</v>
      </c>
      <c r="J11" s="12"/>
    </row>
    <row r="12" spans="1:15" ht="26.7" customHeight="1">
      <c r="A12" s="39" t="s">
        <v>486</v>
      </c>
      <c r="B12" s="6" t="s">
        <v>324</v>
      </c>
      <c r="C12" s="7">
        <v>30</v>
      </c>
      <c r="D12" s="259" t="s">
        <v>740</v>
      </c>
      <c r="E12" s="260"/>
      <c r="F12" s="294"/>
      <c r="G12" s="260"/>
      <c r="H12" s="93">
        <v>56</v>
      </c>
      <c r="I12" s="26" t="s">
        <v>414</v>
      </c>
      <c r="J12" s="12"/>
    </row>
    <row r="13" spans="1:15" ht="26.7" customHeight="1">
      <c r="A13" s="39" t="s">
        <v>488</v>
      </c>
      <c r="B13" s="6" t="s">
        <v>323</v>
      </c>
      <c r="C13" s="7"/>
      <c r="D13" s="259"/>
      <c r="E13" s="260"/>
      <c r="F13" s="294">
        <v>30</v>
      </c>
      <c r="G13" s="260"/>
      <c r="H13" s="93">
        <f>H12-F13</f>
        <v>26</v>
      </c>
      <c r="I13" s="236" t="s">
        <v>739</v>
      </c>
      <c r="J13" s="12"/>
    </row>
    <row r="14" spans="1:15" ht="26.7" customHeight="1">
      <c r="A14" s="39" t="s">
        <v>741</v>
      </c>
      <c r="B14" s="6" t="s">
        <v>324</v>
      </c>
      <c r="C14" s="7">
        <v>30</v>
      </c>
      <c r="D14" s="259" t="s">
        <v>740</v>
      </c>
      <c r="E14" s="260"/>
      <c r="F14" s="294"/>
      <c r="G14" s="260"/>
      <c r="H14" s="93">
        <v>56</v>
      </c>
      <c r="I14" s="199" t="s">
        <v>437</v>
      </c>
      <c r="J14" s="12"/>
    </row>
    <row r="15" spans="1:15" ht="26.7" customHeight="1">
      <c r="A15" s="39" t="s">
        <v>493</v>
      </c>
      <c r="B15" s="6" t="s">
        <v>323</v>
      </c>
      <c r="C15" s="7"/>
      <c r="D15" s="259"/>
      <c r="E15" s="260"/>
      <c r="F15" s="294">
        <v>30</v>
      </c>
      <c r="G15" s="260"/>
      <c r="H15" s="93">
        <f>H14-F15</f>
        <v>26</v>
      </c>
      <c r="I15" s="236" t="s">
        <v>739</v>
      </c>
      <c r="J15" s="12"/>
    </row>
    <row r="16" spans="1:15" ht="26.7" customHeight="1">
      <c r="A16" s="39"/>
      <c r="B16" s="6"/>
      <c r="C16" s="7"/>
      <c r="D16" s="259"/>
      <c r="E16" s="260"/>
      <c r="F16" s="294"/>
      <c r="G16" s="260"/>
      <c r="H16" s="93"/>
      <c r="I16" s="26"/>
      <c r="J16" s="12"/>
    </row>
    <row r="17" spans="1:10" ht="26.7" customHeight="1" thickBot="1">
      <c r="A17" s="39"/>
      <c r="B17" s="30"/>
      <c r="C17" s="31"/>
      <c r="D17" s="264"/>
      <c r="E17" s="265"/>
      <c r="F17" s="294"/>
      <c r="G17" s="260"/>
      <c r="H17" s="93"/>
      <c r="I17" s="32"/>
      <c r="J17" s="12"/>
    </row>
    <row r="18" spans="1:10" ht="21" customHeight="1">
      <c r="A18" s="39"/>
      <c r="B18" s="21"/>
      <c r="C18" s="22"/>
      <c r="D18" s="276"/>
      <c r="E18" s="277"/>
      <c r="F18" s="294"/>
      <c r="G18" s="260"/>
      <c r="H18" s="93"/>
      <c r="I18" s="22"/>
      <c r="J18" s="3"/>
    </row>
    <row r="19" spans="1:10" ht="21" customHeight="1">
      <c r="A19" s="39"/>
      <c r="B19" s="6"/>
      <c r="C19" s="7"/>
      <c r="D19" s="259"/>
      <c r="E19" s="260"/>
      <c r="F19" s="294"/>
      <c r="G19" s="260"/>
      <c r="H19" s="93"/>
      <c r="I19" s="7"/>
    </row>
    <row r="20" spans="1:10" ht="21" customHeight="1">
      <c r="A20" s="39"/>
      <c r="B20" s="6"/>
      <c r="C20" s="7"/>
      <c r="D20" s="259"/>
      <c r="E20" s="260"/>
      <c r="F20" s="294"/>
      <c r="G20" s="260"/>
      <c r="H20" s="93"/>
      <c r="I20" s="16"/>
    </row>
    <row r="21" spans="1:10" ht="21" customHeight="1">
      <c r="A21" s="39"/>
      <c r="B21" s="6"/>
      <c r="C21" s="7"/>
      <c r="D21" s="259"/>
      <c r="E21" s="260"/>
      <c r="F21" s="294"/>
      <c r="G21" s="260"/>
      <c r="H21" s="93"/>
      <c r="I21" s="7"/>
    </row>
    <row r="22" spans="1:10" ht="21" customHeight="1">
      <c r="A22" s="39"/>
      <c r="B22" s="6"/>
      <c r="C22" s="7"/>
      <c r="D22" s="259"/>
      <c r="E22" s="260"/>
      <c r="F22" s="294"/>
      <c r="G22" s="260"/>
      <c r="H22" s="93"/>
      <c r="I22" s="7"/>
    </row>
    <row r="23" spans="1:10" ht="21" customHeight="1">
      <c r="A23" s="39"/>
      <c r="B23" s="6"/>
      <c r="C23" s="3"/>
      <c r="D23" s="259"/>
      <c r="E23" s="260"/>
      <c r="F23" s="294"/>
      <c r="G23" s="260"/>
      <c r="H23" s="93"/>
      <c r="I23" s="16"/>
    </row>
    <row r="24" spans="1:10" ht="21" customHeight="1">
      <c r="A24" s="39"/>
      <c r="B24" s="6"/>
      <c r="C24" s="3"/>
      <c r="D24" s="259"/>
      <c r="E24" s="260"/>
      <c r="F24" s="294"/>
      <c r="G24" s="260"/>
      <c r="H24" s="93"/>
      <c r="I24" s="7"/>
    </row>
    <row r="25" spans="1:10" ht="21" customHeight="1">
      <c r="A25" s="39"/>
      <c r="B25" s="6"/>
      <c r="C25" s="3"/>
      <c r="D25" s="259"/>
      <c r="E25" s="260"/>
      <c r="F25" s="294"/>
      <c r="G25" s="260"/>
      <c r="H25" s="93"/>
      <c r="I25" s="7"/>
    </row>
    <row r="26" spans="1:10" ht="21" customHeight="1">
      <c r="A26" s="39"/>
      <c r="B26" s="6"/>
      <c r="C26" s="3"/>
      <c r="D26" s="259"/>
      <c r="E26" s="260"/>
      <c r="F26" s="294"/>
      <c r="G26" s="260"/>
      <c r="H26" s="93"/>
      <c r="I26" s="7"/>
    </row>
    <row r="27" spans="1:10" ht="21" customHeight="1">
      <c r="A27" s="39"/>
      <c r="B27" s="6"/>
      <c r="C27" s="3"/>
      <c r="D27" s="259"/>
      <c r="E27" s="260"/>
      <c r="F27" s="294"/>
      <c r="G27" s="260"/>
      <c r="H27" s="93"/>
      <c r="I27" s="7"/>
    </row>
    <row r="28" spans="1:10" ht="21" customHeight="1">
      <c r="A28" s="39"/>
      <c r="B28" s="6"/>
      <c r="C28" s="3"/>
      <c r="D28" s="259"/>
      <c r="E28" s="260"/>
      <c r="F28" s="294"/>
      <c r="G28" s="260"/>
      <c r="H28" s="93"/>
      <c r="I28" s="7"/>
    </row>
    <row r="29" spans="1:10" ht="21" customHeight="1">
      <c r="A29" s="39"/>
      <c r="B29" s="6"/>
      <c r="C29" s="3"/>
      <c r="D29" s="259"/>
      <c r="E29" s="260"/>
      <c r="F29" s="294"/>
      <c r="G29" s="260"/>
      <c r="H29" s="93"/>
      <c r="I29" s="7"/>
    </row>
    <row r="30" spans="1:10" ht="21" customHeight="1">
      <c r="A30" s="13"/>
      <c r="B30" s="6"/>
      <c r="C30" s="3"/>
      <c r="D30" s="259"/>
      <c r="E30" s="260"/>
      <c r="F30" s="294"/>
      <c r="G30" s="260"/>
      <c r="H30" s="93"/>
      <c r="I30" s="7"/>
    </row>
    <row r="31" spans="1:10" ht="21" customHeight="1">
      <c r="A31" s="13"/>
      <c r="B31" s="6"/>
      <c r="C31" s="3"/>
      <c r="D31" s="259"/>
      <c r="E31" s="260"/>
      <c r="F31" s="294"/>
      <c r="G31" s="260"/>
      <c r="H31" s="93"/>
      <c r="I31" s="7"/>
    </row>
    <row r="32" spans="1:10" ht="21" customHeight="1">
      <c r="A32" s="13"/>
      <c r="B32" s="6"/>
      <c r="C32" s="3"/>
      <c r="D32" s="259"/>
      <c r="E32" s="260"/>
      <c r="F32" s="294"/>
      <c r="G32" s="260"/>
      <c r="H32" s="93"/>
      <c r="I32" s="7"/>
    </row>
    <row r="33" spans="1:9" ht="21" customHeight="1">
      <c r="A33" s="13"/>
      <c r="B33" s="6"/>
      <c r="C33" s="3"/>
      <c r="D33" s="259"/>
      <c r="E33" s="260"/>
      <c r="F33" s="294"/>
      <c r="G33" s="260"/>
      <c r="H33" s="93"/>
      <c r="I33" s="7"/>
    </row>
    <row r="34" spans="1:9" ht="21" customHeight="1">
      <c r="A34" s="13"/>
      <c r="B34" s="6"/>
      <c r="C34" s="10"/>
      <c r="D34" s="259"/>
      <c r="E34" s="260"/>
      <c r="F34" s="294"/>
      <c r="G34" s="260"/>
      <c r="H34" s="93"/>
      <c r="I34" s="7"/>
    </row>
    <row r="35" spans="1:9" ht="21" customHeight="1">
      <c r="A35" s="13"/>
      <c r="B35" s="8"/>
      <c r="C35" s="10"/>
      <c r="D35" s="259"/>
      <c r="E35" s="260"/>
      <c r="F35" s="294"/>
      <c r="G35" s="260"/>
      <c r="H35" s="93"/>
      <c r="I35" s="11"/>
    </row>
    <row r="36" spans="1:9" ht="21" customHeight="1">
      <c r="A36" s="13"/>
      <c r="B36" s="6"/>
      <c r="C36" s="9"/>
      <c r="D36" s="259"/>
      <c r="E36" s="260"/>
      <c r="F36" s="294"/>
      <c r="G36" s="260"/>
      <c r="H36" s="93"/>
      <c r="I36" s="7"/>
    </row>
    <row r="37" spans="1:9" ht="21" customHeight="1">
      <c r="A37" s="14"/>
      <c r="B37" s="6"/>
      <c r="C37" s="3"/>
      <c r="D37" s="259"/>
      <c r="E37" s="260"/>
      <c r="F37" s="294"/>
      <c r="G37" s="260"/>
      <c r="H37" s="93"/>
      <c r="I37" s="7"/>
    </row>
    <row r="38" spans="1:9" ht="21" customHeight="1">
      <c r="A38" s="14"/>
      <c r="B38" s="6"/>
      <c r="C38" s="3"/>
      <c r="D38" s="259"/>
      <c r="E38" s="260"/>
      <c r="F38" s="294"/>
      <c r="G38" s="260"/>
      <c r="H38" s="93"/>
      <c r="I38" s="7"/>
    </row>
    <row r="39" spans="1:9" ht="21" customHeight="1">
      <c r="A39" s="15"/>
      <c r="B39" s="6"/>
      <c r="C39" s="3"/>
      <c r="D39" s="259"/>
      <c r="E39" s="260"/>
      <c r="F39" s="294"/>
      <c r="G39" s="260"/>
      <c r="H39" s="93"/>
      <c r="I39" s="7"/>
    </row>
    <row r="40" spans="1:9" ht="21" customHeight="1">
      <c r="A40" s="14"/>
      <c r="B40" s="6"/>
      <c r="C40" s="3"/>
      <c r="D40" s="259"/>
      <c r="E40" s="260"/>
      <c r="F40" s="294"/>
      <c r="G40" s="260"/>
      <c r="H40" s="93"/>
      <c r="I40" s="7"/>
    </row>
    <row r="41" spans="1:9" ht="21" customHeight="1">
      <c r="A41" s="14"/>
      <c r="B41" s="6"/>
      <c r="C41" s="3"/>
      <c r="D41" s="259"/>
      <c r="E41" s="260"/>
      <c r="F41" s="294"/>
      <c r="G41" s="260"/>
      <c r="H41" s="93"/>
      <c r="I41" s="7"/>
    </row>
    <row r="42" spans="1:9" ht="21" customHeight="1">
      <c r="A42" s="14"/>
      <c r="B42" s="6"/>
      <c r="C42" s="3"/>
      <c r="D42" s="259"/>
      <c r="E42" s="260"/>
      <c r="F42" s="294"/>
      <c r="G42" s="260"/>
      <c r="H42" s="93"/>
      <c r="I42" s="16"/>
    </row>
    <row r="43" spans="1:9" ht="21" customHeight="1">
      <c r="A43" s="15"/>
      <c r="B43" s="6"/>
      <c r="C43" s="3"/>
      <c r="D43" s="259"/>
      <c r="E43" s="260"/>
      <c r="F43" s="261"/>
      <c r="G43" s="260"/>
      <c r="H43" s="93"/>
      <c r="I43" s="7"/>
    </row>
    <row r="44" spans="1:9" ht="21" customHeight="1">
      <c r="A44" s="15"/>
      <c r="B44" s="6"/>
      <c r="C44" s="3"/>
      <c r="D44" s="259"/>
      <c r="E44" s="260"/>
      <c r="F44" s="261"/>
      <c r="G44" s="260"/>
      <c r="H44" s="93"/>
      <c r="I44" s="7"/>
    </row>
    <row r="45" spans="1:9" ht="21" customHeight="1">
      <c r="A45" s="15"/>
      <c r="B45" s="6"/>
      <c r="C45" s="3"/>
      <c r="D45" s="259"/>
      <c r="E45" s="260"/>
      <c r="F45" s="261"/>
      <c r="G45" s="260"/>
      <c r="H45" s="93"/>
      <c r="I45" s="7"/>
    </row>
    <row r="46" spans="1:9" ht="21" customHeight="1">
      <c r="A46" s="14"/>
      <c r="B46" s="6"/>
      <c r="C46" s="3"/>
      <c r="D46" s="259"/>
      <c r="E46" s="260"/>
      <c r="F46" s="261"/>
      <c r="G46" s="260"/>
      <c r="H46" s="93"/>
      <c r="I46" s="7"/>
    </row>
    <row r="47" spans="1:9" ht="21" customHeight="1">
      <c r="A47" s="14"/>
      <c r="B47" s="6"/>
      <c r="C47" s="9"/>
      <c r="D47" s="259"/>
      <c r="E47" s="260"/>
      <c r="F47" s="261"/>
      <c r="G47" s="260"/>
      <c r="H47" s="93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93"/>
      <c r="I48" s="7"/>
    </row>
    <row r="49" spans="1:9" ht="21" customHeight="1">
      <c r="A49" s="15"/>
      <c r="B49" s="6"/>
      <c r="C49" s="3"/>
      <c r="D49" s="259"/>
      <c r="E49" s="260"/>
      <c r="F49" s="261"/>
      <c r="G49" s="260"/>
      <c r="H49" s="93"/>
      <c r="I49" s="7"/>
    </row>
    <row r="50" spans="1:9" ht="21" customHeight="1">
      <c r="A50" s="15"/>
      <c r="B50" s="6"/>
      <c r="C50" s="3"/>
      <c r="D50" s="259"/>
      <c r="E50" s="260"/>
      <c r="F50" s="261"/>
      <c r="G50" s="260"/>
      <c r="H50" s="93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93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93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93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93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93"/>
      <c r="I55" s="7"/>
    </row>
    <row r="56" spans="1:9" ht="21" customHeight="1">
      <c r="A56" s="15"/>
      <c r="B56" s="6"/>
      <c r="C56" s="3"/>
      <c r="D56" s="259"/>
      <c r="E56" s="260"/>
      <c r="F56" s="261"/>
      <c r="G56" s="260"/>
      <c r="H56" s="93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93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93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93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93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93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93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93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93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93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93"/>
      <c r="I66" s="7"/>
    </row>
    <row r="67" spans="1:9" ht="21" customHeight="1">
      <c r="A67" s="14"/>
      <c r="B67" s="6"/>
      <c r="C67" s="3"/>
      <c r="D67" s="259"/>
      <c r="E67" s="260"/>
      <c r="F67" s="261"/>
      <c r="G67" s="260"/>
      <c r="H67" s="93"/>
      <c r="I67" s="7"/>
    </row>
    <row r="68" spans="1:9" ht="21" customHeight="1">
      <c r="A68" s="14"/>
      <c r="B68" s="8"/>
      <c r="C68" s="9"/>
      <c r="D68" s="259"/>
      <c r="E68" s="260"/>
      <c r="F68" s="261"/>
      <c r="G68" s="260"/>
      <c r="H68" s="93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93"/>
      <c r="I69" s="7"/>
    </row>
    <row r="70" spans="1:9" ht="21" customHeight="1">
      <c r="A70" s="15"/>
      <c r="B70" s="8"/>
      <c r="C70" s="9"/>
      <c r="D70" s="259"/>
      <c r="E70" s="260"/>
      <c r="F70" s="261"/>
      <c r="G70" s="260"/>
      <c r="H70" s="93"/>
      <c r="I70" s="11"/>
    </row>
    <row r="71" spans="1:9" ht="21" customHeight="1">
      <c r="A71" s="15"/>
      <c r="B71" s="6"/>
      <c r="C71" s="3"/>
      <c r="D71" s="259"/>
      <c r="E71" s="260"/>
      <c r="F71" s="261"/>
      <c r="G71" s="260"/>
      <c r="H71" s="93"/>
      <c r="I71" s="7"/>
    </row>
    <row r="72" spans="1:9" ht="21" customHeight="1">
      <c r="A72" s="15"/>
      <c r="B72" s="6"/>
      <c r="C72" s="9"/>
      <c r="D72" s="259"/>
      <c r="E72" s="260"/>
      <c r="F72" s="261"/>
      <c r="G72" s="260"/>
      <c r="H72" s="93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93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93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93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93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93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93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93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93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93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93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93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93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93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93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93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93"/>
      <c r="I88" s="7"/>
    </row>
    <row r="89" spans="1:9" ht="21" customHeight="1">
      <c r="A89" s="14"/>
      <c r="B89" s="6"/>
      <c r="C89" s="9"/>
      <c r="D89" s="259"/>
      <c r="E89" s="260"/>
      <c r="F89" s="261"/>
      <c r="G89" s="260"/>
      <c r="H89" s="93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93"/>
      <c r="I90" s="7"/>
    </row>
  </sheetData>
  <mergeCells count="180">
    <mergeCell ref="F90:G90"/>
    <mergeCell ref="D43:E43"/>
    <mergeCell ref="E3:G3"/>
    <mergeCell ref="D18:E18"/>
    <mergeCell ref="D58:E58"/>
    <mergeCell ref="F58:G58"/>
    <mergeCell ref="F27:G27"/>
    <mergeCell ref="F52:G52"/>
    <mergeCell ref="F67:G67"/>
    <mergeCell ref="D8:E8"/>
    <mergeCell ref="F37:G37"/>
    <mergeCell ref="D74:E74"/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H4:I4"/>
    <mergeCell ref="D40:E40"/>
    <mergeCell ref="D80:E80"/>
    <mergeCell ref="F40:G40"/>
    <mergeCell ref="D21:E21"/>
    <mergeCell ref="F59:G59"/>
    <mergeCell ref="F55:G55"/>
    <mergeCell ref="F12:G12"/>
    <mergeCell ref="F24:G24"/>
    <mergeCell ref="D57:E57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D52:E52"/>
    <mergeCell ref="D49:E49"/>
    <mergeCell ref="F50:G50"/>
    <mergeCell ref="D83:E83"/>
    <mergeCell ref="F77:G77"/>
    <mergeCell ref="D55:E55"/>
    <mergeCell ref="D67:E67"/>
    <mergeCell ref="F49:G49"/>
    <mergeCell ref="D54:E54"/>
    <mergeCell ref="D85:E85"/>
    <mergeCell ref="D69:E69"/>
    <mergeCell ref="F69:G69"/>
    <mergeCell ref="F78:G78"/>
    <mergeCell ref="F65:G65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27:E27"/>
    <mergeCell ref="F36:G36"/>
    <mergeCell ref="D17:E17"/>
    <mergeCell ref="F8:G8"/>
    <mergeCell ref="A5:B5"/>
    <mergeCell ref="D28:E28"/>
    <mergeCell ref="F22:G22"/>
    <mergeCell ref="D12:E12"/>
    <mergeCell ref="D25:E25"/>
    <mergeCell ref="D30:E30"/>
    <mergeCell ref="D14:E14"/>
    <mergeCell ref="E4:G4"/>
    <mergeCell ref="D90:E90"/>
    <mergeCell ref="F63:G63"/>
    <mergeCell ref="F34:G34"/>
    <mergeCell ref="F19:G19"/>
    <mergeCell ref="D34:E34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66:E66"/>
    <mergeCell ref="F66:G66"/>
    <mergeCell ref="D75:E75"/>
    <mergeCell ref="F17:G17"/>
    <mergeCell ref="D53:E53"/>
    <mergeCell ref="F75:G75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47:E47"/>
    <mergeCell ref="F47:G47"/>
    <mergeCell ref="F62:G62"/>
    <mergeCell ref="D37:E37"/>
    <mergeCell ref="F31:G31"/>
    <mergeCell ref="F46:G46"/>
    <mergeCell ref="F28:G28"/>
    <mergeCell ref="F14:G14"/>
    <mergeCell ref="F11:G11"/>
    <mergeCell ref="D46:E46"/>
    <mergeCell ref="D87:E87"/>
    <mergeCell ref="B4:D4"/>
    <mergeCell ref="D62:E62"/>
    <mergeCell ref="D56:E56"/>
    <mergeCell ref="F13:G13"/>
    <mergeCell ref="D71:E71"/>
    <mergeCell ref="F56:G56"/>
    <mergeCell ref="F71:G71"/>
    <mergeCell ref="F43:G43"/>
    <mergeCell ref="D24:E24"/>
    <mergeCell ref="D64:E64"/>
    <mergeCell ref="D33:E33"/>
    <mergeCell ref="D51:E51"/>
    <mergeCell ref="D9:E9"/>
    <mergeCell ref="F9:G9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F81:G81"/>
    <mergeCell ref="F23:G23"/>
    <mergeCell ref="D73:E7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A1:O104"/>
  <sheetViews>
    <sheetView topLeftCell="C1" workbookViewId="0">
      <selection activeCell="O3" sqref="O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742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79" t="s">
        <v>743</v>
      </c>
      <c r="C3" s="263"/>
      <c r="D3" s="260"/>
      <c r="E3" s="266" t="s">
        <v>11</v>
      </c>
      <c r="F3" s="263"/>
      <c r="G3" s="260"/>
      <c r="H3" s="268" t="s">
        <v>744</v>
      </c>
      <c r="I3" s="269"/>
      <c r="J3" s="19" t="str">
        <f>B3</f>
        <v>Apo-Methyphenidate 10mg</v>
      </c>
      <c r="K3" s="34" t="s">
        <v>745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746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747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O103"/>
  <sheetViews>
    <sheetView topLeftCell="A4" workbookViewId="0">
      <selection activeCell="I14" sqref="I1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/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748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749</v>
      </c>
      <c r="C3" s="263"/>
      <c r="D3" s="260"/>
      <c r="E3" s="266" t="s">
        <v>11</v>
      </c>
      <c r="F3" s="263"/>
      <c r="G3" s="260"/>
      <c r="H3" s="268" t="s">
        <v>750</v>
      </c>
      <c r="I3" s="269"/>
      <c r="J3" s="19" t="str">
        <f>B3</f>
        <v>Concerta E.R 36mg</v>
      </c>
      <c r="K3" s="34" t="s">
        <v>601</v>
      </c>
      <c r="L3" s="5">
        <f>H7</f>
        <v>0</v>
      </c>
      <c r="M3" s="3">
        <f>SUM(C$7:C$1048576)</f>
        <v>120</v>
      </c>
      <c r="N3" s="3">
        <f>SUM(F:F)</f>
        <v>120</v>
      </c>
      <c r="O3" s="3">
        <f>L3+M3-N3</f>
        <v>0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676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751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140">
        <v>0</v>
      </c>
      <c r="D7" s="289"/>
      <c r="E7" s="260"/>
      <c r="F7" s="289"/>
      <c r="G7" s="260"/>
      <c r="H7" s="140">
        <v>0</v>
      </c>
      <c r="I7" s="202" t="s">
        <v>571</v>
      </c>
      <c r="J7" s="12"/>
      <c r="K7" s="3"/>
      <c r="L7" s="3"/>
      <c r="M7" s="3"/>
      <c r="N7" s="3"/>
      <c r="O7" s="3"/>
    </row>
    <row r="8" spans="1:15" ht="31.95" customHeight="1">
      <c r="A8" s="39" t="s">
        <v>409</v>
      </c>
      <c r="B8" s="95" t="s">
        <v>324</v>
      </c>
      <c r="C8" s="38">
        <v>30</v>
      </c>
      <c r="D8" s="279" t="s">
        <v>752</v>
      </c>
      <c r="E8" s="260"/>
      <c r="F8" s="279"/>
      <c r="G8" s="260"/>
      <c r="H8" s="38">
        <v>30</v>
      </c>
      <c r="I8" s="35" t="s">
        <v>414</v>
      </c>
      <c r="J8" s="12"/>
      <c r="K8" s="3"/>
      <c r="L8" s="3"/>
      <c r="M8" s="3"/>
      <c r="N8" s="3"/>
      <c r="O8" s="3"/>
    </row>
    <row r="9" spans="1:15" ht="26.7" customHeight="1">
      <c r="A9" s="39" t="s">
        <v>382</v>
      </c>
      <c r="B9" s="38" t="s">
        <v>323</v>
      </c>
      <c r="C9" s="7"/>
      <c r="D9" s="259"/>
      <c r="E9" s="260"/>
      <c r="F9" s="294">
        <v>30</v>
      </c>
      <c r="G9" s="260"/>
      <c r="H9" s="93">
        <f>H8-F9</f>
        <v>0</v>
      </c>
      <c r="I9" s="236" t="s">
        <v>739</v>
      </c>
      <c r="J9" s="12"/>
      <c r="K9" s="3"/>
      <c r="L9" s="3"/>
      <c r="M9" s="3"/>
      <c r="N9" s="3"/>
      <c r="O9" s="3"/>
    </row>
    <row r="10" spans="1:15" ht="26.7" customHeight="1">
      <c r="A10" s="39" t="s">
        <v>622</v>
      </c>
      <c r="B10" s="38" t="s">
        <v>324</v>
      </c>
      <c r="C10" s="38">
        <v>30</v>
      </c>
      <c r="D10" s="279" t="s">
        <v>753</v>
      </c>
      <c r="E10" s="260"/>
      <c r="F10" s="279"/>
      <c r="G10" s="260"/>
      <c r="H10" s="38">
        <v>30</v>
      </c>
      <c r="I10" s="114" t="s">
        <v>754</v>
      </c>
      <c r="J10" s="12"/>
      <c r="K10" s="3"/>
      <c r="L10" s="3"/>
      <c r="M10" s="3"/>
      <c r="N10" s="3"/>
      <c r="O10" s="3"/>
    </row>
    <row r="11" spans="1:15" ht="26.7" customHeight="1">
      <c r="A11" s="39" t="s">
        <v>474</v>
      </c>
      <c r="B11" s="38" t="s">
        <v>323</v>
      </c>
      <c r="C11" s="38"/>
      <c r="D11" s="279"/>
      <c r="E11" s="260"/>
      <c r="F11" s="279">
        <v>30</v>
      </c>
      <c r="G11" s="260"/>
      <c r="H11" s="38">
        <f>H10-F11</f>
        <v>0</v>
      </c>
      <c r="I11" s="236" t="s">
        <v>739</v>
      </c>
      <c r="J11" s="12"/>
      <c r="K11" s="3"/>
      <c r="L11" s="3"/>
      <c r="M11" s="3"/>
      <c r="N11" s="3"/>
      <c r="O11" s="3"/>
    </row>
    <row r="12" spans="1:15" ht="26.7" customHeight="1">
      <c r="A12" s="39" t="s">
        <v>486</v>
      </c>
      <c r="B12" s="38" t="s">
        <v>324</v>
      </c>
      <c r="C12" s="38">
        <v>60</v>
      </c>
      <c r="D12" s="279" t="s">
        <v>755</v>
      </c>
      <c r="E12" s="260"/>
      <c r="F12" s="279"/>
      <c r="G12" s="260"/>
      <c r="H12" s="38">
        <v>60</v>
      </c>
      <c r="I12" s="35" t="s">
        <v>414</v>
      </c>
      <c r="J12" s="12"/>
      <c r="K12" s="3"/>
      <c r="L12" s="3"/>
      <c r="M12" s="3"/>
      <c r="N12" s="3"/>
      <c r="O12" s="3"/>
    </row>
    <row r="13" spans="1:15" ht="26.7" customHeight="1">
      <c r="A13" s="39" t="s">
        <v>488</v>
      </c>
      <c r="B13" s="38" t="s">
        <v>323</v>
      </c>
      <c r="C13" s="38"/>
      <c r="D13" s="279"/>
      <c r="E13" s="260"/>
      <c r="F13" s="279">
        <v>30</v>
      </c>
      <c r="G13" s="260"/>
      <c r="H13" s="38">
        <f>H12-F13</f>
        <v>30</v>
      </c>
      <c r="I13" s="236" t="s">
        <v>739</v>
      </c>
      <c r="J13" s="12"/>
      <c r="K13" s="3"/>
      <c r="L13" s="3"/>
      <c r="M13" s="3"/>
      <c r="N13" s="3"/>
      <c r="O13" s="3"/>
    </row>
    <row r="14" spans="1:15" ht="26.7" customHeight="1">
      <c r="A14" s="39" t="s">
        <v>493</v>
      </c>
      <c r="B14" s="38" t="s">
        <v>323</v>
      </c>
      <c r="C14" s="38"/>
      <c r="D14" s="279"/>
      <c r="E14" s="260"/>
      <c r="F14" s="279">
        <v>30</v>
      </c>
      <c r="G14" s="260"/>
      <c r="H14" s="38">
        <f>H13-F14</f>
        <v>0</v>
      </c>
      <c r="I14" s="236" t="s">
        <v>739</v>
      </c>
      <c r="J14" s="12"/>
      <c r="K14" s="3"/>
      <c r="L14" s="3"/>
      <c r="M14" s="3"/>
      <c r="N14" s="3"/>
      <c r="O14" s="3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35"/>
      <c r="J15" s="12"/>
      <c r="K15" s="3"/>
      <c r="L15" s="3"/>
      <c r="M15" s="3"/>
      <c r="N15" s="3"/>
      <c r="O15" s="3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35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35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35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35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35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35"/>
      <c r="J21" s="12"/>
    </row>
    <row r="22" spans="1:10" ht="26.7" customHeight="1">
      <c r="A22" s="39"/>
      <c r="B22" s="38"/>
      <c r="C22" s="38"/>
      <c r="D22" s="279"/>
      <c r="E22" s="260"/>
      <c r="F22" s="279"/>
      <c r="G22" s="260"/>
      <c r="H22" s="38"/>
      <c r="I22" s="35"/>
      <c r="J22" s="12"/>
    </row>
    <row r="23" spans="1:10" ht="26.7" customHeight="1">
      <c r="A23" s="39"/>
      <c r="B23" s="38"/>
      <c r="C23" s="38"/>
      <c r="D23" s="279"/>
      <c r="E23" s="260"/>
      <c r="F23" s="279"/>
      <c r="G23" s="260"/>
      <c r="H23" s="38"/>
      <c r="I23" s="35"/>
      <c r="J23" s="12"/>
    </row>
    <row r="24" spans="1:10" ht="26.7" customHeight="1">
      <c r="A24" s="39"/>
      <c r="B24" s="38"/>
      <c r="C24" s="38"/>
      <c r="D24" s="279"/>
      <c r="E24" s="260"/>
      <c r="F24" s="279"/>
      <c r="G24" s="260"/>
      <c r="H24" s="38"/>
      <c r="I24" s="35"/>
      <c r="J24" s="12"/>
    </row>
    <row r="25" spans="1:10" ht="26.7" customHeight="1">
      <c r="A25" s="39"/>
      <c r="B25" s="38"/>
      <c r="C25" s="38"/>
      <c r="D25" s="279"/>
      <c r="E25" s="260"/>
      <c r="F25" s="279"/>
      <c r="G25" s="260"/>
      <c r="H25" s="38"/>
      <c r="I25" s="35"/>
      <c r="J25" s="12"/>
    </row>
    <row r="26" spans="1:10" ht="26.7" customHeight="1">
      <c r="A26" s="39"/>
      <c r="B26" s="38"/>
      <c r="C26" s="38"/>
      <c r="D26" s="279"/>
      <c r="E26" s="260"/>
      <c r="F26" s="279"/>
      <c r="G26" s="260"/>
      <c r="H26" s="38"/>
      <c r="I26" s="35"/>
      <c r="J26" s="12"/>
    </row>
    <row r="27" spans="1:10" ht="26.7" customHeight="1">
      <c r="A27" s="39"/>
      <c r="B27" s="38"/>
      <c r="C27" s="38"/>
      <c r="D27" s="279"/>
      <c r="E27" s="260"/>
      <c r="F27" s="279"/>
      <c r="G27" s="260"/>
      <c r="H27" s="38"/>
      <c r="I27" s="35"/>
      <c r="J27" s="12"/>
    </row>
    <row r="28" spans="1:10" ht="26.7" customHeight="1">
      <c r="A28" s="39"/>
      <c r="B28" s="38"/>
      <c r="C28" s="38"/>
      <c r="D28" s="279"/>
      <c r="E28" s="260"/>
      <c r="F28" s="279"/>
      <c r="G28" s="260"/>
      <c r="H28" s="38"/>
      <c r="I28" s="35"/>
      <c r="J28" s="12"/>
    </row>
    <row r="29" spans="1:10" ht="26.7" customHeight="1">
      <c r="A29" s="39"/>
      <c r="B29" s="38"/>
      <c r="C29" s="38"/>
      <c r="D29" s="279"/>
      <c r="E29" s="260"/>
      <c r="F29" s="279"/>
      <c r="G29" s="260"/>
      <c r="H29" s="38"/>
      <c r="I29" s="35"/>
      <c r="J29" s="12"/>
    </row>
    <row r="30" spans="1:10" ht="26.7" customHeight="1">
      <c r="A30" s="39"/>
      <c r="B30" s="38"/>
      <c r="C30" s="38"/>
      <c r="D30" s="279"/>
      <c r="E30" s="260"/>
      <c r="F30" s="279"/>
      <c r="G30" s="260"/>
      <c r="H30" s="38"/>
      <c r="I30" s="35"/>
      <c r="J30" s="12"/>
    </row>
    <row r="31" spans="1:10">
      <c r="A31" s="39"/>
      <c r="B31" s="38"/>
      <c r="C31" s="38"/>
      <c r="D31" s="279"/>
      <c r="E31" s="260"/>
      <c r="F31" s="279"/>
      <c r="G31" s="260"/>
      <c r="H31" s="38"/>
      <c r="I31" s="35"/>
      <c r="J31" s="3"/>
    </row>
    <row r="32" spans="1:10">
      <c r="A32" s="39"/>
      <c r="B32" s="38"/>
      <c r="C32" s="38"/>
      <c r="D32" s="279"/>
      <c r="E32" s="260"/>
      <c r="F32" s="279"/>
      <c r="G32" s="260"/>
      <c r="H32" s="38"/>
      <c r="I32" s="35"/>
    </row>
    <row r="33" spans="1:9">
      <c r="A33" s="39"/>
      <c r="B33" s="38"/>
      <c r="C33" s="38"/>
      <c r="D33" s="279"/>
      <c r="E33" s="260"/>
      <c r="F33" s="279"/>
      <c r="G33" s="260"/>
      <c r="H33" s="38"/>
      <c r="I33" s="35"/>
    </row>
    <row r="34" spans="1:9">
      <c r="A34" s="39"/>
      <c r="B34" s="38"/>
      <c r="C34" s="38"/>
      <c r="D34" s="279"/>
      <c r="E34" s="260"/>
      <c r="F34" s="279"/>
      <c r="G34" s="260"/>
      <c r="H34" s="38"/>
      <c r="I34" s="35"/>
    </row>
    <row r="35" spans="1:9">
      <c r="A35" s="39"/>
      <c r="B35" s="38"/>
      <c r="C35" s="38"/>
      <c r="D35" s="279"/>
      <c r="E35" s="260"/>
      <c r="F35" s="279"/>
      <c r="G35" s="260"/>
      <c r="H35" s="38"/>
      <c r="I35" s="35"/>
    </row>
    <row r="36" spans="1:9">
      <c r="A36" s="39"/>
      <c r="B36" s="38"/>
      <c r="C36" s="38"/>
      <c r="D36" s="279"/>
      <c r="E36" s="260"/>
      <c r="F36" s="279"/>
      <c r="G36" s="260"/>
      <c r="H36" s="38"/>
      <c r="I36" s="35"/>
    </row>
    <row r="37" spans="1:9">
      <c r="A37" s="39"/>
      <c r="B37" s="38"/>
      <c r="C37" s="38"/>
      <c r="D37" s="279"/>
      <c r="E37" s="260"/>
      <c r="F37" s="279"/>
      <c r="G37" s="260"/>
      <c r="H37" s="38"/>
      <c r="I37" s="35"/>
    </row>
    <row r="38" spans="1:9">
      <c r="A38" s="39"/>
      <c r="B38" s="38"/>
      <c r="C38" s="38"/>
      <c r="D38" s="279"/>
      <c r="E38" s="260"/>
      <c r="F38" s="279"/>
      <c r="G38" s="260"/>
      <c r="H38" s="38"/>
      <c r="I38" s="35"/>
    </row>
    <row r="39" spans="1:9">
      <c r="A39" s="39"/>
      <c r="B39" s="38"/>
      <c r="C39" s="38"/>
      <c r="D39" s="279"/>
      <c r="E39" s="260"/>
      <c r="F39" s="279"/>
      <c r="G39" s="260"/>
      <c r="H39" s="38"/>
      <c r="I39" s="35"/>
    </row>
    <row r="40" spans="1:9">
      <c r="A40" s="39"/>
      <c r="B40" s="38"/>
      <c r="C40" s="38"/>
      <c r="D40" s="279"/>
      <c r="E40" s="260"/>
      <c r="F40" s="279"/>
      <c r="G40" s="260"/>
      <c r="H40" s="38"/>
      <c r="I40" s="35"/>
    </row>
    <row r="41" spans="1:9">
      <c r="A41" s="39"/>
      <c r="B41" s="38"/>
      <c r="C41" s="38"/>
      <c r="D41" s="279"/>
      <c r="E41" s="260"/>
      <c r="F41" s="279"/>
      <c r="G41" s="260"/>
      <c r="H41" s="38"/>
      <c r="I41" s="35"/>
    </row>
    <row r="42" spans="1:9">
      <c r="A42" s="39"/>
      <c r="B42" s="38"/>
      <c r="C42" s="38"/>
      <c r="D42" s="279"/>
      <c r="E42" s="260"/>
      <c r="F42" s="279"/>
      <c r="G42" s="260"/>
      <c r="H42" s="38"/>
      <c r="I42" s="35"/>
    </row>
    <row r="43" spans="1:9">
      <c r="A43" s="39"/>
      <c r="B43" s="38"/>
      <c r="C43" s="38"/>
      <c r="D43" s="279"/>
      <c r="E43" s="260"/>
      <c r="F43" s="279"/>
      <c r="G43" s="260"/>
      <c r="H43" s="38"/>
      <c r="I43" s="35"/>
    </row>
    <row r="44" spans="1:9">
      <c r="A44" s="39"/>
      <c r="B44" s="38"/>
      <c r="C44" s="38"/>
      <c r="D44" s="279"/>
      <c r="E44" s="260"/>
      <c r="F44" s="279"/>
      <c r="G44" s="260"/>
      <c r="H44" s="38"/>
      <c r="I44" s="35"/>
    </row>
    <row r="45" spans="1:9">
      <c r="A45" s="39"/>
      <c r="B45" s="38"/>
      <c r="C45" s="38"/>
      <c r="D45" s="279"/>
      <c r="E45" s="260"/>
      <c r="F45" s="279"/>
      <c r="G45" s="260"/>
      <c r="H45" s="38"/>
      <c r="I45" s="35"/>
    </row>
    <row r="46" spans="1:9">
      <c r="A46" s="39"/>
      <c r="B46" s="38"/>
      <c r="C46" s="38"/>
      <c r="D46" s="279"/>
      <c r="E46" s="260"/>
      <c r="F46" s="279"/>
      <c r="G46" s="260"/>
      <c r="H46" s="38"/>
      <c r="I46" s="35"/>
    </row>
    <row r="47" spans="1:9">
      <c r="A47" s="39"/>
      <c r="B47" s="38"/>
      <c r="C47" s="38"/>
      <c r="D47" s="279"/>
      <c r="E47" s="260"/>
      <c r="F47" s="279"/>
      <c r="G47" s="260"/>
      <c r="H47" s="38"/>
      <c r="I47" s="35"/>
    </row>
    <row r="48" spans="1:9">
      <c r="A48" s="39"/>
      <c r="B48" s="38"/>
      <c r="C48" s="38"/>
      <c r="D48" s="279"/>
      <c r="E48" s="260"/>
      <c r="F48" s="279"/>
      <c r="G48" s="260"/>
      <c r="H48" s="38"/>
      <c r="I48" s="35"/>
    </row>
    <row r="49" spans="1:9">
      <c r="A49" s="39"/>
      <c r="B49" s="38"/>
      <c r="C49" s="38"/>
      <c r="D49" s="279"/>
      <c r="E49" s="260"/>
      <c r="F49" s="279"/>
      <c r="G49" s="260"/>
      <c r="H49" s="38"/>
      <c r="I49" s="35"/>
    </row>
    <row r="50" spans="1:9">
      <c r="A50" s="39"/>
      <c r="B50" s="38"/>
      <c r="C50" s="38"/>
      <c r="D50" s="279"/>
      <c r="E50" s="260"/>
      <c r="F50" s="279"/>
      <c r="G50" s="260"/>
      <c r="H50" s="38"/>
      <c r="I50" s="35"/>
    </row>
    <row r="51" spans="1:9">
      <c r="A51" s="39"/>
      <c r="B51" s="38"/>
      <c r="C51" s="38"/>
      <c r="D51" s="279"/>
      <c r="E51" s="260"/>
      <c r="F51" s="279"/>
      <c r="G51" s="260"/>
      <c r="H51" s="38"/>
      <c r="I51" s="35"/>
    </row>
    <row r="52" spans="1:9">
      <c r="A52" s="39"/>
      <c r="B52" s="38"/>
      <c r="C52" s="38"/>
      <c r="D52" s="279"/>
      <c r="E52" s="260"/>
      <c r="F52" s="279"/>
      <c r="G52" s="260"/>
      <c r="H52" s="38"/>
      <c r="I52" s="35"/>
    </row>
    <row r="53" spans="1:9">
      <c r="A53" s="39"/>
      <c r="B53" s="38"/>
      <c r="C53" s="38"/>
      <c r="D53" s="279"/>
      <c r="E53" s="260"/>
      <c r="F53" s="279"/>
      <c r="G53" s="260"/>
      <c r="H53" s="38"/>
      <c r="I53" s="35"/>
    </row>
    <row r="54" spans="1:9">
      <c r="A54" s="39"/>
      <c r="B54" s="38"/>
      <c r="C54" s="38"/>
      <c r="D54" s="279"/>
      <c r="E54" s="260"/>
      <c r="F54" s="279"/>
      <c r="G54" s="260"/>
      <c r="H54" s="38"/>
      <c r="I54" s="35"/>
    </row>
    <row r="55" spans="1:9">
      <c r="A55" s="39"/>
      <c r="B55" s="38"/>
      <c r="C55" s="38"/>
      <c r="D55" s="279"/>
      <c r="E55" s="260"/>
      <c r="F55" s="279"/>
      <c r="G55" s="260"/>
      <c r="H55" s="38"/>
      <c r="I55" s="35"/>
    </row>
    <row r="56" spans="1:9">
      <c r="A56" s="39"/>
      <c r="B56" s="38"/>
      <c r="C56" s="38"/>
      <c r="D56" s="279"/>
      <c r="E56" s="260"/>
      <c r="F56" s="279"/>
      <c r="G56" s="260"/>
      <c r="H56" s="38"/>
      <c r="I56" s="35"/>
    </row>
    <row r="57" spans="1:9">
      <c r="A57" s="39"/>
      <c r="B57" s="38"/>
      <c r="C57" s="38"/>
      <c r="D57" s="279"/>
      <c r="E57" s="260"/>
      <c r="F57" s="279"/>
      <c r="G57" s="260"/>
      <c r="H57" s="38"/>
      <c r="I57" s="35"/>
    </row>
    <row r="58" spans="1:9">
      <c r="A58" s="39"/>
      <c r="B58" s="38"/>
      <c r="C58" s="38"/>
      <c r="D58" s="279"/>
      <c r="E58" s="260"/>
      <c r="F58" s="279"/>
      <c r="G58" s="260"/>
      <c r="H58" s="38"/>
      <c r="I58" s="35"/>
    </row>
    <row r="59" spans="1:9">
      <c r="A59" s="39"/>
      <c r="B59" s="38"/>
      <c r="C59" s="38"/>
      <c r="D59" s="279"/>
      <c r="E59" s="260"/>
      <c r="F59" s="279"/>
      <c r="G59" s="260"/>
      <c r="H59" s="38"/>
      <c r="I59" s="35"/>
    </row>
    <row r="60" spans="1:9">
      <c r="A60" s="39"/>
      <c r="B60" s="38"/>
      <c r="C60" s="38"/>
      <c r="D60" s="279"/>
      <c r="E60" s="260"/>
      <c r="F60" s="279"/>
      <c r="G60" s="260"/>
      <c r="H60" s="38"/>
      <c r="I60" s="35"/>
    </row>
    <row r="61" spans="1:9">
      <c r="A61" s="39"/>
      <c r="B61" s="38"/>
      <c r="C61" s="38"/>
      <c r="D61" s="279"/>
      <c r="E61" s="260"/>
      <c r="F61" s="279"/>
      <c r="G61" s="260"/>
      <c r="H61" s="38"/>
      <c r="I61" s="35"/>
    </row>
    <row r="62" spans="1:9">
      <c r="A62" s="39"/>
      <c r="B62" s="38"/>
      <c r="C62" s="38"/>
      <c r="D62" s="279"/>
      <c r="E62" s="260"/>
      <c r="F62" s="279"/>
      <c r="G62" s="260"/>
      <c r="H62" s="38"/>
      <c r="I62" s="35"/>
    </row>
    <row r="63" spans="1:9">
      <c r="A63" s="39"/>
      <c r="B63" s="38"/>
      <c r="C63" s="38"/>
      <c r="D63" s="279"/>
      <c r="E63" s="260"/>
      <c r="F63" s="279"/>
      <c r="G63" s="260"/>
      <c r="H63" s="38"/>
      <c r="I63" s="35"/>
    </row>
    <row r="64" spans="1:9">
      <c r="A64" s="39"/>
      <c r="B64" s="38"/>
      <c r="C64" s="38"/>
      <c r="D64" s="279"/>
      <c r="E64" s="260"/>
      <c r="F64" s="279"/>
      <c r="G64" s="260"/>
      <c r="H64" s="38"/>
      <c r="I64" s="35"/>
    </row>
    <row r="65" spans="1:9">
      <c r="A65" s="39"/>
      <c r="B65" s="38"/>
      <c r="C65" s="38"/>
      <c r="D65" s="279"/>
      <c r="E65" s="260"/>
      <c r="F65" s="279"/>
      <c r="G65" s="260"/>
      <c r="H65" s="38"/>
      <c r="I65" s="35"/>
    </row>
    <row r="66" spans="1:9">
      <c r="A66" s="39"/>
      <c r="B66" s="38"/>
      <c r="C66" s="38"/>
      <c r="D66" s="279"/>
      <c r="E66" s="260"/>
      <c r="F66" s="279"/>
      <c r="G66" s="260"/>
      <c r="H66" s="38"/>
      <c r="I66" s="35"/>
    </row>
    <row r="67" spans="1:9">
      <c r="A67" s="39"/>
      <c r="B67" s="38"/>
      <c r="C67" s="38"/>
      <c r="D67" s="279"/>
      <c r="E67" s="260"/>
      <c r="F67" s="279"/>
      <c r="G67" s="260"/>
      <c r="H67" s="38"/>
      <c r="I67" s="35"/>
    </row>
    <row r="68" spans="1:9">
      <c r="A68" s="39"/>
      <c r="B68" s="38"/>
      <c r="C68" s="38"/>
      <c r="D68" s="279"/>
      <c r="E68" s="260"/>
      <c r="F68" s="279"/>
      <c r="G68" s="260"/>
      <c r="H68" s="38"/>
      <c r="I68" s="35"/>
    </row>
    <row r="69" spans="1:9">
      <c r="A69" s="39"/>
      <c r="B69" s="38"/>
      <c r="C69" s="38"/>
      <c r="D69" s="279"/>
      <c r="E69" s="260"/>
      <c r="F69" s="279"/>
      <c r="G69" s="260"/>
      <c r="H69" s="38"/>
      <c r="I69" s="35"/>
    </row>
    <row r="70" spans="1:9">
      <c r="A70" s="39"/>
      <c r="B70" s="38"/>
      <c r="C70" s="38"/>
      <c r="D70" s="279"/>
      <c r="E70" s="260"/>
      <c r="F70" s="279"/>
      <c r="G70" s="260"/>
      <c r="H70" s="38"/>
      <c r="I70" s="35"/>
    </row>
    <row r="71" spans="1:9">
      <c r="A71" s="39"/>
      <c r="B71" s="38"/>
      <c r="C71" s="38"/>
      <c r="D71" s="279"/>
      <c r="E71" s="260"/>
      <c r="F71" s="279"/>
      <c r="G71" s="260"/>
      <c r="H71" s="38"/>
      <c r="I71" s="35"/>
    </row>
    <row r="72" spans="1:9">
      <c r="A72" s="39"/>
      <c r="B72" s="38"/>
      <c r="C72" s="38"/>
      <c r="D72" s="279"/>
      <c r="E72" s="260"/>
      <c r="F72" s="279"/>
      <c r="G72" s="260"/>
      <c r="H72" s="38"/>
      <c r="I72" s="35"/>
    </row>
    <row r="73" spans="1:9">
      <c r="A73" s="39"/>
      <c r="B73" s="38"/>
      <c r="C73" s="38"/>
      <c r="D73" s="279"/>
      <c r="E73" s="260"/>
      <c r="F73" s="279"/>
      <c r="G73" s="260"/>
      <c r="H73" s="38"/>
      <c r="I73" s="35"/>
    </row>
    <row r="74" spans="1:9">
      <c r="A74" s="39"/>
      <c r="B74" s="38"/>
      <c r="C74" s="38"/>
      <c r="D74" s="279"/>
      <c r="E74" s="260"/>
      <c r="F74" s="279"/>
      <c r="G74" s="260"/>
      <c r="H74" s="38"/>
      <c r="I74" s="35"/>
    </row>
    <row r="75" spans="1:9">
      <c r="A75" s="39"/>
      <c r="B75" s="38"/>
      <c r="C75" s="38"/>
      <c r="D75" s="279"/>
      <c r="E75" s="260"/>
      <c r="F75" s="279"/>
      <c r="G75" s="260"/>
      <c r="H75" s="38"/>
      <c r="I75" s="35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8"/>
      <c r="C81" s="9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8"/>
      <c r="C83" s="9"/>
      <c r="D83" s="259"/>
      <c r="E83" s="260"/>
      <c r="F83" s="261"/>
      <c r="G83" s="260"/>
      <c r="H83" s="7"/>
      <c r="I83" s="11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9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9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7"/>
      <c r="I103" s="7"/>
    </row>
  </sheetData>
  <mergeCells count="206"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D18:E18"/>
    <mergeCell ref="D58:E5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24:G24"/>
    <mergeCell ref="F12:G12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53:G53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O276"/>
  <sheetViews>
    <sheetView zoomScaleNormal="100" workbookViewId="0">
      <pane ySplit="6" topLeftCell="A145" activePane="bottomLeft" state="frozen"/>
      <selection pane="bottomLeft" sqref="A1:I1"/>
    </sheetView>
  </sheetViews>
  <sheetFormatPr defaultColWidth="8.77734375" defaultRowHeight="16.2"/>
  <cols>
    <col min="1" max="1" width="11.6640625" style="246" customWidth="1"/>
    <col min="2" max="2" width="9.77734375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7" style="246" customWidth="1"/>
    <col min="7" max="7" width="5" style="246" customWidth="1"/>
    <col min="8" max="8" width="11.77734375" style="246" customWidth="1"/>
    <col min="9" max="9" width="19.109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756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12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Alprazolam 0.5mg</v>
      </c>
      <c r="K3" s="34" t="s">
        <v>757</v>
      </c>
      <c r="L3" s="5">
        <f>H7</f>
        <v>1383.5</v>
      </c>
      <c r="M3" s="3">
        <f>SUM(C$8:C$1048576)</f>
        <v>6000</v>
      </c>
      <c r="N3" s="3">
        <f>SUM(F:F)</f>
        <v>5451</v>
      </c>
      <c r="O3" s="3">
        <f>L3+M3-N3</f>
        <v>1932.5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758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759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215">
        <v>1383.5</v>
      </c>
      <c r="D7" s="289"/>
      <c r="E7" s="260"/>
      <c r="F7" s="289"/>
      <c r="G7" s="260"/>
      <c r="H7" s="140">
        <v>1383.5</v>
      </c>
      <c r="I7" s="202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521</v>
      </c>
      <c r="B8" s="38" t="s">
        <v>323</v>
      </c>
      <c r="C8" s="38"/>
      <c r="D8" s="279"/>
      <c r="E8" s="260"/>
      <c r="F8" s="279">
        <v>34.5</v>
      </c>
      <c r="G8" s="260"/>
      <c r="H8" s="38">
        <f t="shared" ref="H8:H23" si="0">H7-F8</f>
        <v>1349</v>
      </c>
      <c r="I8" s="26"/>
      <c r="J8" s="12"/>
      <c r="K8" s="3"/>
      <c r="L8" s="3"/>
      <c r="M8" s="3"/>
      <c r="N8" s="3"/>
      <c r="O8" s="3"/>
    </row>
    <row r="9" spans="1:15" ht="26.7" customHeight="1">
      <c r="A9" s="106" t="s">
        <v>572</v>
      </c>
      <c r="B9" s="38" t="s">
        <v>323</v>
      </c>
      <c r="C9" s="38"/>
      <c r="D9" s="279"/>
      <c r="E9" s="260"/>
      <c r="F9" s="279">
        <v>18</v>
      </c>
      <c r="G9" s="260"/>
      <c r="H9" s="38">
        <f t="shared" si="0"/>
        <v>1331</v>
      </c>
      <c r="I9" s="26"/>
      <c r="J9" s="12"/>
      <c r="K9" s="3"/>
      <c r="L9" s="3"/>
      <c r="M9" s="3"/>
      <c r="N9" s="3"/>
      <c r="O9" s="3"/>
    </row>
    <row r="10" spans="1:15" ht="26.7" customHeight="1">
      <c r="A10" s="39" t="s">
        <v>694</v>
      </c>
      <c r="B10" s="38" t="s">
        <v>323</v>
      </c>
      <c r="C10" s="38"/>
      <c r="D10" s="279"/>
      <c r="E10" s="260"/>
      <c r="F10" s="279">
        <v>30</v>
      </c>
      <c r="G10" s="260"/>
      <c r="H10" s="38">
        <f t="shared" si="0"/>
        <v>1301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39" t="s">
        <v>333</v>
      </c>
      <c r="B11" s="38" t="s">
        <v>323</v>
      </c>
      <c r="C11" s="38"/>
      <c r="D11" s="279"/>
      <c r="E11" s="260"/>
      <c r="F11" s="279">
        <v>96</v>
      </c>
      <c r="G11" s="260"/>
      <c r="H11" s="38">
        <f t="shared" si="0"/>
        <v>1205</v>
      </c>
      <c r="I11" s="27"/>
      <c r="J11" s="12"/>
      <c r="K11" s="3"/>
      <c r="L11" s="3"/>
      <c r="M11" s="3"/>
      <c r="N11" s="3"/>
      <c r="O11" s="3"/>
    </row>
    <row r="12" spans="1:15" ht="26.7" customHeight="1">
      <c r="A12" s="39" t="s">
        <v>522</v>
      </c>
      <c r="B12" s="38" t="s">
        <v>323</v>
      </c>
      <c r="C12" s="38"/>
      <c r="D12" s="279"/>
      <c r="E12" s="260"/>
      <c r="F12" s="279">
        <v>28</v>
      </c>
      <c r="G12" s="260"/>
      <c r="H12" s="38">
        <f t="shared" si="0"/>
        <v>1177</v>
      </c>
      <c r="I12" s="26"/>
      <c r="J12" s="12"/>
      <c r="K12" s="3"/>
      <c r="L12" s="3"/>
      <c r="M12" s="3"/>
      <c r="N12" s="3"/>
      <c r="O12" s="3"/>
    </row>
    <row r="13" spans="1:15" ht="26.7" customHeight="1">
      <c r="A13" s="39" t="s">
        <v>409</v>
      </c>
      <c r="B13" s="38" t="s">
        <v>323</v>
      </c>
      <c r="C13" s="91"/>
      <c r="D13" s="287"/>
      <c r="E13" s="260"/>
      <c r="F13" s="279">
        <v>4.5</v>
      </c>
      <c r="G13" s="260"/>
      <c r="H13" s="38">
        <f t="shared" si="0"/>
        <v>1172.5</v>
      </c>
      <c r="I13" s="26"/>
      <c r="J13" s="12"/>
      <c r="K13" s="3"/>
      <c r="L13" s="3"/>
      <c r="M13" s="3"/>
      <c r="N13" s="3"/>
      <c r="O13" s="3"/>
    </row>
    <row r="14" spans="1:15" ht="26.7" customHeight="1">
      <c r="A14" s="39" t="s">
        <v>335</v>
      </c>
      <c r="B14" s="38" t="s">
        <v>323</v>
      </c>
      <c r="C14" s="91"/>
      <c r="D14" s="287"/>
      <c r="E14" s="260"/>
      <c r="F14" s="279">
        <v>60</v>
      </c>
      <c r="G14" s="260"/>
      <c r="H14" s="38">
        <f t="shared" si="0"/>
        <v>1112.5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760</v>
      </c>
      <c r="B15" s="38" t="s">
        <v>323</v>
      </c>
      <c r="C15" s="38"/>
      <c r="D15" s="287"/>
      <c r="E15" s="260"/>
      <c r="F15" s="279">
        <v>4.5</v>
      </c>
      <c r="G15" s="260"/>
      <c r="H15" s="38">
        <f t="shared" si="0"/>
        <v>1108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39" t="s">
        <v>463</v>
      </c>
      <c r="B16" s="38" t="s">
        <v>323</v>
      </c>
      <c r="C16" s="38"/>
      <c r="D16" s="259"/>
      <c r="E16" s="260"/>
      <c r="F16" s="279">
        <v>14</v>
      </c>
      <c r="G16" s="260"/>
      <c r="H16" s="38">
        <f t="shared" si="0"/>
        <v>1094</v>
      </c>
      <c r="I16" s="26"/>
      <c r="J16" s="12"/>
    </row>
    <row r="17" spans="1:10" ht="26.7" customHeight="1">
      <c r="A17" s="39" t="s">
        <v>523</v>
      </c>
      <c r="B17" s="38" t="s">
        <v>323</v>
      </c>
      <c r="C17" s="38"/>
      <c r="D17" s="259"/>
      <c r="E17" s="260"/>
      <c r="F17" s="279">
        <v>4.5</v>
      </c>
      <c r="G17" s="260"/>
      <c r="H17" s="38">
        <f t="shared" si="0"/>
        <v>1089.5</v>
      </c>
      <c r="I17" s="26"/>
      <c r="J17" s="12"/>
    </row>
    <row r="18" spans="1:10" ht="26.7" customHeight="1">
      <c r="A18" s="39" t="s">
        <v>464</v>
      </c>
      <c r="B18" s="38" t="s">
        <v>323</v>
      </c>
      <c r="C18" s="38"/>
      <c r="D18" s="259"/>
      <c r="E18" s="260"/>
      <c r="F18" s="279">
        <v>28</v>
      </c>
      <c r="G18" s="260"/>
      <c r="H18" s="38">
        <f t="shared" si="0"/>
        <v>1061.5</v>
      </c>
      <c r="I18" s="26"/>
      <c r="J18" s="12"/>
    </row>
    <row r="19" spans="1:10" ht="26.7" customHeight="1">
      <c r="A19" s="39" t="s">
        <v>382</v>
      </c>
      <c r="B19" s="38" t="s">
        <v>323</v>
      </c>
      <c r="C19" s="38"/>
      <c r="D19" s="259"/>
      <c r="E19" s="260"/>
      <c r="F19" s="279">
        <v>71</v>
      </c>
      <c r="G19" s="260"/>
      <c r="H19" s="38">
        <f t="shared" si="0"/>
        <v>990.5</v>
      </c>
      <c r="I19" s="26"/>
      <c r="J19" s="12"/>
    </row>
    <row r="20" spans="1:10" ht="26.7" customHeight="1">
      <c r="A20" s="39" t="s">
        <v>433</v>
      </c>
      <c r="B20" s="38" t="s">
        <v>323</v>
      </c>
      <c r="C20" s="38"/>
      <c r="D20" s="259"/>
      <c r="E20" s="260"/>
      <c r="F20" s="279">
        <v>34.5</v>
      </c>
      <c r="G20" s="260"/>
      <c r="H20" s="38">
        <f t="shared" si="0"/>
        <v>956</v>
      </c>
      <c r="I20" s="26"/>
      <c r="J20" s="12"/>
    </row>
    <row r="21" spans="1:10" ht="26.7" customHeight="1">
      <c r="A21" s="39" t="s">
        <v>465</v>
      </c>
      <c r="B21" s="38" t="s">
        <v>323</v>
      </c>
      <c r="C21" s="38"/>
      <c r="D21" s="259"/>
      <c r="E21" s="260"/>
      <c r="F21" s="279">
        <v>33</v>
      </c>
      <c r="G21" s="260"/>
      <c r="H21" s="38">
        <f t="shared" si="0"/>
        <v>923</v>
      </c>
      <c r="I21" s="26"/>
      <c r="J21" s="12"/>
    </row>
    <row r="22" spans="1:10" ht="26.7" customHeight="1">
      <c r="A22" s="39" t="s">
        <v>647</v>
      </c>
      <c r="B22" s="38" t="s">
        <v>323</v>
      </c>
      <c r="C22" s="38"/>
      <c r="D22" s="259"/>
      <c r="E22" s="260"/>
      <c r="F22" s="279">
        <v>49.5</v>
      </c>
      <c r="G22" s="260"/>
      <c r="H22" s="38">
        <f t="shared" si="0"/>
        <v>873.5</v>
      </c>
      <c r="I22" s="26"/>
      <c r="J22" s="12"/>
    </row>
    <row r="23" spans="1:10" ht="26.7" customHeight="1">
      <c r="A23" s="39" t="s">
        <v>466</v>
      </c>
      <c r="B23" s="38" t="s">
        <v>323</v>
      </c>
      <c r="C23" s="38"/>
      <c r="D23" s="259"/>
      <c r="E23" s="260"/>
      <c r="F23" s="279">
        <v>63</v>
      </c>
      <c r="G23" s="260"/>
      <c r="H23" s="38">
        <f t="shared" si="0"/>
        <v>810.5</v>
      </c>
      <c r="I23" s="26"/>
      <c r="J23" s="12"/>
    </row>
    <row r="24" spans="1:10" ht="26.7" customHeight="1">
      <c r="A24" s="39" t="s">
        <v>573</v>
      </c>
      <c r="B24" s="38" t="s">
        <v>324</v>
      </c>
      <c r="C24" s="38">
        <v>2000</v>
      </c>
      <c r="D24" s="259" t="s">
        <v>761</v>
      </c>
      <c r="E24" s="260"/>
      <c r="F24" s="279"/>
      <c r="G24" s="260"/>
      <c r="H24" s="38">
        <v>2810.5</v>
      </c>
      <c r="I24" s="26" t="s">
        <v>575</v>
      </c>
      <c r="J24" s="12"/>
    </row>
    <row r="25" spans="1:10" ht="26.7" customHeight="1">
      <c r="A25" s="39" t="s">
        <v>573</v>
      </c>
      <c r="B25" s="38" t="s">
        <v>323</v>
      </c>
      <c r="C25" s="38"/>
      <c r="D25" s="259"/>
      <c r="E25" s="260"/>
      <c r="F25" s="279">
        <v>7.5</v>
      </c>
      <c r="G25" s="260"/>
      <c r="H25" s="38">
        <f t="shared" ref="H25:H56" si="1">H24-F25</f>
        <v>2803</v>
      </c>
      <c r="I25" s="28"/>
      <c r="J25" s="12"/>
    </row>
    <row r="26" spans="1:10" ht="26.7" customHeight="1">
      <c r="A26" s="39" t="s">
        <v>762</v>
      </c>
      <c r="B26" s="38" t="s">
        <v>323</v>
      </c>
      <c r="C26" s="38"/>
      <c r="D26" s="259"/>
      <c r="E26" s="260"/>
      <c r="F26" s="279">
        <v>44</v>
      </c>
      <c r="G26" s="260"/>
      <c r="H26" s="38">
        <f t="shared" si="1"/>
        <v>2759</v>
      </c>
      <c r="I26" s="26"/>
      <c r="J26" s="12"/>
    </row>
    <row r="27" spans="1:10" ht="26.7" customHeight="1">
      <c r="A27" s="39" t="s">
        <v>470</v>
      </c>
      <c r="B27" s="38" t="s">
        <v>323</v>
      </c>
      <c r="C27" s="38"/>
      <c r="D27" s="259"/>
      <c r="E27" s="260"/>
      <c r="F27" s="279">
        <v>7.5</v>
      </c>
      <c r="G27" s="260"/>
      <c r="H27" s="38">
        <f t="shared" si="1"/>
        <v>2751.5</v>
      </c>
      <c r="I27" s="26"/>
      <c r="J27" s="12"/>
    </row>
    <row r="28" spans="1:10" ht="26.7" customHeight="1">
      <c r="A28" s="39" t="s">
        <v>434</v>
      </c>
      <c r="B28" s="38" t="s">
        <v>323</v>
      </c>
      <c r="C28" s="38"/>
      <c r="D28" s="279"/>
      <c r="E28" s="260"/>
      <c r="F28" s="279">
        <v>18</v>
      </c>
      <c r="G28" s="260"/>
      <c r="H28" s="38">
        <f t="shared" si="1"/>
        <v>2733.5</v>
      </c>
      <c r="I28" s="37"/>
      <c r="J28" s="12"/>
    </row>
    <row r="29" spans="1:10" ht="26.7" customHeight="1">
      <c r="A29" s="39" t="s">
        <v>524</v>
      </c>
      <c r="B29" s="38" t="s">
        <v>323</v>
      </c>
      <c r="C29" s="38"/>
      <c r="D29" s="279"/>
      <c r="E29" s="260"/>
      <c r="F29" s="279">
        <v>30</v>
      </c>
      <c r="G29" s="260"/>
      <c r="H29" s="38">
        <f t="shared" si="1"/>
        <v>2703.5</v>
      </c>
      <c r="I29" s="26"/>
      <c r="J29" s="12"/>
    </row>
    <row r="30" spans="1:10" ht="26.7" customHeight="1">
      <c r="A30" s="39" t="s">
        <v>471</v>
      </c>
      <c r="B30" s="38" t="s">
        <v>323</v>
      </c>
      <c r="C30" s="38"/>
      <c r="D30" s="279"/>
      <c r="E30" s="260"/>
      <c r="F30" s="279">
        <v>10.5</v>
      </c>
      <c r="G30" s="260"/>
      <c r="H30" s="38">
        <f t="shared" si="1"/>
        <v>2693</v>
      </c>
      <c r="I30" s="247"/>
      <c r="J30" s="3"/>
    </row>
    <row r="31" spans="1:10" ht="21.75" customHeight="1" thickBot="1">
      <c r="A31" s="39" t="s">
        <v>472</v>
      </c>
      <c r="B31" s="38" t="s">
        <v>323</v>
      </c>
      <c r="C31" s="38"/>
      <c r="D31" s="279"/>
      <c r="E31" s="260"/>
      <c r="F31" s="279">
        <v>89</v>
      </c>
      <c r="G31" s="260"/>
      <c r="H31" s="225">
        <f t="shared" si="1"/>
        <v>2604</v>
      </c>
      <c r="I31" s="32"/>
      <c r="J31" s="12"/>
    </row>
    <row r="32" spans="1:10" ht="21" customHeight="1">
      <c r="A32" s="39" t="s">
        <v>337</v>
      </c>
      <c r="B32" s="38" t="s">
        <v>323</v>
      </c>
      <c r="C32" s="38"/>
      <c r="D32" s="279"/>
      <c r="E32" s="260"/>
      <c r="F32" s="279">
        <v>4.5</v>
      </c>
      <c r="G32" s="260"/>
      <c r="H32" s="38">
        <f t="shared" si="1"/>
        <v>2599.5</v>
      </c>
      <c r="I32" s="22"/>
      <c r="J32" s="3"/>
    </row>
    <row r="33" spans="1:9" ht="21" customHeight="1">
      <c r="A33" s="39" t="s">
        <v>338</v>
      </c>
      <c r="B33" s="38" t="s">
        <v>323</v>
      </c>
      <c r="C33" s="38"/>
      <c r="D33" s="279"/>
      <c r="E33" s="260"/>
      <c r="F33" s="279">
        <v>21</v>
      </c>
      <c r="G33" s="260"/>
      <c r="H33" s="38">
        <f t="shared" si="1"/>
        <v>2578.5</v>
      </c>
      <c r="I33" s="7"/>
    </row>
    <row r="34" spans="1:9" ht="21" customHeight="1">
      <c r="A34" s="39" t="s">
        <v>383</v>
      </c>
      <c r="B34" s="38" t="s">
        <v>323</v>
      </c>
      <c r="C34" s="38"/>
      <c r="D34" s="279"/>
      <c r="E34" s="260"/>
      <c r="F34" s="279">
        <v>47</v>
      </c>
      <c r="G34" s="260"/>
      <c r="H34" s="38">
        <f t="shared" si="1"/>
        <v>2531.5</v>
      </c>
      <c r="I34" s="16"/>
    </row>
    <row r="35" spans="1:9" ht="21" customHeight="1">
      <c r="A35" s="39" t="s">
        <v>473</v>
      </c>
      <c r="B35" s="38" t="s">
        <v>323</v>
      </c>
      <c r="C35" s="38"/>
      <c r="D35" s="279"/>
      <c r="E35" s="260"/>
      <c r="F35" s="279">
        <v>4.5</v>
      </c>
      <c r="G35" s="260"/>
      <c r="H35" s="38">
        <f t="shared" si="1"/>
        <v>2527</v>
      </c>
      <c r="I35" s="7"/>
    </row>
    <row r="36" spans="1:9" ht="21" customHeight="1">
      <c r="A36" s="39" t="s">
        <v>339</v>
      </c>
      <c r="B36" s="38" t="s">
        <v>323</v>
      </c>
      <c r="C36" s="38"/>
      <c r="D36" s="279"/>
      <c r="E36" s="260"/>
      <c r="F36" s="279">
        <v>153</v>
      </c>
      <c r="G36" s="260"/>
      <c r="H36" s="38">
        <f t="shared" si="1"/>
        <v>2374</v>
      </c>
      <c r="I36" s="7"/>
    </row>
    <row r="37" spans="1:9" ht="21" customHeight="1">
      <c r="A37" s="39" t="s">
        <v>435</v>
      </c>
      <c r="B37" s="38" t="s">
        <v>323</v>
      </c>
      <c r="C37" s="38"/>
      <c r="D37" s="279"/>
      <c r="E37" s="260"/>
      <c r="F37" s="279">
        <v>4.5</v>
      </c>
      <c r="G37" s="260"/>
      <c r="H37" s="38">
        <f t="shared" si="1"/>
        <v>2369.5</v>
      </c>
      <c r="I37" s="16"/>
    </row>
    <row r="38" spans="1:9" ht="21" customHeight="1">
      <c r="A38" s="38" t="s">
        <v>411</v>
      </c>
      <c r="B38" s="38" t="s">
        <v>323</v>
      </c>
      <c r="C38" s="38"/>
      <c r="D38" s="279"/>
      <c r="E38" s="260"/>
      <c r="F38" s="279">
        <v>46</v>
      </c>
      <c r="G38" s="260"/>
      <c r="H38" s="38">
        <f t="shared" si="1"/>
        <v>2323.5</v>
      </c>
      <c r="I38" s="7"/>
    </row>
    <row r="39" spans="1:9" ht="21" customHeight="1">
      <c r="A39" s="39" t="s">
        <v>525</v>
      </c>
      <c r="B39" s="38" t="s">
        <v>323</v>
      </c>
      <c r="C39" s="38"/>
      <c r="D39" s="279"/>
      <c r="E39" s="260"/>
      <c r="F39" s="279">
        <v>30</v>
      </c>
      <c r="G39" s="260"/>
      <c r="H39" s="38">
        <f t="shared" si="1"/>
        <v>2293.5</v>
      </c>
      <c r="I39" s="7"/>
    </row>
    <row r="40" spans="1:9" ht="21" customHeight="1">
      <c r="A40" s="39" t="s">
        <v>412</v>
      </c>
      <c r="B40" s="38" t="s">
        <v>323</v>
      </c>
      <c r="C40" s="38"/>
      <c r="D40" s="279"/>
      <c r="E40" s="260"/>
      <c r="F40" s="279">
        <v>32.5</v>
      </c>
      <c r="G40" s="260"/>
      <c r="H40" s="38">
        <f t="shared" si="1"/>
        <v>2261</v>
      </c>
      <c r="I40" s="7"/>
    </row>
    <row r="41" spans="1:9">
      <c r="A41" s="39" t="s">
        <v>384</v>
      </c>
      <c r="B41" s="38" t="s">
        <v>323</v>
      </c>
      <c r="C41" s="38"/>
      <c r="D41" s="279"/>
      <c r="E41" s="260"/>
      <c r="F41" s="279">
        <v>75</v>
      </c>
      <c r="G41" s="260"/>
      <c r="H41" s="38">
        <f t="shared" si="1"/>
        <v>2186</v>
      </c>
      <c r="I41" s="109" t="s">
        <v>576</v>
      </c>
    </row>
    <row r="42" spans="1:9" ht="21" customHeight="1">
      <c r="A42" s="39" t="s">
        <v>436</v>
      </c>
      <c r="B42" s="38" t="s">
        <v>323</v>
      </c>
      <c r="C42" s="38"/>
      <c r="D42" s="279"/>
      <c r="E42" s="260"/>
      <c r="F42" s="279">
        <v>32.5</v>
      </c>
      <c r="G42" s="260"/>
      <c r="H42" s="38">
        <f t="shared" si="1"/>
        <v>2153.5</v>
      </c>
      <c r="I42" s="7"/>
    </row>
    <row r="43" spans="1:9" ht="21" customHeight="1">
      <c r="A43" s="39" t="s">
        <v>526</v>
      </c>
      <c r="B43" s="38" t="s">
        <v>323</v>
      </c>
      <c r="C43" s="38"/>
      <c r="D43" s="279"/>
      <c r="E43" s="260"/>
      <c r="F43" s="279">
        <v>18</v>
      </c>
      <c r="G43" s="260"/>
      <c r="H43" s="38">
        <f t="shared" si="1"/>
        <v>2135.5</v>
      </c>
      <c r="I43" s="7"/>
    </row>
    <row r="44" spans="1:9" ht="21" customHeight="1">
      <c r="A44" s="39" t="s">
        <v>385</v>
      </c>
      <c r="B44" s="38" t="s">
        <v>323</v>
      </c>
      <c r="C44" s="38"/>
      <c r="D44" s="279"/>
      <c r="E44" s="260"/>
      <c r="F44" s="279">
        <v>80</v>
      </c>
      <c r="G44" s="260"/>
      <c r="H44" s="38">
        <f t="shared" si="1"/>
        <v>2055.5</v>
      </c>
      <c r="I44" s="7"/>
    </row>
    <row r="45" spans="1:9" ht="21" customHeight="1">
      <c r="A45" s="39" t="s">
        <v>652</v>
      </c>
      <c r="B45" s="38" t="s">
        <v>323</v>
      </c>
      <c r="C45" s="38"/>
      <c r="D45" s="279"/>
      <c r="E45" s="260"/>
      <c r="F45" s="279">
        <v>34.5</v>
      </c>
      <c r="G45" s="260"/>
      <c r="H45" s="38">
        <f t="shared" si="1"/>
        <v>2021</v>
      </c>
      <c r="I45" s="7"/>
    </row>
    <row r="46" spans="1:9" ht="21" customHeight="1">
      <c r="A46" s="39" t="s">
        <v>340</v>
      </c>
      <c r="B46" s="38" t="s">
        <v>323</v>
      </c>
      <c r="C46" s="38"/>
      <c r="D46" s="279"/>
      <c r="E46" s="260"/>
      <c r="F46" s="279">
        <v>4.5</v>
      </c>
      <c r="G46" s="260"/>
      <c r="H46" s="38">
        <f t="shared" si="1"/>
        <v>2016.5</v>
      </c>
      <c r="I46" s="7"/>
    </row>
    <row r="47" spans="1:9" ht="21" customHeight="1">
      <c r="A47" s="39" t="s">
        <v>578</v>
      </c>
      <c r="B47" s="38" t="s">
        <v>323</v>
      </c>
      <c r="C47" s="38"/>
      <c r="D47" s="279"/>
      <c r="E47" s="260"/>
      <c r="F47" s="279">
        <v>14</v>
      </c>
      <c r="G47" s="260"/>
      <c r="H47" s="38">
        <f t="shared" si="1"/>
        <v>2002.5</v>
      </c>
      <c r="I47" s="7"/>
    </row>
    <row r="48" spans="1:9" ht="21" customHeight="1">
      <c r="A48" s="39" t="s">
        <v>475</v>
      </c>
      <c r="B48" s="38" t="s">
        <v>323</v>
      </c>
      <c r="C48" s="38"/>
      <c r="D48" s="279"/>
      <c r="E48" s="260"/>
      <c r="F48" s="279">
        <v>15</v>
      </c>
      <c r="G48" s="260"/>
      <c r="H48" s="38">
        <f t="shared" si="1"/>
        <v>1987.5</v>
      </c>
      <c r="I48" s="11"/>
    </row>
    <row r="49" spans="1:9" ht="21" customHeight="1">
      <c r="A49" s="39" t="s">
        <v>476</v>
      </c>
      <c r="B49" s="38" t="s">
        <v>323</v>
      </c>
      <c r="C49" s="38"/>
      <c r="D49" s="279"/>
      <c r="E49" s="260"/>
      <c r="F49" s="279">
        <v>4.5</v>
      </c>
      <c r="G49" s="260"/>
      <c r="H49" s="38">
        <f t="shared" si="1"/>
        <v>1983</v>
      </c>
      <c r="I49" s="7"/>
    </row>
    <row r="50" spans="1:9">
      <c r="A50" s="39" t="s">
        <v>386</v>
      </c>
      <c r="B50" s="38" t="s">
        <v>323</v>
      </c>
      <c r="C50" s="38"/>
      <c r="D50" s="279"/>
      <c r="E50" s="260"/>
      <c r="F50" s="279">
        <v>59</v>
      </c>
      <c r="G50" s="260"/>
      <c r="H50" s="38">
        <f t="shared" si="1"/>
        <v>1924</v>
      </c>
      <c r="I50" s="109"/>
    </row>
    <row r="51" spans="1:9" ht="21" customHeight="1">
      <c r="A51" s="39" t="s">
        <v>604</v>
      </c>
      <c r="B51" s="38" t="s">
        <v>323</v>
      </c>
      <c r="C51" s="38"/>
      <c r="D51" s="279"/>
      <c r="E51" s="260"/>
      <c r="F51" s="279">
        <v>4.5</v>
      </c>
      <c r="G51" s="260"/>
      <c r="H51" s="38">
        <f t="shared" si="1"/>
        <v>1919.5</v>
      </c>
      <c r="I51" s="7"/>
    </row>
    <row r="52" spans="1:9" ht="21" customHeight="1">
      <c r="A52" s="39" t="s">
        <v>341</v>
      </c>
      <c r="B52" s="38" t="s">
        <v>323</v>
      </c>
      <c r="C52" s="38"/>
      <c r="D52" s="279"/>
      <c r="E52" s="260"/>
      <c r="F52" s="279">
        <v>3</v>
      </c>
      <c r="G52" s="260"/>
      <c r="H52" s="38">
        <f t="shared" si="1"/>
        <v>1916.5</v>
      </c>
      <c r="I52" s="7"/>
    </row>
    <row r="53" spans="1:9" ht="25.2" customHeight="1">
      <c r="A53" s="39" t="s">
        <v>342</v>
      </c>
      <c r="B53" s="38" t="s">
        <v>323</v>
      </c>
      <c r="C53" s="38"/>
      <c r="D53" s="279"/>
      <c r="E53" s="260"/>
      <c r="F53" s="279">
        <v>112.5</v>
      </c>
      <c r="G53" s="260"/>
      <c r="H53" s="38">
        <f t="shared" si="1"/>
        <v>1804</v>
      </c>
      <c r="I53" s="7"/>
    </row>
    <row r="54" spans="1:9" ht="25.2" customHeight="1">
      <c r="A54" s="39" t="s">
        <v>343</v>
      </c>
      <c r="B54" s="38" t="s">
        <v>323</v>
      </c>
      <c r="C54" s="38"/>
      <c r="D54" s="279"/>
      <c r="E54" s="260"/>
      <c r="F54" s="279">
        <v>3</v>
      </c>
      <c r="G54" s="260"/>
      <c r="H54" s="38">
        <f t="shared" si="1"/>
        <v>1801</v>
      </c>
      <c r="I54" s="7"/>
    </row>
    <row r="55" spans="1:9" ht="25.2" customHeight="1">
      <c r="A55" s="39" t="s">
        <v>478</v>
      </c>
      <c r="B55" s="38" t="s">
        <v>323</v>
      </c>
      <c r="C55" s="38"/>
      <c r="D55" s="279"/>
      <c r="E55" s="260"/>
      <c r="F55" s="279">
        <v>30</v>
      </c>
      <c r="G55" s="260"/>
      <c r="H55" s="38">
        <f t="shared" si="1"/>
        <v>1771</v>
      </c>
      <c r="I55" s="16"/>
    </row>
    <row r="56" spans="1:9" ht="25.2" customHeight="1">
      <c r="A56" s="39" t="s">
        <v>346</v>
      </c>
      <c r="B56" s="38" t="s">
        <v>323</v>
      </c>
      <c r="C56" s="38"/>
      <c r="D56" s="279"/>
      <c r="E56" s="260"/>
      <c r="F56" s="279">
        <v>30</v>
      </c>
      <c r="G56" s="260"/>
      <c r="H56" s="38">
        <f t="shared" si="1"/>
        <v>1741</v>
      </c>
      <c r="I56" s="7"/>
    </row>
    <row r="57" spans="1:9" ht="25.2" customHeight="1">
      <c r="A57" s="39" t="s">
        <v>479</v>
      </c>
      <c r="B57" s="38" t="s">
        <v>323</v>
      </c>
      <c r="C57" s="38"/>
      <c r="D57" s="279"/>
      <c r="E57" s="260"/>
      <c r="F57" s="279">
        <v>9</v>
      </c>
      <c r="G57" s="260"/>
      <c r="H57" s="38">
        <f t="shared" ref="H57:H92" si="2">H56-F57</f>
        <v>1732</v>
      </c>
      <c r="I57" s="7"/>
    </row>
    <row r="58" spans="1:9" ht="25.2" customHeight="1">
      <c r="A58" s="39" t="s">
        <v>527</v>
      </c>
      <c r="B58" s="38" t="s">
        <v>323</v>
      </c>
      <c r="C58" s="38"/>
      <c r="D58" s="279"/>
      <c r="E58" s="260"/>
      <c r="F58" s="279">
        <v>28</v>
      </c>
      <c r="G58" s="260"/>
      <c r="H58" s="38">
        <f t="shared" si="2"/>
        <v>1704</v>
      </c>
      <c r="I58" s="7"/>
    </row>
    <row r="59" spans="1:9" ht="25.2" customHeight="1">
      <c r="A59" s="39" t="s">
        <v>480</v>
      </c>
      <c r="B59" s="38" t="s">
        <v>323</v>
      </c>
      <c r="C59" s="38"/>
      <c r="D59" s="279"/>
      <c r="E59" s="260"/>
      <c r="F59" s="279">
        <v>44</v>
      </c>
      <c r="G59" s="260"/>
      <c r="H59" s="38">
        <f t="shared" si="2"/>
        <v>1660</v>
      </c>
      <c r="I59" s="109"/>
    </row>
    <row r="60" spans="1:9" ht="21" customHeight="1">
      <c r="A60" s="39" t="s">
        <v>481</v>
      </c>
      <c r="B60" s="38" t="s">
        <v>323</v>
      </c>
      <c r="C60" s="38"/>
      <c r="D60" s="279"/>
      <c r="E60" s="260"/>
      <c r="F60" s="279">
        <v>19</v>
      </c>
      <c r="G60" s="260"/>
      <c r="H60" s="38">
        <f t="shared" si="2"/>
        <v>1641</v>
      </c>
      <c r="I60" s="7"/>
    </row>
    <row r="61" spans="1:9" ht="21" customHeight="1">
      <c r="A61" s="39" t="s">
        <v>438</v>
      </c>
      <c r="B61" s="38" t="s">
        <v>323</v>
      </c>
      <c r="C61" s="38"/>
      <c r="D61" s="279"/>
      <c r="E61" s="260"/>
      <c r="F61" s="279">
        <v>52</v>
      </c>
      <c r="G61" s="260"/>
      <c r="H61" s="38">
        <f t="shared" si="2"/>
        <v>1589</v>
      </c>
      <c r="I61" s="7"/>
    </row>
    <row r="62" spans="1:9" ht="21" customHeight="1">
      <c r="A62" s="39" t="s">
        <v>528</v>
      </c>
      <c r="B62" s="38" t="s">
        <v>323</v>
      </c>
      <c r="C62" s="38"/>
      <c r="D62" s="279"/>
      <c r="E62" s="260"/>
      <c r="F62" s="279">
        <v>70</v>
      </c>
      <c r="G62" s="260"/>
      <c r="H62" s="38">
        <f t="shared" si="2"/>
        <v>1519</v>
      </c>
      <c r="I62" s="7"/>
    </row>
    <row r="63" spans="1:9" ht="21" customHeight="1">
      <c r="A63" s="39" t="s">
        <v>634</v>
      </c>
      <c r="B63" s="38" t="s">
        <v>323</v>
      </c>
      <c r="C63" s="38"/>
      <c r="D63" s="279"/>
      <c r="E63" s="260"/>
      <c r="F63" s="279">
        <v>75</v>
      </c>
      <c r="G63" s="260"/>
      <c r="H63" s="38">
        <f t="shared" si="2"/>
        <v>1444</v>
      </c>
      <c r="I63" s="7"/>
    </row>
    <row r="64" spans="1:9" ht="21" customHeight="1">
      <c r="A64" s="39" t="s">
        <v>347</v>
      </c>
      <c r="B64" s="38" t="s">
        <v>323</v>
      </c>
      <c r="C64" s="38"/>
      <c r="D64" s="279"/>
      <c r="E64" s="260"/>
      <c r="F64" s="279">
        <v>39</v>
      </c>
      <c r="G64" s="260"/>
      <c r="H64" s="38">
        <f t="shared" si="2"/>
        <v>1405</v>
      </c>
      <c r="I64" s="7"/>
    </row>
    <row r="65" spans="1:9" ht="21" customHeight="1">
      <c r="A65" s="39" t="s">
        <v>530</v>
      </c>
      <c r="B65" s="38" t="s">
        <v>323</v>
      </c>
      <c r="C65" s="38"/>
      <c r="D65" s="279"/>
      <c r="E65" s="260"/>
      <c r="F65" s="279">
        <v>18</v>
      </c>
      <c r="G65" s="260"/>
      <c r="H65" s="38">
        <f t="shared" si="2"/>
        <v>1387</v>
      </c>
      <c r="I65" s="7"/>
    </row>
    <row r="66" spans="1:9" ht="21" customHeight="1">
      <c r="A66" s="39" t="s">
        <v>349</v>
      </c>
      <c r="B66" s="38" t="s">
        <v>323</v>
      </c>
      <c r="C66" s="38"/>
      <c r="D66" s="279"/>
      <c r="E66" s="260"/>
      <c r="F66" s="279">
        <v>9</v>
      </c>
      <c r="G66" s="260"/>
      <c r="H66" s="38">
        <f t="shared" si="2"/>
        <v>1378</v>
      </c>
      <c r="I66" s="7"/>
    </row>
    <row r="67" spans="1:9" ht="21" customHeight="1">
      <c r="A67" s="39" t="s">
        <v>388</v>
      </c>
      <c r="B67" s="38" t="s">
        <v>323</v>
      </c>
      <c r="C67" s="38"/>
      <c r="D67" s="279"/>
      <c r="E67" s="260"/>
      <c r="F67" s="279">
        <v>14</v>
      </c>
      <c r="G67" s="260"/>
      <c r="H67" s="38">
        <f t="shared" si="2"/>
        <v>1364</v>
      </c>
      <c r="I67" s="7"/>
    </row>
    <row r="68" spans="1:9" ht="21" customHeight="1">
      <c r="A68" s="39" t="s">
        <v>532</v>
      </c>
      <c r="B68" s="38" t="s">
        <v>323</v>
      </c>
      <c r="C68" s="38"/>
      <c r="D68" s="279"/>
      <c r="E68" s="260"/>
      <c r="F68" s="279">
        <v>9</v>
      </c>
      <c r="G68" s="260"/>
      <c r="H68" s="38">
        <f t="shared" si="2"/>
        <v>1355</v>
      </c>
      <c r="I68" s="7"/>
    </row>
    <row r="69" spans="1:9" ht="21" customHeight="1">
      <c r="A69" s="39" t="s">
        <v>439</v>
      </c>
      <c r="B69" s="38" t="s">
        <v>323</v>
      </c>
      <c r="C69" s="38"/>
      <c r="D69" s="279"/>
      <c r="E69" s="260"/>
      <c r="F69" s="279">
        <v>32</v>
      </c>
      <c r="G69" s="260"/>
      <c r="H69" s="38">
        <f t="shared" si="2"/>
        <v>1323</v>
      </c>
      <c r="I69" s="7"/>
    </row>
    <row r="70" spans="1:9" ht="21" customHeight="1">
      <c r="A70" s="39" t="s">
        <v>482</v>
      </c>
      <c r="B70" s="38" t="s">
        <v>323</v>
      </c>
      <c r="C70" s="38"/>
      <c r="D70" s="279"/>
      <c r="E70" s="260"/>
      <c r="F70" s="279">
        <v>50</v>
      </c>
      <c r="G70" s="260"/>
      <c r="H70" s="38">
        <f t="shared" si="2"/>
        <v>1273</v>
      </c>
      <c r="I70" s="7"/>
    </row>
    <row r="71" spans="1:9" ht="21" customHeight="1">
      <c r="A71" s="39" t="s">
        <v>535</v>
      </c>
      <c r="B71" s="38" t="s">
        <v>323</v>
      </c>
      <c r="C71" s="38"/>
      <c r="D71" s="279"/>
      <c r="E71" s="260"/>
      <c r="F71" s="279">
        <v>23</v>
      </c>
      <c r="G71" s="260"/>
      <c r="H71" s="38">
        <f t="shared" si="2"/>
        <v>1250</v>
      </c>
      <c r="I71" s="7"/>
    </row>
    <row r="72" spans="1:9" ht="21" customHeight="1">
      <c r="A72" s="39" t="s">
        <v>483</v>
      </c>
      <c r="B72" s="38" t="s">
        <v>323</v>
      </c>
      <c r="C72" s="38"/>
      <c r="D72" s="279"/>
      <c r="E72" s="260"/>
      <c r="F72" s="279">
        <v>15</v>
      </c>
      <c r="G72" s="260"/>
      <c r="H72" s="38">
        <f t="shared" si="2"/>
        <v>1235</v>
      </c>
      <c r="I72" s="7"/>
    </row>
    <row r="73" spans="1:9" ht="21" customHeight="1">
      <c r="A73" s="39" t="s">
        <v>536</v>
      </c>
      <c r="B73" s="38" t="s">
        <v>323</v>
      </c>
      <c r="C73" s="38"/>
      <c r="D73" s="279"/>
      <c r="E73" s="260"/>
      <c r="F73" s="279">
        <v>30</v>
      </c>
      <c r="G73" s="260"/>
      <c r="H73" s="38">
        <f t="shared" si="2"/>
        <v>1205</v>
      </c>
      <c r="I73" s="7"/>
    </row>
    <row r="74" spans="1:9" ht="21" customHeight="1">
      <c r="A74" s="39" t="s">
        <v>351</v>
      </c>
      <c r="B74" s="38" t="s">
        <v>323</v>
      </c>
      <c r="C74" s="38"/>
      <c r="D74" s="279"/>
      <c r="E74" s="260"/>
      <c r="F74" s="279">
        <v>42</v>
      </c>
      <c r="G74" s="260"/>
      <c r="H74" s="38">
        <f t="shared" si="2"/>
        <v>1163</v>
      </c>
      <c r="I74" s="7"/>
    </row>
    <row r="75" spans="1:9" ht="21" customHeight="1">
      <c r="A75" s="39" t="s">
        <v>389</v>
      </c>
      <c r="B75" s="38" t="s">
        <v>323</v>
      </c>
      <c r="C75" s="38"/>
      <c r="D75" s="279"/>
      <c r="E75" s="260"/>
      <c r="F75" s="279">
        <v>7</v>
      </c>
      <c r="G75" s="260"/>
      <c r="H75" s="38">
        <f t="shared" si="2"/>
        <v>1156</v>
      </c>
      <c r="I75" s="7"/>
    </row>
    <row r="76" spans="1:9" ht="21" customHeight="1">
      <c r="A76" s="39" t="s">
        <v>440</v>
      </c>
      <c r="B76" s="38" t="s">
        <v>323</v>
      </c>
      <c r="C76" s="38"/>
      <c r="D76" s="279"/>
      <c r="E76" s="260"/>
      <c r="F76" s="279">
        <v>90</v>
      </c>
      <c r="G76" s="260"/>
      <c r="H76" s="38">
        <f t="shared" si="2"/>
        <v>1066</v>
      </c>
      <c r="I76" s="7"/>
    </row>
    <row r="77" spans="1:9" ht="21" customHeight="1">
      <c r="A77" s="39" t="s">
        <v>579</v>
      </c>
      <c r="B77" s="38" t="s">
        <v>323</v>
      </c>
      <c r="C77" s="38"/>
      <c r="D77" s="279"/>
      <c r="E77" s="260"/>
      <c r="F77" s="279">
        <v>53</v>
      </c>
      <c r="G77" s="260"/>
      <c r="H77" s="38">
        <f t="shared" si="2"/>
        <v>1013</v>
      </c>
      <c r="I77" s="7"/>
    </row>
    <row r="78" spans="1:9" ht="21" customHeight="1">
      <c r="A78" s="39" t="s">
        <v>484</v>
      </c>
      <c r="B78" s="38" t="s">
        <v>323</v>
      </c>
      <c r="C78" s="38"/>
      <c r="D78" s="279"/>
      <c r="E78" s="260"/>
      <c r="F78" s="279">
        <v>28</v>
      </c>
      <c r="G78" s="260"/>
      <c r="H78" s="38">
        <f t="shared" si="2"/>
        <v>985</v>
      </c>
      <c r="I78" s="7"/>
    </row>
    <row r="79" spans="1:9" ht="21" customHeight="1">
      <c r="A79" s="39" t="s">
        <v>486</v>
      </c>
      <c r="B79" s="38" t="s">
        <v>323</v>
      </c>
      <c r="C79" s="38"/>
      <c r="D79" s="279"/>
      <c r="E79" s="260"/>
      <c r="F79" s="279">
        <v>81</v>
      </c>
      <c r="G79" s="260"/>
      <c r="H79" s="38">
        <f t="shared" si="2"/>
        <v>904</v>
      </c>
      <c r="I79" s="7"/>
    </row>
    <row r="80" spans="1:9" ht="21" customHeight="1">
      <c r="A80" s="39" t="s">
        <v>487</v>
      </c>
      <c r="B80" s="38" t="s">
        <v>323</v>
      </c>
      <c r="C80" s="38"/>
      <c r="D80" s="279"/>
      <c r="E80" s="260"/>
      <c r="F80" s="279">
        <v>97</v>
      </c>
      <c r="G80" s="260"/>
      <c r="H80" s="38">
        <f t="shared" si="2"/>
        <v>807</v>
      </c>
      <c r="I80" s="7"/>
    </row>
    <row r="81" spans="1:9" ht="21" customHeight="1">
      <c r="A81" s="39" t="s">
        <v>441</v>
      </c>
      <c r="B81" s="38" t="s">
        <v>323</v>
      </c>
      <c r="C81" s="38"/>
      <c r="D81" s="279"/>
      <c r="E81" s="260"/>
      <c r="F81" s="279">
        <v>60</v>
      </c>
      <c r="G81" s="260"/>
      <c r="H81" s="38">
        <f t="shared" si="2"/>
        <v>747</v>
      </c>
      <c r="I81" s="7"/>
    </row>
    <row r="82" spans="1:9" ht="21" customHeight="1">
      <c r="A82" s="39" t="s">
        <v>488</v>
      </c>
      <c r="B82" s="38" t="s">
        <v>323</v>
      </c>
      <c r="C82" s="38"/>
      <c r="D82" s="279"/>
      <c r="E82" s="260"/>
      <c r="F82" s="279">
        <v>83</v>
      </c>
      <c r="G82" s="260"/>
      <c r="H82" s="38">
        <f t="shared" si="2"/>
        <v>664</v>
      </c>
      <c r="I82" s="7"/>
    </row>
    <row r="83" spans="1:9" ht="21" customHeight="1">
      <c r="A83" s="39" t="s">
        <v>352</v>
      </c>
      <c r="B83" s="38" t="s">
        <v>323</v>
      </c>
      <c r="C83" s="38"/>
      <c r="D83" s="279"/>
      <c r="E83" s="260"/>
      <c r="F83" s="279">
        <v>18</v>
      </c>
      <c r="G83" s="260"/>
      <c r="H83" s="38">
        <f t="shared" si="2"/>
        <v>646</v>
      </c>
      <c r="I83" s="11"/>
    </row>
    <row r="84" spans="1:9" ht="21" customHeight="1">
      <c r="A84" s="39" t="s">
        <v>489</v>
      </c>
      <c r="B84" s="38" t="s">
        <v>323</v>
      </c>
      <c r="C84" s="38"/>
      <c r="D84" s="279"/>
      <c r="E84" s="260"/>
      <c r="F84" s="279">
        <v>6</v>
      </c>
      <c r="G84" s="260"/>
      <c r="H84" s="38">
        <f t="shared" si="2"/>
        <v>640</v>
      </c>
      <c r="I84" s="7"/>
    </row>
    <row r="85" spans="1:9" ht="21" customHeight="1">
      <c r="A85" s="39" t="s">
        <v>353</v>
      </c>
      <c r="B85" s="38" t="s">
        <v>323</v>
      </c>
      <c r="C85" s="38"/>
      <c r="D85" s="279"/>
      <c r="E85" s="260"/>
      <c r="F85" s="279">
        <v>9</v>
      </c>
      <c r="G85" s="260"/>
      <c r="H85" s="38">
        <f t="shared" si="2"/>
        <v>631</v>
      </c>
      <c r="I85" s="7"/>
    </row>
    <row r="86" spans="1:9" ht="21" customHeight="1">
      <c r="A86" s="39" t="s">
        <v>391</v>
      </c>
      <c r="B86" s="38" t="s">
        <v>323</v>
      </c>
      <c r="C86" s="38"/>
      <c r="D86" s="279"/>
      <c r="E86" s="260"/>
      <c r="F86" s="279">
        <v>14</v>
      </c>
      <c r="G86" s="260"/>
      <c r="H86" s="38">
        <f t="shared" si="2"/>
        <v>617</v>
      </c>
      <c r="I86" s="7"/>
    </row>
    <row r="87" spans="1:9" ht="21" customHeight="1">
      <c r="A87" s="39" t="s">
        <v>392</v>
      </c>
      <c r="B87" s="38" t="s">
        <v>323</v>
      </c>
      <c r="C87" s="38"/>
      <c r="D87" s="279"/>
      <c r="E87" s="260"/>
      <c r="F87" s="279">
        <v>61</v>
      </c>
      <c r="G87" s="260"/>
      <c r="H87" s="38">
        <f t="shared" si="2"/>
        <v>556</v>
      </c>
      <c r="I87" s="7"/>
    </row>
    <row r="88" spans="1:9" ht="21" customHeight="1">
      <c r="A88" s="39" t="s">
        <v>741</v>
      </c>
      <c r="B88" s="38" t="s">
        <v>323</v>
      </c>
      <c r="C88" s="38"/>
      <c r="D88" s="279"/>
      <c r="E88" s="260"/>
      <c r="F88" s="279">
        <v>23</v>
      </c>
      <c r="G88" s="260"/>
      <c r="H88" s="38">
        <f t="shared" si="2"/>
        <v>533</v>
      </c>
      <c r="I88" s="7"/>
    </row>
    <row r="89" spans="1:9" ht="21" customHeight="1">
      <c r="A89" s="39" t="s">
        <v>490</v>
      </c>
      <c r="B89" s="38" t="s">
        <v>323</v>
      </c>
      <c r="C89" s="38"/>
      <c r="D89" s="279"/>
      <c r="E89" s="260"/>
      <c r="F89" s="279">
        <v>3</v>
      </c>
      <c r="G89" s="260"/>
      <c r="H89" s="38">
        <f t="shared" si="2"/>
        <v>530</v>
      </c>
      <c r="I89" s="7"/>
    </row>
    <row r="90" spans="1:9" ht="21" customHeight="1">
      <c r="A90" s="39" t="s">
        <v>541</v>
      </c>
      <c r="B90" s="38" t="s">
        <v>323</v>
      </c>
      <c r="C90" s="38"/>
      <c r="D90" s="279"/>
      <c r="E90" s="260"/>
      <c r="F90" s="279">
        <v>29</v>
      </c>
      <c r="G90" s="260"/>
      <c r="H90" s="38">
        <f t="shared" si="2"/>
        <v>501</v>
      </c>
      <c r="I90" s="7"/>
    </row>
    <row r="91" spans="1:9" ht="21" customHeight="1">
      <c r="A91" s="39" t="s">
        <v>491</v>
      </c>
      <c r="B91" s="38" t="s">
        <v>323</v>
      </c>
      <c r="C91" s="38"/>
      <c r="D91" s="279"/>
      <c r="E91" s="260"/>
      <c r="F91" s="279">
        <v>67</v>
      </c>
      <c r="G91" s="260"/>
      <c r="H91" s="38">
        <f t="shared" si="2"/>
        <v>434</v>
      </c>
      <c r="I91" s="7"/>
    </row>
    <row r="92" spans="1:9" ht="21" customHeight="1">
      <c r="A92" s="39" t="s">
        <v>354</v>
      </c>
      <c r="B92" s="38" t="s">
        <v>323</v>
      </c>
      <c r="C92" s="38"/>
      <c r="D92" s="279"/>
      <c r="E92" s="260"/>
      <c r="F92" s="279">
        <v>9</v>
      </c>
      <c r="G92" s="260"/>
      <c r="H92" s="38">
        <f t="shared" si="2"/>
        <v>425</v>
      </c>
      <c r="I92" s="7"/>
    </row>
    <row r="93" spans="1:9" ht="21" customHeight="1">
      <c r="A93" s="39" t="s">
        <v>355</v>
      </c>
      <c r="B93" s="38" t="s">
        <v>324</v>
      </c>
      <c r="C93" s="38">
        <v>2000</v>
      </c>
      <c r="D93" s="279" t="s">
        <v>763</v>
      </c>
      <c r="E93" s="260"/>
      <c r="F93" s="279"/>
      <c r="G93" s="260"/>
      <c r="H93" s="38">
        <v>2425</v>
      </c>
      <c r="I93" s="109" t="s">
        <v>576</v>
      </c>
    </row>
    <row r="94" spans="1:9" ht="21" customHeight="1">
      <c r="A94" s="39" t="s">
        <v>355</v>
      </c>
      <c r="B94" s="38" t="s">
        <v>323</v>
      </c>
      <c r="C94" s="38"/>
      <c r="D94" s="279"/>
      <c r="E94" s="260"/>
      <c r="F94" s="279">
        <v>102</v>
      </c>
      <c r="G94" s="260"/>
      <c r="H94" s="38">
        <f t="shared" ref="H94:H125" si="3">H93-F94</f>
        <v>2323</v>
      </c>
      <c r="I94" s="7"/>
    </row>
    <row r="95" spans="1:9" ht="21" customHeight="1">
      <c r="A95" s="39" t="s">
        <v>393</v>
      </c>
      <c r="B95" s="38" t="s">
        <v>323</v>
      </c>
      <c r="C95" s="38"/>
      <c r="D95" s="279"/>
      <c r="E95" s="260"/>
      <c r="F95" s="279">
        <v>40.5</v>
      </c>
      <c r="G95" s="260"/>
      <c r="H95" s="38">
        <f t="shared" si="3"/>
        <v>2282.5</v>
      </c>
      <c r="I95" s="7"/>
    </row>
    <row r="96" spans="1:9" ht="21" customHeight="1">
      <c r="A96" s="39" t="s">
        <v>416</v>
      </c>
      <c r="B96" s="38" t="s">
        <v>323</v>
      </c>
      <c r="C96" s="38"/>
      <c r="D96" s="279"/>
      <c r="E96" s="260"/>
      <c r="F96" s="279">
        <v>3</v>
      </c>
      <c r="G96" s="260"/>
      <c r="H96" s="38">
        <f t="shared" si="3"/>
        <v>2279.5</v>
      </c>
      <c r="I96" s="7"/>
    </row>
    <row r="97" spans="1:9" ht="21" customHeight="1">
      <c r="A97" s="39" t="s">
        <v>418</v>
      </c>
      <c r="B97" s="38" t="s">
        <v>323</v>
      </c>
      <c r="C97" s="38"/>
      <c r="D97" s="279"/>
      <c r="E97" s="260"/>
      <c r="F97" s="279">
        <v>120</v>
      </c>
      <c r="G97" s="260"/>
      <c r="H97" s="38">
        <f t="shared" si="3"/>
        <v>2159.5</v>
      </c>
      <c r="I97" s="7"/>
    </row>
    <row r="98" spans="1:9" ht="21" customHeight="1">
      <c r="A98" s="39" t="s">
        <v>492</v>
      </c>
      <c r="B98" s="38" t="s">
        <v>323</v>
      </c>
      <c r="C98" s="38"/>
      <c r="D98" s="279"/>
      <c r="E98" s="260"/>
      <c r="F98" s="279">
        <v>27</v>
      </c>
      <c r="G98" s="260"/>
      <c r="H98" s="38">
        <f t="shared" si="3"/>
        <v>2132.5</v>
      </c>
      <c r="I98" s="7"/>
    </row>
    <row r="99" spans="1:9" ht="21" customHeight="1">
      <c r="A99" s="39" t="s">
        <v>394</v>
      </c>
      <c r="B99" s="38" t="s">
        <v>323</v>
      </c>
      <c r="C99" s="38"/>
      <c r="D99" s="279"/>
      <c r="E99" s="260"/>
      <c r="F99" s="279">
        <v>30</v>
      </c>
      <c r="G99" s="260"/>
      <c r="H99" s="38">
        <f t="shared" si="3"/>
        <v>2102.5</v>
      </c>
      <c r="I99" s="7"/>
    </row>
    <row r="100" spans="1:9" ht="63" customHeight="1">
      <c r="A100" s="39" t="s">
        <v>444</v>
      </c>
      <c r="B100" s="38" t="s">
        <v>323</v>
      </c>
      <c r="C100" s="38"/>
      <c r="D100" s="279"/>
      <c r="E100" s="260"/>
      <c r="F100" s="279">
        <v>14</v>
      </c>
      <c r="G100" s="260"/>
      <c r="H100" s="38">
        <f t="shared" si="3"/>
        <v>2088.5</v>
      </c>
      <c r="I100" s="7" t="s">
        <v>576</v>
      </c>
    </row>
    <row r="101" spans="1:9" ht="21" customHeight="1">
      <c r="A101" s="39" t="s">
        <v>581</v>
      </c>
      <c r="B101" s="38" t="s">
        <v>323</v>
      </c>
      <c r="C101" s="38"/>
      <c r="D101" s="279"/>
      <c r="E101" s="260"/>
      <c r="F101" s="279">
        <v>16</v>
      </c>
      <c r="G101" s="260"/>
      <c r="H101" s="38">
        <f t="shared" si="3"/>
        <v>2072.5</v>
      </c>
      <c r="I101" s="7"/>
    </row>
    <row r="102" spans="1:9" ht="21" customHeight="1">
      <c r="A102" s="39" t="s">
        <v>493</v>
      </c>
      <c r="B102" s="38" t="s">
        <v>323</v>
      </c>
      <c r="C102" s="38"/>
      <c r="D102" s="279"/>
      <c r="E102" s="260"/>
      <c r="F102" s="279">
        <v>30</v>
      </c>
      <c r="G102" s="260"/>
      <c r="H102" s="38">
        <f t="shared" si="3"/>
        <v>2042.5</v>
      </c>
      <c r="I102" s="7"/>
    </row>
    <row r="103" spans="1:9" ht="21" customHeight="1">
      <c r="A103" s="39" t="s">
        <v>582</v>
      </c>
      <c r="B103" s="38" t="s">
        <v>323</v>
      </c>
      <c r="C103" s="38"/>
      <c r="D103" s="279"/>
      <c r="E103" s="260"/>
      <c r="F103" s="279">
        <v>93</v>
      </c>
      <c r="G103" s="260"/>
      <c r="H103" s="38">
        <f t="shared" si="3"/>
        <v>1949.5</v>
      </c>
      <c r="I103" s="7"/>
    </row>
    <row r="104" spans="1:9" ht="21" customHeight="1">
      <c r="A104" s="39" t="s">
        <v>356</v>
      </c>
      <c r="B104" s="38" t="s">
        <v>323</v>
      </c>
      <c r="C104" s="3"/>
      <c r="D104" s="259"/>
      <c r="E104" s="260"/>
      <c r="F104" s="279">
        <v>9</v>
      </c>
      <c r="G104" s="260"/>
      <c r="H104" s="38">
        <f t="shared" si="3"/>
        <v>1940.5</v>
      </c>
      <c r="I104" s="7"/>
    </row>
    <row r="105" spans="1:9" ht="21" customHeight="1">
      <c r="A105" s="39" t="s">
        <v>495</v>
      </c>
      <c r="B105" s="38" t="s">
        <v>323</v>
      </c>
      <c r="C105" s="3"/>
      <c r="D105" s="259"/>
      <c r="E105" s="260"/>
      <c r="F105" s="279">
        <v>62</v>
      </c>
      <c r="G105" s="260"/>
      <c r="H105" s="38">
        <f t="shared" si="3"/>
        <v>1878.5</v>
      </c>
      <c r="I105" s="7"/>
    </row>
    <row r="106" spans="1:9" ht="21" customHeight="1">
      <c r="A106" s="39" t="s">
        <v>446</v>
      </c>
      <c r="B106" s="38" t="s">
        <v>323</v>
      </c>
      <c r="C106" s="3"/>
      <c r="D106" s="259"/>
      <c r="E106" s="260"/>
      <c r="F106" s="279">
        <v>56</v>
      </c>
      <c r="G106" s="260"/>
      <c r="H106" s="38">
        <f t="shared" si="3"/>
        <v>1822.5</v>
      </c>
      <c r="I106" s="7"/>
    </row>
    <row r="107" spans="1:9" ht="21" customHeight="1">
      <c r="A107" s="39" t="s">
        <v>544</v>
      </c>
      <c r="B107" s="38" t="s">
        <v>323</v>
      </c>
      <c r="C107" s="3"/>
      <c r="D107" s="259"/>
      <c r="E107" s="260"/>
      <c r="F107" s="279">
        <v>37</v>
      </c>
      <c r="G107" s="260"/>
      <c r="H107" s="38">
        <f t="shared" si="3"/>
        <v>1785.5</v>
      </c>
      <c r="I107" s="7"/>
    </row>
    <row r="108" spans="1:9" ht="21" customHeight="1">
      <c r="A108" s="39" t="s">
        <v>496</v>
      </c>
      <c r="B108" s="38" t="s">
        <v>323</v>
      </c>
      <c r="C108" s="3"/>
      <c r="D108" s="259"/>
      <c r="E108" s="260"/>
      <c r="F108" s="279">
        <v>30</v>
      </c>
      <c r="G108" s="260"/>
      <c r="H108" s="38">
        <f t="shared" si="3"/>
        <v>1755.5</v>
      </c>
      <c r="I108" s="7"/>
    </row>
    <row r="109" spans="1:9" ht="21" customHeight="1">
      <c r="A109" s="39" t="s">
        <v>447</v>
      </c>
      <c r="B109" s="38" t="s">
        <v>323</v>
      </c>
      <c r="C109" s="3"/>
      <c r="D109" s="259"/>
      <c r="E109" s="260"/>
      <c r="F109" s="279">
        <v>30</v>
      </c>
      <c r="G109" s="260"/>
      <c r="H109" s="38">
        <f t="shared" si="3"/>
        <v>1725.5</v>
      </c>
      <c r="I109" s="7"/>
    </row>
    <row r="110" spans="1:9" s="158" customFormat="1" ht="24" customHeight="1">
      <c r="A110" s="39" t="s">
        <v>546</v>
      </c>
      <c r="B110" s="38" t="s">
        <v>323</v>
      </c>
      <c r="C110" s="56"/>
      <c r="D110" s="279"/>
      <c r="E110" s="260"/>
      <c r="F110" s="279">
        <v>23</v>
      </c>
      <c r="G110" s="260"/>
      <c r="H110" s="38">
        <f t="shared" si="3"/>
        <v>1702.5</v>
      </c>
      <c r="I110" s="95"/>
    </row>
    <row r="111" spans="1:9" ht="21" customHeight="1">
      <c r="A111" s="39" t="s">
        <v>583</v>
      </c>
      <c r="B111" s="38" t="s">
        <v>323</v>
      </c>
      <c r="C111" s="3"/>
      <c r="D111" s="259"/>
      <c r="E111" s="260"/>
      <c r="F111" s="279">
        <v>14</v>
      </c>
      <c r="G111" s="260"/>
      <c r="H111" s="38">
        <f t="shared" si="3"/>
        <v>1688.5</v>
      </c>
      <c r="I111" s="7"/>
    </row>
    <row r="112" spans="1:9" ht="21" customHeight="1">
      <c r="A112" s="39" t="s">
        <v>764</v>
      </c>
      <c r="B112" s="38" t="s">
        <v>323</v>
      </c>
      <c r="C112" s="3"/>
      <c r="D112" s="259"/>
      <c r="E112" s="260"/>
      <c r="F112" s="279">
        <v>33</v>
      </c>
      <c r="G112" s="260"/>
      <c r="H112" s="38">
        <f t="shared" si="3"/>
        <v>1655.5</v>
      </c>
      <c r="I112" s="7"/>
    </row>
    <row r="113" spans="1:9" ht="21" customHeight="1">
      <c r="A113" s="39" t="s">
        <v>498</v>
      </c>
      <c r="B113" s="38" t="s">
        <v>323</v>
      </c>
      <c r="C113" s="3"/>
      <c r="D113" s="259"/>
      <c r="E113" s="260"/>
      <c r="F113" s="279">
        <v>15</v>
      </c>
      <c r="G113" s="260"/>
      <c r="H113" s="38">
        <f t="shared" si="3"/>
        <v>1640.5</v>
      </c>
      <c r="I113" s="7"/>
    </row>
    <row r="114" spans="1:9" ht="21" customHeight="1">
      <c r="A114" s="39" t="s">
        <v>606</v>
      </c>
      <c r="B114" s="38" t="s">
        <v>323</v>
      </c>
      <c r="C114" s="3"/>
      <c r="D114" s="259"/>
      <c r="E114" s="260"/>
      <c r="F114" s="279">
        <v>9</v>
      </c>
      <c r="G114" s="260"/>
      <c r="H114" s="38">
        <f t="shared" si="3"/>
        <v>1631.5</v>
      </c>
      <c r="I114" s="7"/>
    </row>
    <row r="115" spans="1:9" ht="21" customHeight="1">
      <c r="A115" s="39" t="s">
        <v>499</v>
      </c>
      <c r="B115" s="38" t="s">
        <v>323</v>
      </c>
      <c r="C115" s="3"/>
      <c r="D115" s="259"/>
      <c r="E115" s="260"/>
      <c r="F115" s="279">
        <v>60</v>
      </c>
      <c r="G115" s="260"/>
      <c r="H115" s="38">
        <f t="shared" si="3"/>
        <v>1571.5</v>
      </c>
      <c r="I115" s="7"/>
    </row>
    <row r="116" spans="1:9" ht="21" customHeight="1">
      <c r="A116" s="39" t="s">
        <v>547</v>
      </c>
      <c r="B116" s="38" t="s">
        <v>323</v>
      </c>
      <c r="C116" s="3"/>
      <c r="D116" s="259"/>
      <c r="E116" s="260"/>
      <c r="F116" s="279">
        <v>39</v>
      </c>
      <c r="G116" s="260"/>
      <c r="H116" s="38">
        <f t="shared" si="3"/>
        <v>1532.5</v>
      </c>
      <c r="I116" s="7"/>
    </row>
    <row r="117" spans="1:9" ht="21" customHeight="1">
      <c r="A117" s="39" t="s">
        <v>548</v>
      </c>
      <c r="B117" s="38" t="s">
        <v>323</v>
      </c>
      <c r="C117" s="3"/>
      <c r="D117" s="259"/>
      <c r="E117" s="260"/>
      <c r="F117" s="279">
        <v>90</v>
      </c>
      <c r="G117" s="260"/>
      <c r="H117" s="38">
        <f t="shared" si="3"/>
        <v>1442.5</v>
      </c>
      <c r="I117" s="7"/>
    </row>
    <row r="118" spans="1:9" ht="21" customHeight="1">
      <c r="A118" s="39" t="s">
        <v>584</v>
      </c>
      <c r="B118" s="38" t="s">
        <v>323</v>
      </c>
      <c r="C118" s="3"/>
      <c r="D118" s="259"/>
      <c r="E118" s="260"/>
      <c r="F118" s="279">
        <v>51</v>
      </c>
      <c r="G118" s="260"/>
      <c r="H118" s="38">
        <f t="shared" si="3"/>
        <v>1391.5</v>
      </c>
      <c r="I118" s="7"/>
    </row>
    <row r="119" spans="1:9" ht="21" customHeight="1">
      <c r="A119" s="39" t="s">
        <v>500</v>
      </c>
      <c r="B119" s="38" t="s">
        <v>323</v>
      </c>
      <c r="C119" s="3"/>
      <c r="D119" s="259"/>
      <c r="E119" s="260"/>
      <c r="F119" s="279">
        <v>4</v>
      </c>
      <c r="G119" s="260"/>
      <c r="H119" s="38">
        <f t="shared" si="3"/>
        <v>1387.5</v>
      </c>
      <c r="I119" s="7"/>
    </row>
    <row r="120" spans="1:9" ht="21" customHeight="1">
      <c r="A120" s="39" t="s">
        <v>501</v>
      </c>
      <c r="B120" s="38" t="s">
        <v>323</v>
      </c>
      <c r="C120" s="3"/>
      <c r="D120" s="259"/>
      <c r="E120" s="260"/>
      <c r="F120" s="279">
        <v>3</v>
      </c>
      <c r="G120" s="260"/>
      <c r="H120" s="38">
        <f t="shared" si="3"/>
        <v>1384.5</v>
      </c>
      <c r="I120" s="7"/>
    </row>
    <row r="121" spans="1:9" ht="21" customHeight="1">
      <c r="A121" s="39" t="s">
        <v>449</v>
      </c>
      <c r="B121" s="38" t="s">
        <v>323</v>
      </c>
      <c r="C121" s="3"/>
      <c r="D121" s="259"/>
      <c r="E121" s="260"/>
      <c r="F121" s="279">
        <v>15</v>
      </c>
      <c r="G121" s="260"/>
      <c r="H121" s="38">
        <f t="shared" si="3"/>
        <v>1369.5</v>
      </c>
      <c r="I121" s="7"/>
    </row>
    <row r="122" spans="1:9" ht="21" customHeight="1">
      <c r="A122" s="39" t="s">
        <v>359</v>
      </c>
      <c r="B122" s="38" t="s">
        <v>323</v>
      </c>
      <c r="C122" s="3"/>
      <c r="D122" s="259"/>
      <c r="E122" s="260"/>
      <c r="F122" s="279">
        <v>3</v>
      </c>
      <c r="G122" s="260"/>
      <c r="H122" s="38">
        <f t="shared" si="3"/>
        <v>1366.5</v>
      </c>
      <c r="I122" s="7"/>
    </row>
    <row r="123" spans="1:9" ht="21" customHeight="1">
      <c r="A123" s="39" t="s">
        <v>395</v>
      </c>
      <c r="B123" s="38" t="s">
        <v>323</v>
      </c>
      <c r="C123" s="3"/>
      <c r="D123" s="259"/>
      <c r="E123" s="260"/>
      <c r="F123" s="279">
        <v>30</v>
      </c>
      <c r="G123" s="260"/>
      <c r="H123" s="38">
        <f t="shared" si="3"/>
        <v>1336.5</v>
      </c>
      <c r="I123" s="7"/>
    </row>
    <row r="124" spans="1:9" ht="21" customHeight="1">
      <c r="A124" s="39" t="s">
        <v>396</v>
      </c>
      <c r="B124" s="38" t="s">
        <v>323</v>
      </c>
      <c r="C124" s="3"/>
      <c r="D124" s="259"/>
      <c r="E124" s="260"/>
      <c r="F124" s="279">
        <v>14</v>
      </c>
      <c r="G124" s="260"/>
      <c r="H124" s="38">
        <f t="shared" si="3"/>
        <v>1322.5</v>
      </c>
      <c r="I124" s="7"/>
    </row>
    <row r="125" spans="1:9" ht="21" customHeight="1">
      <c r="A125" s="39" t="s">
        <v>360</v>
      </c>
      <c r="B125" s="38" t="s">
        <v>323</v>
      </c>
      <c r="C125" s="3"/>
      <c r="D125" s="259"/>
      <c r="E125" s="260"/>
      <c r="F125" s="279">
        <v>62</v>
      </c>
      <c r="G125" s="260"/>
      <c r="H125" s="38">
        <f t="shared" si="3"/>
        <v>1260.5</v>
      </c>
      <c r="I125" s="7"/>
    </row>
    <row r="126" spans="1:9" ht="21" customHeight="1">
      <c r="A126" s="39" t="s">
        <v>397</v>
      </c>
      <c r="B126" s="38" t="s">
        <v>323</v>
      </c>
      <c r="C126" s="3"/>
      <c r="D126" s="259"/>
      <c r="E126" s="260"/>
      <c r="F126" s="279">
        <v>9</v>
      </c>
      <c r="G126" s="260"/>
      <c r="H126" s="38">
        <f t="shared" ref="H126:H143" si="4">H125-F126</f>
        <v>1251.5</v>
      </c>
      <c r="I126" s="7"/>
    </row>
    <row r="127" spans="1:9" ht="21" customHeight="1">
      <c r="A127" s="39" t="s">
        <v>502</v>
      </c>
      <c r="B127" s="38" t="s">
        <v>323</v>
      </c>
      <c r="C127" s="3"/>
      <c r="D127" s="259"/>
      <c r="E127" s="260"/>
      <c r="F127" s="279">
        <v>63</v>
      </c>
      <c r="G127" s="260"/>
      <c r="H127" s="38">
        <f t="shared" si="4"/>
        <v>1188.5</v>
      </c>
      <c r="I127" s="7"/>
    </row>
    <row r="128" spans="1:9" ht="21" customHeight="1">
      <c r="A128" s="39" t="s">
        <v>503</v>
      </c>
      <c r="B128" s="38" t="s">
        <v>323</v>
      </c>
      <c r="C128" s="3"/>
      <c r="D128" s="259"/>
      <c r="E128" s="260"/>
      <c r="F128" s="279">
        <v>91</v>
      </c>
      <c r="G128" s="260"/>
      <c r="H128" s="38">
        <f t="shared" si="4"/>
        <v>1097.5</v>
      </c>
      <c r="I128" s="7"/>
    </row>
    <row r="129" spans="1:9" ht="21" customHeight="1">
      <c r="A129" s="39" t="s">
        <v>549</v>
      </c>
      <c r="B129" s="38" t="s">
        <v>323</v>
      </c>
      <c r="C129" s="3"/>
      <c r="D129" s="259"/>
      <c r="E129" s="260"/>
      <c r="F129" s="279">
        <v>47.5</v>
      </c>
      <c r="G129" s="260"/>
      <c r="H129" s="38">
        <f t="shared" si="4"/>
        <v>1050</v>
      </c>
      <c r="I129" s="7"/>
    </row>
    <row r="130" spans="1:9" ht="21" customHeight="1">
      <c r="A130" s="39" t="s">
        <v>504</v>
      </c>
      <c r="B130" s="38" t="s">
        <v>323</v>
      </c>
      <c r="C130" s="3"/>
      <c r="D130" s="259"/>
      <c r="E130" s="260"/>
      <c r="F130" s="279">
        <v>15</v>
      </c>
      <c r="G130" s="260"/>
      <c r="H130" s="38">
        <f t="shared" si="4"/>
        <v>1035</v>
      </c>
      <c r="I130" s="7"/>
    </row>
    <row r="131" spans="1:9" ht="21" customHeight="1">
      <c r="A131" s="39" t="s">
        <v>361</v>
      </c>
      <c r="B131" s="38" t="s">
        <v>323</v>
      </c>
      <c r="C131" s="3"/>
      <c r="D131" s="259"/>
      <c r="E131" s="260"/>
      <c r="F131" s="279">
        <v>28</v>
      </c>
      <c r="G131" s="260"/>
      <c r="H131" s="38">
        <f t="shared" si="4"/>
        <v>1007</v>
      </c>
      <c r="I131" s="109"/>
    </row>
    <row r="132" spans="1:9" ht="21" customHeight="1">
      <c r="A132" s="39" t="s">
        <v>450</v>
      </c>
      <c r="B132" s="38" t="s">
        <v>323</v>
      </c>
      <c r="C132" s="3"/>
      <c r="D132" s="259"/>
      <c r="E132" s="260"/>
      <c r="F132" s="279">
        <v>60</v>
      </c>
      <c r="G132" s="260"/>
      <c r="H132" s="38">
        <f t="shared" si="4"/>
        <v>947</v>
      </c>
      <c r="I132" s="7"/>
    </row>
    <row r="133" spans="1:9" ht="21" customHeight="1">
      <c r="A133" s="39" t="s">
        <v>550</v>
      </c>
      <c r="B133" s="38" t="s">
        <v>323</v>
      </c>
      <c r="C133" s="3"/>
      <c r="D133" s="259"/>
      <c r="E133" s="260"/>
      <c r="F133" s="279">
        <v>9</v>
      </c>
      <c r="G133" s="260"/>
      <c r="H133" s="38">
        <f t="shared" si="4"/>
        <v>938</v>
      </c>
      <c r="I133" s="7"/>
    </row>
    <row r="134" spans="1:9" ht="21" customHeight="1">
      <c r="A134" s="39" t="s">
        <v>551</v>
      </c>
      <c r="B134" s="38" t="s">
        <v>323</v>
      </c>
      <c r="C134" s="3"/>
      <c r="D134" s="259"/>
      <c r="E134" s="260"/>
      <c r="F134" s="279">
        <v>4.5</v>
      </c>
      <c r="G134" s="260"/>
      <c r="H134" s="38">
        <f t="shared" si="4"/>
        <v>933.5</v>
      </c>
      <c r="I134" s="7"/>
    </row>
    <row r="135" spans="1:9" ht="21" customHeight="1">
      <c r="A135" s="39" t="s">
        <v>505</v>
      </c>
      <c r="B135" s="38" t="s">
        <v>323</v>
      </c>
      <c r="C135" s="3"/>
      <c r="D135" s="259"/>
      <c r="E135" s="260"/>
      <c r="F135" s="279">
        <v>60</v>
      </c>
      <c r="G135" s="260"/>
      <c r="H135" s="38">
        <f t="shared" si="4"/>
        <v>873.5</v>
      </c>
      <c r="I135" s="7"/>
    </row>
    <row r="136" spans="1:9" ht="21" customHeight="1">
      <c r="A136" s="39" t="s">
        <v>362</v>
      </c>
      <c r="B136" s="38" t="s">
        <v>323</v>
      </c>
      <c r="C136" s="3"/>
      <c r="D136" s="259"/>
      <c r="E136" s="260"/>
      <c r="F136" s="279">
        <v>17</v>
      </c>
      <c r="G136" s="260"/>
      <c r="H136" s="38">
        <f t="shared" si="4"/>
        <v>856.5</v>
      </c>
      <c r="I136" s="7"/>
    </row>
    <row r="137" spans="1:9" ht="21" customHeight="1">
      <c r="A137" s="39" t="s">
        <v>363</v>
      </c>
      <c r="B137" s="38" t="s">
        <v>323</v>
      </c>
      <c r="C137" s="3"/>
      <c r="D137" s="259"/>
      <c r="E137" s="260"/>
      <c r="F137" s="279">
        <v>53</v>
      </c>
      <c r="G137" s="260"/>
      <c r="H137" s="38">
        <f t="shared" si="4"/>
        <v>803.5</v>
      </c>
      <c r="I137" s="7"/>
    </row>
    <row r="138" spans="1:9" ht="21" customHeight="1">
      <c r="A138" s="39" t="s">
        <v>506</v>
      </c>
      <c r="B138" s="38" t="s">
        <v>323</v>
      </c>
      <c r="C138" s="3"/>
      <c r="D138" s="259"/>
      <c r="E138" s="260"/>
      <c r="F138" s="279">
        <v>34.5</v>
      </c>
      <c r="G138" s="260"/>
      <c r="H138" s="38">
        <f t="shared" si="4"/>
        <v>769</v>
      </c>
      <c r="I138" s="7"/>
    </row>
    <row r="139" spans="1:9" ht="21" customHeight="1">
      <c r="A139" s="39" t="s">
        <v>552</v>
      </c>
      <c r="B139" s="38" t="s">
        <v>323</v>
      </c>
      <c r="C139" s="3"/>
      <c r="D139" s="259"/>
      <c r="E139" s="260"/>
      <c r="F139" s="279">
        <v>117</v>
      </c>
      <c r="G139" s="260"/>
      <c r="H139" s="38">
        <f t="shared" si="4"/>
        <v>652</v>
      </c>
      <c r="I139" s="7"/>
    </row>
    <row r="140" spans="1:9" ht="21" customHeight="1">
      <c r="A140" s="39" t="s">
        <v>554</v>
      </c>
      <c r="B140" s="38" t="s">
        <v>323</v>
      </c>
      <c r="C140" s="3"/>
      <c r="D140" s="259"/>
      <c r="E140" s="260"/>
      <c r="F140" s="279">
        <v>39</v>
      </c>
      <c r="G140" s="260"/>
      <c r="H140" s="38">
        <f t="shared" si="4"/>
        <v>613</v>
      </c>
      <c r="I140" s="7"/>
    </row>
    <row r="141" spans="1:9" ht="21" customHeight="1">
      <c r="A141" s="39" t="s">
        <v>452</v>
      </c>
      <c r="B141" s="38" t="s">
        <v>323</v>
      </c>
      <c r="C141" s="3"/>
      <c r="D141" s="259"/>
      <c r="E141" s="260"/>
      <c r="F141" s="279">
        <v>15</v>
      </c>
      <c r="G141" s="260"/>
      <c r="H141" s="38">
        <f t="shared" si="4"/>
        <v>598</v>
      </c>
      <c r="I141" s="7"/>
    </row>
    <row r="142" spans="1:9" ht="21" customHeight="1">
      <c r="A142" s="39" t="s">
        <v>586</v>
      </c>
      <c r="B142" s="38" t="s">
        <v>323</v>
      </c>
      <c r="C142" s="3"/>
      <c r="D142" s="259"/>
      <c r="E142" s="260"/>
      <c r="F142" s="279">
        <v>3</v>
      </c>
      <c r="G142" s="260"/>
      <c r="H142" s="38">
        <f t="shared" si="4"/>
        <v>595</v>
      </c>
      <c r="I142" s="7"/>
    </row>
    <row r="143" spans="1:9" ht="21" customHeight="1">
      <c r="A143" s="39" t="s">
        <v>454</v>
      </c>
      <c r="B143" s="38" t="s">
        <v>323</v>
      </c>
      <c r="C143" s="3"/>
      <c r="D143" s="259"/>
      <c r="E143" s="260"/>
      <c r="F143" s="279">
        <v>10</v>
      </c>
      <c r="G143" s="260"/>
      <c r="H143" s="38">
        <f t="shared" si="4"/>
        <v>585</v>
      </c>
      <c r="I143" s="7"/>
    </row>
    <row r="144" spans="1:9" ht="21" customHeight="1">
      <c r="A144" s="39" t="s">
        <v>454</v>
      </c>
      <c r="B144" s="38" t="s">
        <v>324</v>
      </c>
      <c r="C144" s="3">
        <v>2000</v>
      </c>
      <c r="D144" s="259" t="s">
        <v>765</v>
      </c>
      <c r="E144" s="260"/>
      <c r="F144" s="279"/>
      <c r="G144" s="260"/>
      <c r="H144" s="38">
        <v>2585</v>
      </c>
      <c r="I144" s="7" t="s">
        <v>575</v>
      </c>
    </row>
    <row r="145" spans="1:9" ht="21" customHeight="1">
      <c r="A145" s="39" t="s">
        <v>365</v>
      </c>
      <c r="B145" s="38" t="s">
        <v>323</v>
      </c>
      <c r="C145" s="3"/>
      <c r="D145" s="259"/>
      <c r="E145" s="260"/>
      <c r="F145" s="279">
        <v>9</v>
      </c>
      <c r="G145" s="260"/>
      <c r="H145" s="38">
        <f t="shared" ref="H145:H164" si="5">H144-F145</f>
        <v>2576</v>
      </c>
      <c r="I145" s="7"/>
    </row>
    <row r="146" spans="1:9" ht="21" customHeight="1">
      <c r="A146" s="39" t="s">
        <v>399</v>
      </c>
      <c r="B146" s="38" t="s">
        <v>323</v>
      </c>
      <c r="C146" s="3"/>
      <c r="D146" s="259"/>
      <c r="E146" s="260"/>
      <c r="F146" s="279">
        <v>44</v>
      </c>
      <c r="G146" s="260"/>
      <c r="H146" s="38">
        <f t="shared" si="5"/>
        <v>2532</v>
      </c>
      <c r="I146" s="7"/>
    </row>
    <row r="147" spans="1:9" ht="21" customHeight="1">
      <c r="A147" s="41" t="s">
        <v>456</v>
      </c>
      <c r="B147" s="38" t="s">
        <v>323</v>
      </c>
      <c r="C147" s="3"/>
      <c r="D147" s="259"/>
      <c r="E147" s="260"/>
      <c r="F147" s="279">
        <v>70</v>
      </c>
      <c r="G147" s="260"/>
      <c r="H147" s="38">
        <f t="shared" si="5"/>
        <v>2462</v>
      </c>
      <c r="I147" s="7"/>
    </row>
    <row r="148" spans="1:9" ht="21" customHeight="1">
      <c r="A148" s="39" t="s">
        <v>507</v>
      </c>
      <c r="B148" s="38" t="s">
        <v>323</v>
      </c>
      <c r="C148" s="3"/>
      <c r="D148" s="259"/>
      <c r="E148" s="260"/>
      <c r="F148" s="279">
        <v>48</v>
      </c>
      <c r="G148" s="260"/>
      <c r="H148" s="38">
        <f t="shared" si="5"/>
        <v>2414</v>
      </c>
      <c r="I148" s="7"/>
    </row>
    <row r="149" spans="1:9" ht="21" customHeight="1">
      <c r="A149" s="39" t="s">
        <v>508</v>
      </c>
      <c r="B149" s="38" t="s">
        <v>323</v>
      </c>
      <c r="C149" s="3"/>
      <c r="D149" s="259"/>
      <c r="E149" s="260"/>
      <c r="F149" s="279">
        <v>37</v>
      </c>
      <c r="G149" s="260"/>
      <c r="H149" s="38">
        <f t="shared" si="5"/>
        <v>2377</v>
      </c>
      <c r="I149" s="7"/>
    </row>
    <row r="150" spans="1:9" ht="21" customHeight="1">
      <c r="A150" s="39" t="s">
        <v>587</v>
      </c>
      <c r="B150" s="38" t="s">
        <v>323</v>
      </c>
      <c r="C150" s="3"/>
      <c r="D150" s="259"/>
      <c r="E150" s="260"/>
      <c r="F150" s="279">
        <v>56</v>
      </c>
      <c r="G150" s="260"/>
      <c r="H150" s="38">
        <f t="shared" si="5"/>
        <v>2321</v>
      </c>
      <c r="I150" s="7"/>
    </row>
    <row r="151" spans="1:9" ht="21" customHeight="1">
      <c r="A151" s="39" t="s">
        <v>588</v>
      </c>
      <c r="B151" s="38" t="s">
        <v>323</v>
      </c>
      <c r="C151" s="3"/>
      <c r="D151" s="259"/>
      <c r="E151" s="260"/>
      <c r="F151" s="279">
        <v>30</v>
      </c>
      <c r="G151" s="260"/>
      <c r="H151" s="38">
        <f t="shared" si="5"/>
        <v>2291</v>
      </c>
      <c r="I151" s="7"/>
    </row>
    <row r="152" spans="1:9" ht="21" customHeight="1">
      <c r="A152" s="39" t="s">
        <v>511</v>
      </c>
      <c r="B152" s="38" t="s">
        <v>323</v>
      </c>
      <c r="C152" s="3"/>
      <c r="D152" s="259"/>
      <c r="E152" s="260"/>
      <c r="F152" s="279">
        <v>60</v>
      </c>
      <c r="G152" s="260"/>
      <c r="H152" s="38">
        <f t="shared" si="5"/>
        <v>2231</v>
      </c>
      <c r="I152" s="7"/>
    </row>
    <row r="153" spans="1:9" ht="21" customHeight="1">
      <c r="A153" s="39" t="s">
        <v>766</v>
      </c>
      <c r="B153" s="38" t="s">
        <v>323</v>
      </c>
      <c r="C153" s="3"/>
      <c r="D153" s="259"/>
      <c r="E153" s="260"/>
      <c r="F153" s="279">
        <v>9</v>
      </c>
      <c r="G153" s="260"/>
      <c r="H153" s="38">
        <f t="shared" si="5"/>
        <v>2222</v>
      </c>
      <c r="I153" s="7"/>
    </row>
    <row r="154" spans="1:9" ht="21" customHeight="1">
      <c r="A154" s="39" t="s">
        <v>366</v>
      </c>
      <c r="B154" s="38" t="s">
        <v>323</v>
      </c>
      <c r="C154" s="3"/>
      <c r="D154" s="259"/>
      <c r="E154" s="260"/>
      <c r="F154" s="279">
        <v>36</v>
      </c>
      <c r="G154" s="260"/>
      <c r="H154" s="38">
        <f t="shared" si="5"/>
        <v>2186</v>
      </c>
      <c r="I154" s="7"/>
    </row>
    <row r="155" spans="1:9" ht="21" customHeight="1">
      <c r="A155" s="39" t="s">
        <v>400</v>
      </c>
      <c r="B155" s="38" t="s">
        <v>323</v>
      </c>
      <c r="C155" s="3"/>
      <c r="D155" s="259"/>
      <c r="E155" s="260"/>
      <c r="F155" s="279">
        <v>30</v>
      </c>
      <c r="G155" s="260"/>
      <c r="H155" s="38">
        <f t="shared" si="5"/>
        <v>2156</v>
      </c>
      <c r="I155" s="7"/>
    </row>
    <row r="156" spans="1:9" ht="21" customHeight="1">
      <c r="A156" s="39" t="s">
        <v>367</v>
      </c>
      <c r="B156" s="38" t="s">
        <v>323</v>
      </c>
      <c r="C156" s="3"/>
      <c r="D156" s="259"/>
      <c r="E156" s="260"/>
      <c r="F156" s="279">
        <v>89</v>
      </c>
      <c r="G156" s="260"/>
      <c r="H156" s="38">
        <f t="shared" si="5"/>
        <v>2067</v>
      </c>
      <c r="I156" s="7"/>
    </row>
    <row r="157" spans="1:9" ht="21" customHeight="1">
      <c r="A157" s="39" t="s">
        <v>512</v>
      </c>
      <c r="B157" s="38" t="s">
        <v>323</v>
      </c>
      <c r="C157" s="3"/>
      <c r="D157" s="259"/>
      <c r="E157" s="260"/>
      <c r="F157" s="279">
        <v>9</v>
      </c>
      <c r="G157" s="260"/>
      <c r="H157" s="38">
        <f t="shared" si="5"/>
        <v>2058</v>
      </c>
      <c r="I157" s="7"/>
    </row>
    <row r="158" spans="1:9" ht="21" customHeight="1">
      <c r="A158" s="39" t="s">
        <v>659</v>
      </c>
      <c r="B158" s="38" t="s">
        <v>323</v>
      </c>
      <c r="C158" s="3"/>
      <c r="D158" s="259"/>
      <c r="E158" s="260"/>
      <c r="F158" s="279">
        <v>14</v>
      </c>
      <c r="G158" s="260"/>
      <c r="H158" s="38">
        <f t="shared" si="5"/>
        <v>2044</v>
      </c>
      <c r="I158" s="7"/>
    </row>
    <row r="159" spans="1:9" ht="21" customHeight="1">
      <c r="A159" s="39" t="s">
        <v>368</v>
      </c>
      <c r="B159" s="38" t="s">
        <v>323</v>
      </c>
      <c r="C159" s="3"/>
      <c r="D159" s="259"/>
      <c r="E159" s="260"/>
      <c r="F159" s="279">
        <v>6.5</v>
      </c>
      <c r="G159" s="260"/>
      <c r="H159" s="38">
        <f t="shared" si="5"/>
        <v>2037.5</v>
      </c>
      <c r="I159" s="7"/>
    </row>
    <row r="160" spans="1:9" ht="21" customHeight="1">
      <c r="A160" s="39" t="s">
        <v>626</v>
      </c>
      <c r="B160" s="38" t="s">
        <v>323</v>
      </c>
      <c r="C160" s="3"/>
      <c r="D160" s="259"/>
      <c r="E160" s="260"/>
      <c r="F160" s="279">
        <v>18</v>
      </c>
      <c r="G160" s="260"/>
      <c r="H160" s="38">
        <f t="shared" si="5"/>
        <v>2019.5</v>
      </c>
      <c r="I160" s="7"/>
    </row>
    <row r="161" spans="1:9" ht="21" customHeight="1">
      <c r="A161" s="39" t="s">
        <v>369</v>
      </c>
      <c r="B161" s="38" t="s">
        <v>323</v>
      </c>
      <c r="C161" s="3"/>
      <c r="D161" s="259"/>
      <c r="E161" s="260"/>
      <c r="F161" s="279">
        <v>9</v>
      </c>
      <c r="G161" s="260"/>
      <c r="H161" s="38">
        <f t="shared" si="5"/>
        <v>2010.5</v>
      </c>
      <c r="I161" s="7"/>
    </row>
    <row r="162" spans="1:9" ht="21" customHeight="1">
      <c r="A162" s="39" t="s">
        <v>661</v>
      </c>
      <c r="B162" s="38" t="s">
        <v>323</v>
      </c>
      <c r="C162" s="3"/>
      <c r="D162" s="259"/>
      <c r="E162" s="260"/>
      <c r="F162" s="279">
        <v>33</v>
      </c>
      <c r="G162" s="260"/>
      <c r="H162" s="38">
        <f t="shared" si="5"/>
        <v>1977.5</v>
      </c>
      <c r="I162" s="7"/>
    </row>
    <row r="163" spans="1:9" ht="21" customHeight="1">
      <c r="A163" s="39" t="s">
        <v>421</v>
      </c>
      <c r="B163" s="38" t="s">
        <v>323</v>
      </c>
      <c r="C163" s="3"/>
      <c r="D163" s="259"/>
      <c r="E163" s="260"/>
      <c r="F163" s="279">
        <v>33</v>
      </c>
      <c r="G163" s="260"/>
      <c r="H163" s="38">
        <f t="shared" si="5"/>
        <v>1944.5</v>
      </c>
      <c r="I163" s="7"/>
    </row>
    <row r="164" spans="1:9" ht="21" customHeight="1">
      <c r="A164" s="39" t="s">
        <v>513</v>
      </c>
      <c r="B164" s="38" t="s">
        <v>323</v>
      </c>
      <c r="C164" s="3"/>
      <c r="D164" s="259"/>
      <c r="E164" s="260"/>
      <c r="F164" s="279">
        <v>12</v>
      </c>
      <c r="G164" s="260"/>
      <c r="H164" s="38">
        <f t="shared" si="5"/>
        <v>1932.5</v>
      </c>
      <c r="I164" s="7"/>
    </row>
    <row r="165" spans="1:9" ht="21" customHeight="1">
      <c r="A165" s="39"/>
      <c r="B165" s="38"/>
      <c r="C165" s="3"/>
      <c r="D165" s="259"/>
      <c r="E165" s="260"/>
      <c r="F165" s="279"/>
      <c r="G165" s="260"/>
      <c r="H165" s="38"/>
      <c r="I165" s="7"/>
    </row>
    <row r="166" spans="1:9" ht="21" customHeight="1">
      <c r="A166" s="39"/>
      <c r="B166" s="38"/>
      <c r="C166" s="3"/>
      <c r="D166" s="259"/>
      <c r="E166" s="260"/>
      <c r="F166" s="279"/>
      <c r="G166" s="260"/>
      <c r="H166" s="38"/>
      <c r="I166" s="7"/>
    </row>
    <row r="167" spans="1:9" ht="21" customHeight="1">
      <c r="A167" s="39"/>
      <c r="B167" s="38"/>
      <c r="C167" s="3"/>
      <c r="D167" s="259"/>
      <c r="E167" s="260"/>
      <c r="F167" s="279"/>
      <c r="G167" s="260"/>
      <c r="H167" s="38"/>
      <c r="I167" s="7"/>
    </row>
    <row r="168" spans="1:9" ht="21" customHeight="1">
      <c r="A168" s="39"/>
      <c r="B168" s="38"/>
      <c r="C168" s="3"/>
      <c r="D168" s="259"/>
      <c r="E168" s="260"/>
      <c r="F168" s="279"/>
      <c r="G168" s="260"/>
      <c r="H168" s="38"/>
      <c r="I168" s="7"/>
    </row>
    <row r="169" spans="1:9" ht="21" customHeight="1">
      <c r="A169" s="39"/>
      <c r="B169" s="38"/>
      <c r="C169" s="3"/>
      <c r="D169" s="259"/>
      <c r="E169" s="260"/>
      <c r="F169" s="279"/>
      <c r="G169" s="260"/>
      <c r="H169" s="38"/>
      <c r="I169" s="7"/>
    </row>
    <row r="170" spans="1:9" ht="21" customHeight="1">
      <c r="A170" s="39"/>
      <c r="B170" s="38"/>
      <c r="C170" s="3"/>
      <c r="D170" s="259"/>
      <c r="E170" s="260"/>
      <c r="F170" s="279"/>
      <c r="G170" s="260"/>
      <c r="H170" s="38"/>
      <c r="I170" s="7"/>
    </row>
    <row r="171" spans="1:9" ht="21" customHeight="1">
      <c r="A171" s="39"/>
      <c r="B171" s="38"/>
      <c r="C171" s="3"/>
      <c r="D171" s="259"/>
      <c r="E171" s="260"/>
      <c r="F171" s="279"/>
      <c r="G171" s="260"/>
      <c r="H171" s="38"/>
      <c r="I171" s="7"/>
    </row>
    <row r="172" spans="1:9" ht="21" customHeight="1">
      <c r="A172" s="39"/>
      <c r="B172" s="38"/>
      <c r="C172" s="3"/>
      <c r="D172" s="259"/>
      <c r="E172" s="260"/>
      <c r="F172" s="279"/>
      <c r="G172" s="260"/>
      <c r="H172" s="38"/>
      <c r="I172" s="7"/>
    </row>
    <row r="173" spans="1:9" ht="21" customHeight="1">
      <c r="A173" s="39"/>
      <c r="B173" s="38"/>
      <c r="C173" s="3"/>
      <c r="D173" s="259"/>
      <c r="E173" s="260"/>
      <c r="F173" s="279"/>
      <c r="G173" s="260"/>
      <c r="H173" s="38"/>
      <c r="I173" s="7"/>
    </row>
    <row r="174" spans="1:9" ht="21" customHeight="1">
      <c r="A174" s="39"/>
      <c r="B174" s="38"/>
      <c r="C174" s="3"/>
      <c r="D174" s="259"/>
      <c r="E174" s="260"/>
      <c r="F174" s="279"/>
      <c r="G174" s="260"/>
      <c r="H174" s="38"/>
      <c r="I174" s="7"/>
    </row>
    <row r="175" spans="1:9" ht="21" customHeight="1">
      <c r="A175" s="39"/>
      <c r="B175" s="38"/>
      <c r="C175" s="3"/>
      <c r="D175" s="259"/>
      <c r="E175" s="260"/>
      <c r="F175" s="279"/>
      <c r="G175" s="260"/>
      <c r="H175" s="38"/>
      <c r="I175" s="7"/>
    </row>
    <row r="176" spans="1:9" ht="21" customHeight="1">
      <c r="A176" s="39"/>
      <c r="B176" s="38"/>
      <c r="C176" s="3"/>
      <c r="D176" s="259"/>
      <c r="E176" s="260"/>
      <c r="F176" s="279"/>
      <c r="G176" s="260"/>
      <c r="H176" s="38"/>
      <c r="I176" s="7"/>
    </row>
    <row r="177" spans="1:9" ht="21" customHeight="1">
      <c r="A177" s="39"/>
      <c r="B177" s="38"/>
      <c r="C177" s="3"/>
      <c r="D177" s="259"/>
      <c r="E177" s="260"/>
      <c r="F177" s="279"/>
      <c r="G177" s="260"/>
      <c r="H177" s="38"/>
      <c r="I177" s="7"/>
    </row>
    <row r="178" spans="1:9" ht="21" customHeight="1">
      <c r="A178" s="39"/>
      <c r="B178" s="38"/>
      <c r="C178" s="3"/>
      <c r="D178" s="259"/>
      <c r="E178" s="260"/>
      <c r="F178" s="279"/>
      <c r="G178" s="260"/>
      <c r="H178" s="38"/>
      <c r="I178" s="7"/>
    </row>
    <row r="179" spans="1:9" ht="21" customHeight="1">
      <c r="A179" s="39"/>
      <c r="B179" s="38"/>
      <c r="C179" s="3"/>
      <c r="D179" s="259"/>
      <c r="E179" s="260"/>
      <c r="F179" s="279"/>
      <c r="G179" s="260"/>
      <c r="H179" s="38"/>
      <c r="I179" s="7"/>
    </row>
    <row r="180" spans="1:9" ht="21" customHeight="1">
      <c r="A180" s="39"/>
      <c r="B180" s="38"/>
      <c r="C180" s="3"/>
      <c r="D180" s="259"/>
      <c r="E180" s="260"/>
      <c r="F180" s="279"/>
      <c r="G180" s="260"/>
      <c r="H180" s="38"/>
      <c r="I180" s="7"/>
    </row>
    <row r="181" spans="1:9" ht="21" customHeight="1">
      <c r="A181" s="39"/>
      <c r="B181" s="38"/>
      <c r="C181" s="3"/>
      <c r="D181" s="259"/>
      <c r="E181" s="260"/>
      <c r="F181" s="279"/>
      <c r="G181" s="260"/>
      <c r="H181" s="38"/>
      <c r="I181" s="7"/>
    </row>
    <row r="182" spans="1:9" ht="21" customHeight="1">
      <c r="A182" s="39"/>
      <c r="B182" s="38"/>
      <c r="C182" s="3"/>
      <c r="D182" s="259"/>
      <c r="E182" s="260"/>
      <c r="F182" s="279"/>
      <c r="G182" s="260"/>
      <c r="H182" s="38"/>
      <c r="I182" s="7"/>
    </row>
    <row r="183" spans="1:9" ht="21" customHeight="1">
      <c r="A183" s="39"/>
      <c r="B183" s="38"/>
      <c r="C183" s="3"/>
      <c r="D183" s="259"/>
      <c r="E183" s="260"/>
      <c r="F183" s="279"/>
      <c r="G183" s="260"/>
      <c r="H183" s="38"/>
      <c r="I183" s="7"/>
    </row>
    <row r="184" spans="1:9" ht="21" customHeight="1">
      <c r="A184" s="39"/>
      <c r="B184" s="38"/>
      <c r="C184" s="3"/>
      <c r="D184" s="259"/>
      <c r="E184" s="260"/>
      <c r="F184" s="279"/>
      <c r="G184" s="260"/>
      <c r="H184" s="38"/>
      <c r="I184" s="7"/>
    </row>
    <row r="185" spans="1:9" ht="21" customHeight="1">
      <c r="A185" s="39"/>
      <c r="B185" s="38"/>
      <c r="C185" s="3"/>
      <c r="D185" s="259"/>
      <c r="E185" s="260"/>
      <c r="F185" s="279"/>
      <c r="G185" s="260"/>
      <c r="H185" s="38"/>
      <c r="I185" s="7"/>
    </row>
    <row r="186" spans="1:9" ht="21" customHeight="1">
      <c r="A186" s="39"/>
      <c r="B186" s="38"/>
      <c r="C186" s="3"/>
      <c r="D186" s="259"/>
      <c r="E186" s="260"/>
      <c r="F186" s="279"/>
      <c r="G186" s="260"/>
      <c r="H186" s="38"/>
      <c r="I186" s="7"/>
    </row>
    <row r="187" spans="1:9" ht="21" customHeight="1">
      <c r="A187" s="39"/>
      <c r="B187" s="38"/>
      <c r="C187" s="3"/>
      <c r="D187" s="259"/>
      <c r="E187" s="260"/>
      <c r="F187" s="279"/>
      <c r="G187" s="260"/>
      <c r="H187" s="38"/>
      <c r="I187" s="7"/>
    </row>
    <row r="188" spans="1:9" ht="21" customHeight="1">
      <c r="A188" s="39"/>
      <c r="B188" s="38"/>
      <c r="C188" s="3"/>
      <c r="D188" s="259"/>
      <c r="E188" s="260"/>
      <c r="F188" s="279"/>
      <c r="G188" s="260"/>
      <c r="H188" s="38"/>
      <c r="I188" s="7"/>
    </row>
    <row r="189" spans="1:9" ht="21" customHeight="1">
      <c r="A189" s="39"/>
      <c r="B189" s="38"/>
      <c r="C189" s="3"/>
      <c r="D189" s="259"/>
      <c r="E189" s="260"/>
      <c r="F189" s="279"/>
      <c r="G189" s="260"/>
      <c r="H189" s="38"/>
      <c r="I189" s="7"/>
    </row>
    <row r="190" spans="1:9" ht="21" customHeight="1">
      <c r="A190" s="39"/>
      <c r="B190" s="38"/>
      <c r="C190" s="3"/>
      <c r="D190" s="259"/>
      <c r="E190" s="260"/>
      <c r="F190" s="279"/>
      <c r="G190" s="260"/>
      <c r="H190" s="38"/>
      <c r="I190" s="7"/>
    </row>
    <row r="191" spans="1:9" ht="21" customHeight="1">
      <c r="A191" s="39"/>
      <c r="B191" s="38"/>
      <c r="C191" s="3"/>
      <c r="D191" s="259"/>
      <c r="E191" s="260"/>
      <c r="F191" s="279"/>
      <c r="G191" s="260"/>
      <c r="H191" s="38"/>
      <c r="I191" s="7"/>
    </row>
    <row r="192" spans="1:9" ht="21" customHeight="1">
      <c r="A192" s="39"/>
      <c r="B192" s="38"/>
      <c r="C192" s="3"/>
      <c r="D192" s="259"/>
      <c r="E192" s="260"/>
      <c r="F192" s="279"/>
      <c r="G192" s="260"/>
      <c r="H192" s="38"/>
      <c r="I192" s="7"/>
    </row>
    <row r="193" spans="1:9" ht="21" customHeight="1">
      <c r="A193" s="39"/>
      <c r="B193" s="38"/>
      <c r="C193" s="3"/>
      <c r="D193" s="259"/>
      <c r="E193" s="260"/>
      <c r="F193" s="279"/>
      <c r="G193" s="260"/>
      <c r="H193" s="38"/>
      <c r="I193" s="7"/>
    </row>
    <row r="194" spans="1:9" ht="21" customHeight="1">
      <c r="A194" s="39"/>
      <c r="B194" s="38"/>
      <c r="C194" s="3"/>
      <c r="D194" s="259"/>
      <c r="E194" s="260"/>
      <c r="F194" s="279"/>
      <c r="G194" s="260"/>
      <c r="H194" s="38"/>
      <c r="I194" s="7"/>
    </row>
    <row r="195" spans="1:9" ht="21" customHeight="1">
      <c r="A195" s="39"/>
      <c r="B195" s="38"/>
      <c r="C195" s="3"/>
      <c r="D195" s="259"/>
      <c r="E195" s="260"/>
      <c r="F195" s="279"/>
      <c r="G195" s="260"/>
      <c r="H195" s="38"/>
      <c r="I195" s="7"/>
    </row>
    <row r="196" spans="1:9" ht="21" customHeight="1">
      <c r="A196" s="39"/>
      <c r="B196" s="38"/>
      <c r="C196" s="3"/>
      <c r="D196" s="259"/>
      <c r="E196" s="260"/>
      <c r="F196" s="279"/>
      <c r="G196" s="260"/>
      <c r="H196" s="38"/>
      <c r="I196" s="7"/>
    </row>
    <row r="197" spans="1:9" s="88" customFormat="1">
      <c r="A197" s="39"/>
      <c r="B197" s="38"/>
      <c r="C197" s="3"/>
      <c r="D197" s="287"/>
      <c r="E197" s="260"/>
      <c r="F197" s="279"/>
      <c r="G197" s="260"/>
      <c r="H197" s="38"/>
      <c r="I197" s="157"/>
    </row>
    <row r="198" spans="1:9" ht="21" customHeight="1">
      <c r="A198" s="39"/>
      <c r="B198" s="38"/>
      <c r="C198" s="3"/>
      <c r="D198" s="259"/>
      <c r="E198" s="260"/>
      <c r="F198" s="279"/>
      <c r="G198" s="260"/>
      <c r="H198" s="38"/>
      <c r="I198" s="7"/>
    </row>
    <row r="199" spans="1:9" ht="21" customHeight="1">
      <c r="A199" s="39"/>
      <c r="B199" s="38"/>
      <c r="C199" s="3"/>
      <c r="D199" s="259"/>
      <c r="E199" s="260"/>
      <c r="F199" s="279"/>
      <c r="G199" s="260"/>
      <c r="H199" s="38"/>
      <c r="I199" s="7"/>
    </row>
    <row r="200" spans="1:9" ht="21" customHeight="1">
      <c r="A200" s="39"/>
      <c r="B200" s="38"/>
      <c r="C200" s="3"/>
      <c r="D200" s="259"/>
      <c r="E200" s="260"/>
      <c r="F200" s="279"/>
      <c r="G200" s="260"/>
      <c r="H200" s="38"/>
      <c r="I200" s="7"/>
    </row>
    <row r="201" spans="1:9" ht="21" customHeight="1">
      <c r="A201" s="39"/>
      <c r="B201" s="38"/>
      <c r="C201" s="3"/>
      <c r="D201" s="259"/>
      <c r="E201" s="260"/>
      <c r="F201" s="279"/>
      <c r="G201" s="260"/>
      <c r="H201" s="38"/>
      <c r="I201" s="7"/>
    </row>
    <row r="202" spans="1:9" ht="21" customHeight="1">
      <c r="A202" s="39"/>
      <c r="B202" s="38"/>
      <c r="C202" s="3"/>
      <c r="D202" s="259"/>
      <c r="E202" s="260"/>
      <c r="F202" s="279"/>
      <c r="G202" s="260"/>
      <c r="H202" s="38"/>
      <c r="I202" s="7"/>
    </row>
    <row r="203" spans="1:9" ht="21" customHeight="1">
      <c r="A203" s="39"/>
      <c r="B203" s="38"/>
      <c r="C203" s="3"/>
      <c r="D203" s="259"/>
      <c r="E203" s="260"/>
      <c r="F203" s="279"/>
      <c r="G203" s="260"/>
      <c r="H203" s="38"/>
      <c r="I203" s="7"/>
    </row>
    <row r="204" spans="1:9" ht="21" customHeight="1">
      <c r="A204" s="39"/>
      <c r="B204" s="38"/>
      <c r="C204" s="3"/>
      <c r="D204" s="259"/>
      <c r="E204" s="260"/>
      <c r="F204" s="279"/>
      <c r="G204" s="260"/>
      <c r="H204" s="38"/>
      <c r="I204" s="7"/>
    </row>
    <row r="205" spans="1:9" ht="21" customHeight="1">
      <c r="A205" s="39"/>
      <c r="B205" s="38"/>
      <c r="C205" s="3"/>
      <c r="D205" s="259"/>
      <c r="E205" s="260"/>
      <c r="F205" s="279"/>
      <c r="G205" s="260"/>
      <c r="H205" s="38"/>
      <c r="I205" s="7"/>
    </row>
    <row r="206" spans="1:9" ht="21" customHeight="1">
      <c r="A206" s="39"/>
      <c r="B206" s="38"/>
      <c r="C206" s="3"/>
      <c r="D206" s="259"/>
      <c r="E206" s="260"/>
      <c r="F206" s="279"/>
      <c r="G206" s="260"/>
      <c r="H206" s="38"/>
      <c r="I206" s="7"/>
    </row>
    <row r="207" spans="1:9" ht="21" customHeight="1">
      <c r="A207" s="41"/>
      <c r="B207" s="38"/>
      <c r="C207" s="3"/>
      <c r="D207" s="259"/>
      <c r="E207" s="260"/>
      <c r="F207" s="279"/>
      <c r="G207" s="260"/>
      <c r="H207" s="38"/>
      <c r="I207" s="7"/>
    </row>
    <row r="208" spans="1:9" ht="21" customHeight="1">
      <c r="A208" s="39"/>
      <c r="B208" s="38"/>
      <c r="C208" s="3"/>
      <c r="D208" s="259"/>
      <c r="E208" s="260"/>
      <c r="F208" s="279"/>
      <c r="G208" s="260"/>
      <c r="H208" s="38"/>
      <c r="I208" s="7"/>
    </row>
    <row r="209" spans="1:9" ht="21" customHeight="1">
      <c r="A209" s="39"/>
      <c r="B209" s="38"/>
      <c r="C209" s="3"/>
      <c r="D209" s="259"/>
      <c r="E209" s="260"/>
      <c r="F209" s="279"/>
      <c r="G209" s="260"/>
      <c r="H209" s="38"/>
      <c r="I209" s="7"/>
    </row>
    <row r="210" spans="1:9" ht="21" customHeight="1">
      <c r="A210" s="39"/>
      <c r="B210" s="38"/>
      <c r="C210" s="3"/>
      <c r="D210" s="259"/>
      <c r="E210" s="260"/>
      <c r="F210" s="279"/>
      <c r="G210" s="260"/>
      <c r="H210" s="38"/>
      <c r="I210" s="7"/>
    </row>
    <row r="211" spans="1:9" ht="21" customHeight="1">
      <c r="A211" s="39"/>
      <c r="B211" s="38"/>
      <c r="C211" s="3"/>
      <c r="D211" s="259"/>
      <c r="E211" s="260"/>
      <c r="F211" s="279"/>
      <c r="G211" s="260"/>
      <c r="H211" s="38"/>
      <c r="I211" s="7"/>
    </row>
    <row r="212" spans="1:9" ht="21" customHeight="1">
      <c r="A212" s="39"/>
      <c r="B212" s="38"/>
      <c r="C212" s="3"/>
      <c r="D212" s="259"/>
      <c r="E212" s="260"/>
      <c r="F212" s="279"/>
      <c r="G212" s="260"/>
      <c r="H212" s="38"/>
      <c r="I212" s="7"/>
    </row>
    <row r="213" spans="1:9" ht="21" customHeight="1">
      <c r="A213" s="39"/>
      <c r="B213" s="38"/>
      <c r="C213" s="3"/>
      <c r="D213" s="259"/>
      <c r="E213" s="260"/>
      <c r="F213" s="279"/>
      <c r="G213" s="260"/>
      <c r="H213" s="38"/>
      <c r="I213" s="7"/>
    </row>
    <row r="214" spans="1:9" ht="21" customHeight="1">
      <c r="A214" s="39"/>
      <c r="B214" s="38"/>
      <c r="C214" s="3"/>
      <c r="D214" s="259"/>
      <c r="E214" s="260"/>
      <c r="F214" s="279"/>
      <c r="G214" s="260"/>
      <c r="H214" s="38"/>
      <c r="I214" s="7"/>
    </row>
    <row r="215" spans="1:9" ht="21" customHeight="1">
      <c r="A215" s="39"/>
      <c r="B215" s="38"/>
      <c r="C215" s="3"/>
      <c r="D215" s="259"/>
      <c r="E215" s="260"/>
      <c r="F215" s="279"/>
      <c r="G215" s="260"/>
      <c r="H215" s="38"/>
      <c r="I215" s="7"/>
    </row>
    <row r="216" spans="1:9" ht="21" customHeight="1">
      <c r="A216" s="39"/>
      <c r="B216" s="38"/>
      <c r="C216" s="3"/>
      <c r="D216" s="259"/>
      <c r="E216" s="260"/>
      <c r="F216" s="279"/>
      <c r="G216" s="260"/>
      <c r="H216" s="38"/>
      <c r="I216" s="7"/>
    </row>
    <row r="217" spans="1:9" ht="21" customHeight="1">
      <c r="A217" s="39"/>
      <c r="B217" s="38"/>
      <c r="C217" s="3"/>
      <c r="D217" s="259"/>
      <c r="E217" s="260"/>
      <c r="F217" s="279"/>
      <c r="G217" s="260"/>
      <c r="H217" s="38"/>
      <c r="I217" s="7"/>
    </row>
    <row r="218" spans="1:9" ht="21" customHeight="1">
      <c r="A218" s="39"/>
      <c r="B218" s="38"/>
      <c r="C218" s="3"/>
      <c r="D218" s="259"/>
      <c r="E218" s="260"/>
      <c r="F218" s="279"/>
      <c r="G218" s="260"/>
      <c r="H218" s="38"/>
      <c r="I218" s="7"/>
    </row>
    <row r="219" spans="1:9" ht="21" customHeight="1">
      <c r="A219" s="39"/>
      <c r="B219" s="38"/>
      <c r="C219" s="3"/>
      <c r="D219" s="259"/>
      <c r="E219" s="260"/>
      <c r="F219" s="279"/>
      <c r="G219" s="260"/>
      <c r="H219" s="38"/>
      <c r="I219" s="7"/>
    </row>
    <row r="220" spans="1:9" ht="21" customHeight="1">
      <c r="A220" s="39"/>
      <c r="B220" s="38"/>
      <c r="C220" s="3"/>
      <c r="D220" s="259"/>
      <c r="E220" s="260"/>
      <c r="F220" s="279"/>
      <c r="G220" s="260"/>
      <c r="H220" s="38"/>
      <c r="I220" s="7"/>
    </row>
    <row r="221" spans="1:9" ht="21" customHeight="1">
      <c r="A221" s="39"/>
      <c r="B221" s="38"/>
      <c r="C221" s="3"/>
      <c r="D221" s="259"/>
      <c r="E221" s="260"/>
      <c r="F221" s="279"/>
      <c r="G221" s="260"/>
      <c r="H221" s="38"/>
      <c r="I221" s="7"/>
    </row>
    <row r="222" spans="1:9" ht="21" customHeight="1">
      <c r="A222" s="39"/>
      <c r="B222" s="38"/>
      <c r="C222" s="3"/>
      <c r="D222" s="259"/>
      <c r="E222" s="260"/>
      <c r="F222" s="279"/>
      <c r="G222" s="260"/>
      <c r="H222" s="38"/>
      <c r="I222" s="7"/>
    </row>
    <row r="223" spans="1:9" ht="21" customHeight="1">
      <c r="A223" s="39"/>
      <c r="B223" s="38"/>
      <c r="C223" s="3"/>
      <c r="D223" s="259"/>
      <c r="E223" s="260"/>
      <c r="F223" s="279"/>
      <c r="G223" s="260"/>
      <c r="H223" s="38"/>
      <c r="I223" s="7"/>
    </row>
    <row r="224" spans="1:9" ht="21" customHeight="1">
      <c r="A224" s="39"/>
      <c r="B224" s="38"/>
      <c r="C224" s="3"/>
      <c r="D224" s="259"/>
      <c r="E224" s="260"/>
      <c r="F224" s="279"/>
      <c r="G224" s="260"/>
      <c r="H224" s="38"/>
      <c r="I224" s="7"/>
    </row>
    <row r="225" spans="1:9" ht="21" customHeight="1">
      <c r="A225" s="39"/>
      <c r="B225" s="38"/>
      <c r="C225" s="3"/>
      <c r="D225" s="259"/>
      <c r="E225" s="260"/>
      <c r="F225" s="279"/>
      <c r="G225" s="260"/>
      <c r="H225" s="38"/>
      <c r="I225" s="7"/>
    </row>
    <row r="226" spans="1:9" ht="21" customHeight="1">
      <c r="A226" s="39"/>
      <c r="B226" s="38"/>
      <c r="C226" s="3"/>
      <c r="D226" s="259"/>
      <c r="E226" s="260"/>
      <c r="F226" s="279"/>
      <c r="G226" s="260"/>
      <c r="H226" s="38"/>
      <c r="I226" s="7"/>
    </row>
    <row r="227" spans="1:9" ht="21" customHeight="1">
      <c r="A227" s="39"/>
      <c r="B227" s="38"/>
      <c r="C227" s="3"/>
      <c r="D227" s="259"/>
      <c r="E227" s="260"/>
      <c r="F227" s="279"/>
      <c r="G227" s="260"/>
      <c r="H227" s="38"/>
      <c r="I227" s="7"/>
    </row>
    <row r="228" spans="1:9" ht="21" customHeight="1">
      <c r="A228" s="39"/>
      <c r="B228" s="38"/>
      <c r="C228" s="3"/>
      <c r="D228" s="259"/>
      <c r="E228" s="260"/>
      <c r="F228" s="279"/>
      <c r="G228" s="260"/>
      <c r="H228" s="38"/>
      <c r="I228" s="7"/>
    </row>
    <row r="229" spans="1:9" ht="21" customHeight="1">
      <c r="A229" s="39"/>
      <c r="B229" s="38"/>
      <c r="C229" s="3"/>
      <c r="D229" s="259"/>
      <c r="E229" s="260"/>
      <c r="F229" s="279"/>
      <c r="G229" s="260"/>
      <c r="H229" s="38"/>
      <c r="I229" s="7"/>
    </row>
    <row r="230" spans="1:9" ht="21" customHeight="1">
      <c r="A230" s="39"/>
      <c r="B230" s="38"/>
      <c r="C230" s="3"/>
      <c r="D230" s="259"/>
      <c r="E230" s="260"/>
      <c r="F230" s="279"/>
      <c r="G230" s="260"/>
      <c r="H230" s="38"/>
      <c r="I230" s="7"/>
    </row>
    <row r="231" spans="1:9" ht="21" customHeight="1">
      <c r="A231" s="39"/>
      <c r="B231" s="38"/>
      <c r="C231" s="3"/>
      <c r="D231" s="259"/>
      <c r="E231" s="260"/>
      <c r="F231" s="279"/>
      <c r="G231" s="260"/>
      <c r="H231" s="38"/>
      <c r="I231" s="7"/>
    </row>
    <row r="232" spans="1:9" ht="21" customHeight="1">
      <c r="A232" s="39"/>
      <c r="B232" s="38"/>
      <c r="C232" s="3"/>
      <c r="D232" s="259"/>
      <c r="E232" s="260"/>
      <c r="F232" s="279"/>
      <c r="G232" s="260"/>
      <c r="H232" s="38"/>
      <c r="I232" s="7"/>
    </row>
    <row r="233" spans="1:9" ht="21" customHeight="1">
      <c r="A233" s="39"/>
      <c r="B233" s="38"/>
      <c r="C233" s="3"/>
      <c r="D233" s="259"/>
      <c r="E233" s="260"/>
      <c r="F233" s="279"/>
      <c r="G233" s="260"/>
      <c r="H233" s="38"/>
      <c r="I233" s="7"/>
    </row>
    <row r="234" spans="1:9" ht="21" customHeight="1">
      <c r="A234" s="39"/>
      <c r="B234" s="38"/>
      <c r="C234" s="3"/>
      <c r="D234" s="259"/>
      <c r="E234" s="260"/>
      <c r="F234" s="279"/>
      <c r="G234" s="260"/>
      <c r="H234" s="38"/>
      <c r="I234" s="7"/>
    </row>
    <row r="235" spans="1:9" ht="21" customHeight="1">
      <c r="A235" s="39"/>
      <c r="B235" s="38"/>
      <c r="C235" s="3"/>
      <c r="D235" s="259"/>
      <c r="E235" s="260"/>
      <c r="F235" s="279"/>
      <c r="G235" s="260"/>
      <c r="H235" s="38"/>
      <c r="I235" s="7"/>
    </row>
    <row r="236" spans="1:9" ht="21" customHeight="1">
      <c r="A236" s="39"/>
      <c r="B236" s="38"/>
      <c r="C236" s="3"/>
      <c r="D236" s="259"/>
      <c r="E236" s="260"/>
      <c r="F236" s="279"/>
      <c r="G236" s="260"/>
      <c r="H236" s="38"/>
      <c r="I236" s="7"/>
    </row>
    <row r="237" spans="1:9" ht="21" customHeight="1">
      <c r="A237" s="39"/>
      <c r="B237" s="38"/>
      <c r="C237" s="3"/>
      <c r="D237" s="259"/>
      <c r="E237" s="260"/>
      <c r="F237" s="279"/>
      <c r="G237" s="260"/>
      <c r="H237" s="38"/>
      <c r="I237" s="7"/>
    </row>
    <row r="238" spans="1:9" ht="21" customHeight="1">
      <c r="A238" s="39"/>
      <c r="B238" s="38"/>
      <c r="C238" s="3"/>
      <c r="D238" s="259"/>
      <c r="E238" s="260"/>
      <c r="F238" s="279"/>
      <c r="G238" s="260"/>
      <c r="H238" s="38"/>
      <c r="I238" s="7"/>
    </row>
    <row r="239" spans="1:9" ht="21" customHeight="1">
      <c r="A239" s="39"/>
      <c r="B239" s="38"/>
      <c r="C239" s="3"/>
      <c r="D239" s="259"/>
      <c r="E239" s="260"/>
      <c r="F239" s="279"/>
      <c r="G239" s="260"/>
      <c r="H239" s="38"/>
      <c r="I239" s="7"/>
    </row>
    <row r="240" spans="1:9" ht="21" customHeight="1">
      <c r="A240" s="133"/>
      <c r="B240" s="140"/>
      <c r="C240" s="179"/>
      <c r="D240" s="291"/>
      <c r="E240" s="260"/>
      <c r="F240" s="289"/>
      <c r="G240" s="260"/>
      <c r="H240" s="140"/>
      <c r="I240" s="7"/>
    </row>
    <row r="241" spans="1:9" ht="21" customHeight="1">
      <c r="A241" s="39"/>
      <c r="B241" s="38"/>
      <c r="C241" s="3"/>
      <c r="D241" s="259"/>
      <c r="E241" s="260"/>
      <c r="F241" s="279"/>
      <c r="G241" s="260"/>
      <c r="H241" s="38"/>
      <c r="I241" s="7"/>
    </row>
    <row r="242" spans="1:9" ht="21" customHeight="1">
      <c r="A242" s="39"/>
      <c r="B242" s="38"/>
      <c r="C242" s="3"/>
      <c r="D242" s="259"/>
      <c r="E242" s="260"/>
      <c r="F242" s="279"/>
      <c r="G242" s="260"/>
      <c r="H242" s="38"/>
      <c r="I242" s="7"/>
    </row>
    <row r="243" spans="1:9" ht="21" customHeight="1">
      <c r="A243" s="39"/>
      <c r="B243" s="38"/>
      <c r="C243" s="3"/>
      <c r="D243" s="259"/>
      <c r="E243" s="260"/>
      <c r="F243" s="279"/>
      <c r="G243" s="260"/>
      <c r="H243" s="38"/>
      <c r="I243" s="7"/>
    </row>
    <row r="244" spans="1:9">
      <c r="A244" s="39"/>
      <c r="B244" s="38"/>
      <c r="C244" s="38"/>
      <c r="D244" s="279"/>
      <c r="E244" s="260"/>
      <c r="F244" s="279"/>
      <c r="G244" s="260"/>
      <c r="H244" s="38"/>
      <c r="I244" s="38"/>
    </row>
    <row r="245" spans="1:9" ht="21" customHeight="1">
      <c r="A245" s="39"/>
      <c r="B245" s="38"/>
      <c r="C245" s="3"/>
      <c r="D245" s="259"/>
      <c r="E245" s="260"/>
      <c r="F245" s="279"/>
      <c r="G245" s="260"/>
      <c r="H245" s="38"/>
      <c r="I245" s="7"/>
    </row>
    <row r="246" spans="1:9" ht="21" customHeight="1">
      <c r="A246" s="39"/>
      <c r="B246" s="38"/>
      <c r="C246" s="3"/>
      <c r="D246" s="259"/>
      <c r="E246" s="260"/>
      <c r="F246" s="279"/>
      <c r="G246" s="260"/>
      <c r="H246" s="38"/>
      <c r="I246" s="7"/>
    </row>
    <row r="247" spans="1:9" ht="21" customHeight="1">
      <c r="A247" s="39"/>
      <c r="B247" s="38"/>
      <c r="C247" s="3"/>
      <c r="D247" s="259"/>
      <c r="E247" s="260"/>
      <c r="F247" s="279"/>
      <c r="G247" s="260"/>
      <c r="H247" s="38"/>
      <c r="I247" s="7"/>
    </row>
    <row r="248" spans="1:9" ht="21" customHeight="1">
      <c r="A248" s="39"/>
      <c r="B248" s="38"/>
      <c r="C248" s="3"/>
      <c r="D248" s="259"/>
      <c r="E248" s="260"/>
      <c r="F248" s="279"/>
      <c r="G248" s="260"/>
      <c r="H248" s="38"/>
      <c r="I248" s="7"/>
    </row>
    <row r="249" spans="1:9" ht="21" customHeight="1">
      <c r="A249" s="39"/>
      <c r="B249" s="38"/>
      <c r="C249" s="3"/>
      <c r="D249" s="259"/>
      <c r="E249" s="260"/>
      <c r="F249" s="279"/>
      <c r="G249" s="260"/>
      <c r="H249" s="38"/>
      <c r="I249" s="7"/>
    </row>
    <row r="250" spans="1:9" ht="21" customHeight="1">
      <c r="A250" s="39"/>
      <c r="B250" s="38"/>
      <c r="C250" s="3"/>
      <c r="D250" s="259"/>
      <c r="E250" s="260"/>
      <c r="F250" s="279"/>
      <c r="G250" s="260"/>
      <c r="H250" s="38"/>
      <c r="I250" s="7"/>
    </row>
    <row r="251" spans="1:9" ht="21" customHeight="1">
      <c r="A251" s="39"/>
      <c r="B251" s="38"/>
      <c r="C251" s="3"/>
      <c r="D251" s="259"/>
      <c r="E251" s="260"/>
      <c r="F251" s="279"/>
      <c r="G251" s="260"/>
      <c r="H251" s="38"/>
      <c r="I251" s="7"/>
    </row>
    <row r="252" spans="1:9" ht="21" customHeight="1">
      <c r="A252" s="39"/>
      <c r="B252" s="38"/>
      <c r="C252" s="3"/>
      <c r="D252" s="259"/>
      <c r="E252" s="260"/>
      <c r="F252" s="279"/>
      <c r="G252" s="260"/>
      <c r="H252" s="38"/>
      <c r="I252" s="7"/>
    </row>
    <row r="253" spans="1:9" ht="21" customHeight="1">
      <c r="A253" s="39"/>
      <c r="B253" s="38"/>
      <c r="C253" s="3"/>
      <c r="D253" s="259"/>
      <c r="E253" s="260"/>
      <c r="F253" s="279"/>
      <c r="G253" s="260"/>
      <c r="H253" s="38"/>
      <c r="I253" s="7"/>
    </row>
    <row r="254" spans="1:9" ht="21" customHeight="1">
      <c r="A254" s="39"/>
      <c r="B254" s="38"/>
      <c r="C254" s="3"/>
      <c r="D254" s="259"/>
      <c r="E254" s="260"/>
      <c r="F254" s="279"/>
      <c r="G254" s="260"/>
      <c r="H254" s="38"/>
      <c r="I254" s="7"/>
    </row>
    <row r="255" spans="1:9" ht="21" customHeight="1">
      <c r="A255" s="39"/>
      <c r="B255" s="38"/>
      <c r="C255" s="3"/>
      <c r="D255" s="259"/>
      <c r="E255" s="260"/>
      <c r="F255" s="279"/>
      <c r="G255" s="260"/>
      <c r="H255" s="38"/>
      <c r="I255" s="7"/>
    </row>
    <row r="256" spans="1:9" ht="21" customHeight="1">
      <c r="A256" s="39"/>
      <c r="B256" s="38"/>
      <c r="C256" s="3"/>
      <c r="D256" s="259"/>
      <c r="E256" s="260"/>
      <c r="F256" s="279"/>
      <c r="G256" s="260"/>
      <c r="H256" s="38"/>
      <c r="I256" s="7"/>
    </row>
    <row r="257" spans="1:9" ht="21" customHeight="1">
      <c r="A257" s="39"/>
      <c r="B257" s="38"/>
      <c r="C257" s="3"/>
      <c r="D257" s="259"/>
      <c r="E257" s="260"/>
      <c r="F257" s="279"/>
      <c r="G257" s="260"/>
      <c r="H257" s="38"/>
      <c r="I257" s="7"/>
    </row>
    <row r="258" spans="1:9" ht="21" customHeight="1">
      <c r="A258" s="39"/>
      <c r="B258" s="38"/>
      <c r="C258" s="3"/>
      <c r="D258" s="259"/>
      <c r="E258" s="260"/>
      <c r="F258" s="279"/>
      <c r="G258" s="260"/>
      <c r="H258" s="38"/>
      <c r="I258" s="7"/>
    </row>
    <row r="259" spans="1:9" ht="21" customHeight="1">
      <c r="A259" s="39"/>
      <c r="B259" s="38"/>
      <c r="C259" s="3"/>
      <c r="D259" s="259"/>
      <c r="E259" s="260"/>
      <c r="F259" s="279"/>
      <c r="G259" s="260"/>
      <c r="H259" s="38"/>
      <c r="I259" s="7"/>
    </row>
    <row r="260" spans="1:9" ht="21" customHeight="1">
      <c r="A260" s="39"/>
      <c r="B260" s="38"/>
      <c r="C260" s="3"/>
      <c r="D260" s="259"/>
      <c r="E260" s="260"/>
      <c r="F260" s="279"/>
      <c r="G260" s="260"/>
      <c r="H260" s="38"/>
      <c r="I260" s="7"/>
    </row>
    <row r="261" spans="1:9" ht="21" customHeight="1">
      <c r="A261" s="39"/>
      <c r="B261" s="38"/>
      <c r="C261" s="3"/>
      <c r="D261" s="259"/>
      <c r="E261" s="260"/>
      <c r="F261" s="279"/>
      <c r="G261" s="260"/>
      <c r="H261" s="38"/>
      <c r="I261" s="7"/>
    </row>
    <row r="262" spans="1:9" ht="21" customHeight="1">
      <c r="A262" s="39"/>
      <c r="B262" s="38"/>
      <c r="C262" s="3"/>
      <c r="D262" s="259"/>
      <c r="E262" s="260"/>
      <c r="F262" s="279"/>
      <c r="G262" s="260"/>
      <c r="H262" s="38"/>
      <c r="I262" s="7"/>
    </row>
    <row r="263" spans="1:9" ht="21" customHeight="1">
      <c r="A263" s="39"/>
      <c r="B263" s="38"/>
      <c r="C263" s="3"/>
      <c r="D263" s="259"/>
      <c r="E263" s="260"/>
      <c r="F263" s="279"/>
      <c r="G263" s="260"/>
      <c r="H263" s="38"/>
      <c r="I263" s="7"/>
    </row>
    <row r="264" spans="1:9" ht="21" customHeight="1">
      <c r="A264" s="39"/>
      <c r="B264" s="38"/>
      <c r="C264" s="3"/>
      <c r="D264" s="259"/>
      <c r="E264" s="260"/>
      <c r="F264" s="279"/>
      <c r="G264" s="260"/>
      <c r="H264" s="38"/>
      <c r="I264" s="7"/>
    </row>
    <row r="265" spans="1:9" ht="21" customHeight="1">
      <c r="A265" s="39"/>
      <c r="B265" s="38"/>
      <c r="C265" s="3"/>
      <c r="D265" s="259"/>
      <c r="E265" s="260"/>
      <c r="F265" s="279"/>
      <c r="G265" s="260"/>
      <c r="H265" s="38"/>
      <c r="I265" s="7"/>
    </row>
    <row r="266" spans="1:9" ht="21" customHeight="1">
      <c r="A266" s="39"/>
      <c r="B266" s="38"/>
      <c r="C266" s="3"/>
      <c r="D266" s="259"/>
      <c r="E266" s="260"/>
      <c r="F266" s="279"/>
      <c r="G266" s="260"/>
      <c r="H266" s="38"/>
      <c r="I266" s="7"/>
    </row>
    <row r="267" spans="1:9" ht="21" customHeight="1">
      <c r="A267" s="39"/>
      <c r="B267" s="38"/>
      <c r="C267" s="3"/>
      <c r="D267" s="259"/>
      <c r="E267" s="260"/>
      <c r="F267" s="279"/>
      <c r="G267" s="260"/>
      <c r="H267" s="38"/>
      <c r="I267" s="7"/>
    </row>
    <row r="268" spans="1:9" ht="21" customHeight="1">
      <c r="A268" s="39"/>
      <c r="B268" s="38"/>
      <c r="C268" s="3"/>
      <c r="D268" s="259"/>
      <c r="E268" s="260"/>
      <c r="F268" s="279"/>
      <c r="G268" s="260"/>
      <c r="H268" s="38"/>
      <c r="I268" s="7"/>
    </row>
    <row r="269" spans="1:9" ht="21" customHeight="1">
      <c r="A269" s="39"/>
      <c r="B269" s="38"/>
      <c r="C269" s="3"/>
      <c r="D269" s="259"/>
      <c r="E269" s="260"/>
      <c r="F269" s="279"/>
      <c r="G269" s="260"/>
      <c r="H269" s="38"/>
      <c r="I269" s="7"/>
    </row>
    <row r="270" spans="1:9" ht="21" customHeight="1">
      <c r="A270" s="39"/>
      <c r="B270" s="38"/>
      <c r="C270" s="3"/>
      <c r="D270" s="259"/>
      <c r="E270" s="260"/>
      <c r="F270" s="279"/>
      <c r="G270" s="260"/>
      <c r="H270" s="38"/>
      <c r="I270" s="7"/>
    </row>
    <row r="271" spans="1:9" ht="21" customHeight="1">
      <c r="A271" s="39"/>
      <c r="B271" s="38"/>
      <c r="C271" s="3"/>
      <c r="D271" s="259"/>
      <c r="E271" s="260"/>
      <c r="F271" s="279"/>
      <c r="G271" s="260"/>
      <c r="H271" s="38"/>
      <c r="I271" s="7"/>
    </row>
    <row r="272" spans="1:9" ht="21" customHeight="1">
      <c r="A272" s="39"/>
      <c r="B272" s="38"/>
      <c r="C272" s="3"/>
      <c r="D272" s="259"/>
      <c r="E272" s="260"/>
      <c r="F272" s="279"/>
      <c r="G272" s="260"/>
      <c r="H272" s="38"/>
      <c r="I272" s="7"/>
    </row>
    <row r="273" spans="1:9" ht="21" customHeight="1">
      <c r="A273" s="39"/>
      <c r="B273" s="38"/>
      <c r="C273" s="3"/>
      <c r="D273" s="259"/>
      <c r="E273" s="260"/>
      <c r="F273" s="279"/>
      <c r="G273" s="260"/>
      <c r="H273" s="38"/>
      <c r="I273" s="7"/>
    </row>
    <row r="274" spans="1:9" ht="21" customHeight="1">
      <c r="A274" s="39"/>
      <c r="B274" s="38"/>
      <c r="C274" s="3"/>
      <c r="D274" s="259"/>
      <c r="E274" s="260"/>
      <c r="F274" s="279"/>
      <c r="G274" s="260"/>
      <c r="H274" s="38"/>
      <c r="I274" s="7"/>
    </row>
    <row r="275" spans="1:9" ht="21" customHeight="1">
      <c r="A275" s="39"/>
      <c r="B275" s="38"/>
      <c r="C275" s="3"/>
      <c r="D275" s="259"/>
      <c r="E275" s="260"/>
      <c r="F275" s="279"/>
      <c r="G275" s="260"/>
      <c r="H275" s="38"/>
      <c r="I275" s="7"/>
    </row>
    <row r="276" spans="1:9" ht="21" customHeight="1">
      <c r="A276" s="39"/>
      <c r="B276" s="38"/>
      <c r="C276" s="3"/>
      <c r="D276" s="259"/>
      <c r="E276" s="260"/>
      <c r="F276" s="279"/>
      <c r="G276" s="260"/>
      <c r="H276" s="38"/>
      <c r="I276" s="7"/>
    </row>
  </sheetData>
  <mergeCells count="552">
    <mergeCell ref="B2:I2"/>
    <mergeCell ref="F113:G113"/>
    <mergeCell ref="D32:E32"/>
    <mergeCell ref="F232:G232"/>
    <mergeCell ref="F32:G32"/>
    <mergeCell ref="D97:E97"/>
    <mergeCell ref="F159:G159"/>
    <mergeCell ref="D268:E268"/>
    <mergeCell ref="F219:G219"/>
    <mergeCell ref="F268:G268"/>
    <mergeCell ref="F26:G26"/>
    <mergeCell ref="F97:G97"/>
    <mergeCell ref="F90:G90"/>
    <mergeCell ref="D184:E184"/>
    <mergeCell ref="F184:G184"/>
    <mergeCell ref="E3:G3"/>
    <mergeCell ref="F27:G27"/>
    <mergeCell ref="D121:E121"/>
    <mergeCell ref="D192:E192"/>
    <mergeCell ref="D42:E42"/>
    <mergeCell ref="D173:E173"/>
    <mergeCell ref="D123:E123"/>
    <mergeCell ref="D250:E250"/>
    <mergeCell ref="F179:G179"/>
    <mergeCell ref="D271:E271"/>
    <mergeCell ref="D191:E191"/>
    <mergeCell ref="D262:E262"/>
    <mergeCell ref="F191:G191"/>
    <mergeCell ref="D237:E237"/>
    <mergeCell ref="F255:G255"/>
    <mergeCell ref="F59:G59"/>
    <mergeCell ref="D239:E239"/>
    <mergeCell ref="D266:E266"/>
    <mergeCell ref="D95:E95"/>
    <mergeCell ref="F95:G95"/>
    <mergeCell ref="F250:G250"/>
    <mergeCell ref="F7:G7"/>
    <mergeCell ref="D276:E276"/>
    <mergeCell ref="D105:E105"/>
    <mergeCell ref="D170:E170"/>
    <mergeCell ref="D49:E49"/>
    <mergeCell ref="D120:E120"/>
    <mergeCell ref="D242:E242"/>
    <mergeCell ref="F242:G242"/>
    <mergeCell ref="D107:E107"/>
    <mergeCell ref="F36:G36"/>
    <mergeCell ref="D163:E163"/>
    <mergeCell ref="D234:E234"/>
    <mergeCell ref="F163:G163"/>
    <mergeCell ref="F101:G101"/>
    <mergeCell ref="F8:G8"/>
    <mergeCell ref="D244:E244"/>
    <mergeCell ref="F244:G244"/>
    <mergeCell ref="D171:E171"/>
    <mergeCell ref="F100:G100"/>
    <mergeCell ref="F165:G165"/>
    <mergeCell ref="F115:G115"/>
    <mergeCell ref="D102:E102"/>
    <mergeCell ref="F102:G102"/>
    <mergeCell ref="F229:G229"/>
    <mergeCell ref="D265:E265"/>
    <mergeCell ref="D216:E216"/>
    <mergeCell ref="F216:G216"/>
    <mergeCell ref="D252:E252"/>
    <mergeCell ref="F87:G87"/>
    <mergeCell ref="D218:E218"/>
    <mergeCell ref="F147:G147"/>
    <mergeCell ref="F218:G218"/>
    <mergeCell ref="D247:E247"/>
    <mergeCell ref="F89:G89"/>
    <mergeCell ref="D249:E249"/>
    <mergeCell ref="D196:E196"/>
    <mergeCell ref="F166:G166"/>
    <mergeCell ref="D133:E133"/>
    <mergeCell ref="D10:E10"/>
    <mergeCell ref="F10:G10"/>
    <mergeCell ref="D34:E34"/>
    <mergeCell ref="F63:G63"/>
    <mergeCell ref="D243:E243"/>
    <mergeCell ref="F34:G34"/>
    <mergeCell ref="D270:E270"/>
    <mergeCell ref="D99:E99"/>
    <mergeCell ref="F99:G99"/>
    <mergeCell ref="F74:G74"/>
    <mergeCell ref="D101:E101"/>
    <mergeCell ref="F30:G30"/>
    <mergeCell ref="D76:E76"/>
    <mergeCell ref="F138:G138"/>
    <mergeCell ref="F76:G76"/>
    <mergeCell ref="F94:G94"/>
    <mergeCell ref="D175:E175"/>
    <mergeCell ref="D221:E221"/>
    <mergeCell ref="F150:G150"/>
    <mergeCell ref="D165:E165"/>
    <mergeCell ref="D152:E152"/>
    <mergeCell ref="D223:E223"/>
    <mergeCell ref="F152:G152"/>
    <mergeCell ref="D29:E29"/>
    <mergeCell ref="D13:E13"/>
    <mergeCell ref="D150:E150"/>
    <mergeCell ref="F79:G79"/>
    <mergeCell ref="D215:E215"/>
    <mergeCell ref="F144:G144"/>
    <mergeCell ref="F215:G215"/>
    <mergeCell ref="F81:G81"/>
    <mergeCell ref="F210:G210"/>
    <mergeCell ref="D177:E177"/>
    <mergeCell ref="D33:E33"/>
    <mergeCell ref="D164:E164"/>
    <mergeCell ref="D35:E35"/>
    <mergeCell ref="D23:E23"/>
    <mergeCell ref="D25:E25"/>
    <mergeCell ref="F77:G77"/>
    <mergeCell ref="D54:E54"/>
    <mergeCell ref="F24:G24"/>
    <mergeCell ref="D57:E57"/>
    <mergeCell ref="D44:E44"/>
    <mergeCell ref="F44:G44"/>
    <mergeCell ref="D8:E8"/>
    <mergeCell ref="F37:G37"/>
    <mergeCell ref="F195:G195"/>
    <mergeCell ref="D231:E231"/>
    <mergeCell ref="F260:G260"/>
    <mergeCell ref="F60:G60"/>
    <mergeCell ref="F66:G66"/>
    <mergeCell ref="F197:G197"/>
    <mergeCell ref="F53:G53"/>
    <mergeCell ref="D20:E20"/>
    <mergeCell ref="F68:G68"/>
    <mergeCell ref="D84:E84"/>
    <mergeCell ref="D155:E155"/>
    <mergeCell ref="F84:G84"/>
    <mergeCell ref="D22:E22"/>
    <mergeCell ref="D149:E149"/>
    <mergeCell ref="D86:E86"/>
    <mergeCell ref="D257:E257"/>
    <mergeCell ref="F15:G15"/>
    <mergeCell ref="F86:G86"/>
    <mergeCell ref="F142:G142"/>
    <mergeCell ref="D151:E151"/>
    <mergeCell ref="F80:G80"/>
    <mergeCell ref="F213:G213"/>
    <mergeCell ref="D12:E12"/>
    <mergeCell ref="D83:E83"/>
    <mergeCell ref="D143:E143"/>
    <mergeCell ref="F270:G270"/>
    <mergeCell ref="F245:G245"/>
    <mergeCell ref="F49:G49"/>
    <mergeCell ref="D14:E14"/>
    <mergeCell ref="D256:E256"/>
    <mergeCell ref="D85:E85"/>
    <mergeCell ref="D207:E207"/>
    <mergeCell ref="F14:G14"/>
    <mergeCell ref="D222:E222"/>
    <mergeCell ref="F78:G78"/>
    <mergeCell ref="F205:G205"/>
    <mergeCell ref="F265:G265"/>
    <mergeCell ref="F65:G65"/>
    <mergeCell ref="D159:E159"/>
    <mergeCell ref="D80:E80"/>
    <mergeCell ref="F55:G55"/>
    <mergeCell ref="F169:G169"/>
    <mergeCell ref="D136:E136"/>
    <mergeCell ref="D154:E154"/>
    <mergeCell ref="D225:E225"/>
    <mergeCell ref="D200:E200"/>
    <mergeCell ref="D273:E273"/>
    <mergeCell ref="F31:G31"/>
    <mergeCell ref="F273:G273"/>
    <mergeCell ref="F28:G28"/>
    <mergeCell ref="D39:E39"/>
    <mergeCell ref="H3:I3"/>
    <mergeCell ref="F239:G239"/>
    <mergeCell ref="F39:G39"/>
    <mergeCell ref="A1:I1"/>
    <mergeCell ref="D89:E89"/>
    <mergeCell ref="F64:G64"/>
    <mergeCell ref="F257:G257"/>
    <mergeCell ref="D153:E153"/>
    <mergeCell ref="F178:G178"/>
    <mergeCell ref="D128:E128"/>
    <mergeCell ref="D199:E199"/>
    <mergeCell ref="F128:G128"/>
    <mergeCell ref="D186:E186"/>
    <mergeCell ref="D217:E217"/>
    <mergeCell ref="F217:G217"/>
    <mergeCell ref="D65:E65"/>
    <mergeCell ref="F21:G21"/>
    <mergeCell ref="F192:G192"/>
    <mergeCell ref="F252:G252"/>
    <mergeCell ref="B3:D3"/>
    <mergeCell ref="D130:E130"/>
    <mergeCell ref="D74:E74"/>
    <mergeCell ref="D201:E201"/>
    <mergeCell ref="F130:G130"/>
    <mergeCell ref="D68:E68"/>
    <mergeCell ref="D188:E188"/>
    <mergeCell ref="D132:E132"/>
    <mergeCell ref="F157:G157"/>
    <mergeCell ref="F132:G132"/>
    <mergeCell ref="D59:E59"/>
    <mergeCell ref="D178:E178"/>
    <mergeCell ref="D172:E172"/>
    <mergeCell ref="F172:G172"/>
    <mergeCell ref="F25:G25"/>
    <mergeCell ref="F196:G196"/>
    <mergeCell ref="C5:G5"/>
    <mergeCell ref="F123:G123"/>
    <mergeCell ref="D36:E36"/>
    <mergeCell ref="F173:G173"/>
    <mergeCell ref="D61:E61"/>
    <mergeCell ref="D48:E48"/>
    <mergeCell ref="D125:E125"/>
    <mergeCell ref="F125:G125"/>
    <mergeCell ref="D275:E275"/>
    <mergeCell ref="F248:G248"/>
    <mergeCell ref="F104:G104"/>
    <mergeCell ref="F235:G235"/>
    <mergeCell ref="D185:E185"/>
    <mergeCell ref="D41:E41"/>
    <mergeCell ref="F41:G41"/>
    <mergeCell ref="F35:G35"/>
    <mergeCell ref="F106:G106"/>
    <mergeCell ref="D43:E43"/>
    <mergeCell ref="F243:G243"/>
    <mergeCell ref="D137:E137"/>
    <mergeCell ref="F234:G234"/>
    <mergeCell ref="F221:G221"/>
    <mergeCell ref="F236:G236"/>
    <mergeCell ref="F223:G223"/>
    <mergeCell ref="D254:E254"/>
    <mergeCell ref="F247:G247"/>
    <mergeCell ref="F185:G185"/>
    <mergeCell ref="D112:E112"/>
    <mergeCell ref="D62:E62"/>
    <mergeCell ref="D56:E56"/>
    <mergeCell ref="D127:E127"/>
    <mergeCell ref="F56:G56"/>
    <mergeCell ref="H4:I4"/>
    <mergeCell ref="D40:E40"/>
    <mergeCell ref="D111:E111"/>
    <mergeCell ref="F40:G40"/>
    <mergeCell ref="D233:E233"/>
    <mergeCell ref="F233:G233"/>
    <mergeCell ref="D183:E183"/>
    <mergeCell ref="F12:G12"/>
    <mergeCell ref="D248:E248"/>
    <mergeCell ref="D219:E219"/>
    <mergeCell ref="F177:G177"/>
    <mergeCell ref="D104:E104"/>
    <mergeCell ref="B4:D4"/>
    <mergeCell ref="F13:G13"/>
    <mergeCell ref="D193:E193"/>
    <mergeCell ref="D176:E176"/>
    <mergeCell ref="F105:G105"/>
    <mergeCell ref="D114:E114"/>
    <mergeCell ref="F43:G43"/>
    <mergeCell ref="F176:G176"/>
    <mergeCell ref="F170:G170"/>
    <mergeCell ref="D64:E64"/>
    <mergeCell ref="F120:G120"/>
    <mergeCell ref="D51:E51"/>
    <mergeCell ref="E4:G4"/>
    <mergeCell ref="D182:E182"/>
    <mergeCell ref="F182:G182"/>
    <mergeCell ref="D109:E109"/>
    <mergeCell ref="F11:G11"/>
    <mergeCell ref="D119:E119"/>
    <mergeCell ref="D190:E190"/>
    <mergeCell ref="D246:E246"/>
    <mergeCell ref="D46:E46"/>
    <mergeCell ref="F246:G246"/>
    <mergeCell ref="F107:G107"/>
    <mergeCell ref="F57:G57"/>
    <mergeCell ref="F171:G171"/>
    <mergeCell ref="D138:E138"/>
    <mergeCell ref="D203:E203"/>
    <mergeCell ref="D140:E140"/>
    <mergeCell ref="D11:E11"/>
    <mergeCell ref="D204:E204"/>
    <mergeCell ref="F204:G204"/>
    <mergeCell ref="D198:E198"/>
    <mergeCell ref="F33:G33"/>
    <mergeCell ref="F198:G198"/>
    <mergeCell ref="D75:E75"/>
    <mergeCell ref="F75:G75"/>
    <mergeCell ref="A5:B5"/>
    <mergeCell ref="D264:E264"/>
    <mergeCell ref="D93:E93"/>
    <mergeCell ref="F22:G22"/>
    <mergeCell ref="F93:G93"/>
    <mergeCell ref="F264:G264"/>
    <mergeCell ref="D220:E220"/>
    <mergeCell ref="F149:G149"/>
    <mergeCell ref="F220:G220"/>
    <mergeCell ref="F155:G155"/>
    <mergeCell ref="D157:E157"/>
    <mergeCell ref="F151:G151"/>
    <mergeCell ref="F222:G222"/>
    <mergeCell ref="D251:E251"/>
    <mergeCell ref="F249:G249"/>
    <mergeCell ref="D206:E206"/>
    <mergeCell ref="F231:G231"/>
    <mergeCell ref="F262:G262"/>
    <mergeCell ref="F62:G62"/>
    <mergeCell ref="D181:E181"/>
    <mergeCell ref="D194:E194"/>
    <mergeCell ref="F194:G194"/>
    <mergeCell ref="F50:G50"/>
    <mergeCell ref="F110:G110"/>
    <mergeCell ref="F276:G276"/>
    <mergeCell ref="F214:G214"/>
    <mergeCell ref="F20:G20"/>
    <mergeCell ref="F85:G85"/>
    <mergeCell ref="D179:E179"/>
    <mergeCell ref="D166:E166"/>
    <mergeCell ref="D103:E103"/>
    <mergeCell ref="D37:E37"/>
    <mergeCell ref="D230:E230"/>
    <mergeCell ref="D168:E168"/>
    <mergeCell ref="F230:G230"/>
    <mergeCell ref="D180:E180"/>
    <mergeCell ref="D118:E118"/>
    <mergeCell ref="D167:E167"/>
    <mergeCell ref="D161:E161"/>
    <mergeCell ref="F167:G167"/>
    <mergeCell ref="D232:E232"/>
    <mergeCell ref="F161:G161"/>
    <mergeCell ref="F136:G136"/>
    <mergeCell ref="D38:E38"/>
    <mergeCell ref="F207:G207"/>
    <mergeCell ref="D169:E169"/>
    <mergeCell ref="F225:G225"/>
    <mergeCell ref="F271:G271"/>
    <mergeCell ref="F275:G275"/>
    <mergeCell ref="D115:E115"/>
    <mergeCell ref="F54:G54"/>
    <mergeCell ref="D19:E19"/>
    <mergeCell ref="D261:E261"/>
    <mergeCell ref="D90:E90"/>
    <mergeCell ref="F19:G19"/>
    <mergeCell ref="F212:G212"/>
    <mergeCell ref="F146:G146"/>
    <mergeCell ref="F83:G83"/>
    <mergeCell ref="D63:E63"/>
    <mergeCell ref="F227:G227"/>
    <mergeCell ref="F202:G202"/>
    <mergeCell ref="D96:E96"/>
    <mergeCell ref="D52:E52"/>
    <mergeCell ref="D27:E27"/>
    <mergeCell ref="F154:G154"/>
    <mergeCell ref="D116:E116"/>
    <mergeCell ref="D91:E91"/>
    <mergeCell ref="D162:E162"/>
    <mergeCell ref="F91:G91"/>
    <mergeCell ref="D156:E156"/>
    <mergeCell ref="F156:G156"/>
    <mergeCell ref="F180:G180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24:E24"/>
    <mergeCell ref="D113:E113"/>
    <mergeCell ref="D88:E88"/>
    <mergeCell ref="D26:E26"/>
    <mergeCell ref="F88:G88"/>
    <mergeCell ref="D148:E148"/>
    <mergeCell ref="F148:G148"/>
    <mergeCell ref="F6:G6"/>
    <mergeCell ref="D9:E9"/>
    <mergeCell ref="F9:G9"/>
    <mergeCell ref="D106:E106"/>
    <mergeCell ref="D274:E274"/>
    <mergeCell ref="D245:E245"/>
    <mergeCell ref="F274:G274"/>
    <mergeCell ref="D122:E122"/>
    <mergeCell ref="D224:E224"/>
    <mergeCell ref="D18:E18"/>
    <mergeCell ref="D211:E211"/>
    <mergeCell ref="F140:G140"/>
    <mergeCell ref="F211:G211"/>
    <mergeCell ref="F67:G67"/>
    <mergeCell ref="F186:G186"/>
    <mergeCell ref="D82:E82"/>
    <mergeCell ref="F82:G82"/>
    <mergeCell ref="D240:E240"/>
    <mergeCell ref="F269:G269"/>
    <mergeCell ref="F206:G206"/>
    <mergeCell ref="D100:E100"/>
    <mergeCell ref="F29:G29"/>
    <mergeCell ref="D50:E50"/>
    <mergeCell ref="D31:E31"/>
    <mergeCell ref="D158:E158"/>
    <mergeCell ref="D229:E229"/>
    <mergeCell ref="F158:G158"/>
    <mergeCell ref="F224:G224"/>
    <mergeCell ref="D272:E272"/>
    <mergeCell ref="D210:E210"/>
    <mergeCell ref="F272:G272"/>
    <mergeCell ref="D16:E16"/>
    <mergeCell ref="D87:E87"/>
    <mergeCell ref="D209:E209"/>
    <mergeCell ref="D147:E147"/>
    <mergeCell ref="F209:G209"/>
    <mergeCell ref="F38:G38"/>
    <mergeCell ref="F199:G199"/>
    <mergeCell ref="D235:E235"/>
    <mergeCell ref="D255:E255"/>
    <mergeCell ref="D260:E260"/>
    <mergeCell ref="D267:E267"/>
    <mergeCell ref="F267:G267"/>
    <mergeCell ref="D269:E269"/>
    <mergeCell ref="D17:E17"/>
    <mergeCell ref="F181:G181"/>
    <mergeCell ref="D212:E212"/>
    <mergeCell ref="D146:E146"/>
    <mergeCell ref="F141:G141"/>
    <mergeCell ref="F129:G129"/>
    <mergeCell ref="F200:G200"/>
    <mergeCell ref="D227:E227"/>
    <mergeCell ref="F261:G261"/>
    <mergeCell ref="D67:E67"/>
    <mergeCell ref="F254:G254"/>
    <mergeCell ref="D94:E94"/>
    <mergeCell ref="F119:G119"/>
    <mergeCell ref="D69:E69"/>
    <mergeCell ref="F69:G69"/>
    <mergeCell ref="F256:G256"/>
    <mergeCell ref="F112:G112"/>
    <mergeCell ref="F183:G183"/>
    <mergeCell ref="F193:G193"/>
    <mergeCell ref="F127:G127"/>
    <mergeCell ref="D145:E145"/>
    <mergeCell ref="F145:G145"/>
    <mergeCell ref="D202:E202"/>
    <mergeCell ref="F131:G131"/>
    <mergeCell ref="F258:G258"/>
    <mergeCell ref="D213:E213"/>
    <mergeCell ref="D226:E226"/>
    <mergeCell ref="F226:G226"/>
    <mergeCell ref="D241:E241"/>
    <mergeCell ref="F241:G241"/>
    <mergeCell ref="D228:E228"/>
    <mergeCell ref="D15:E15"/>
    <mergeCell ref="D142:E142"/>
    <mergeCell ref="D129:E129"/>
    <mergeCell ref="D79:E79"/>
    <mergeCell ref="D144:E144"/>
    <mergeCell ref="F73:G73"/>
    <mergeCell ref="F266:G266"/>
    <mergeCell ref="D81:E81"/>
    <mergeCell ref="D208:E208"/>
    <mergeCell ref="F137:G137"/>
    <mergeCell ref="F208:G208"/>
    <mergeCell ref="F124:G124"/>
    <mergeCell ref="D139:E139"/>
    <mergeCell ref="F201:G201"/>
    <mergeCell ref="F164:G164"/>
    <mergeCell ref="F139:G139"/>
    <mergeCell ref="F114:G114"/>
    <mergeCell ref="F228:G228"/>
    <mergeCell ref="F203:G203"/>
    <mergeCell ref="D214:E214"/>
    <mergeCell ref="D259:E259"/>
    <mergeCell ref="F259:G259"/>
    <mergeCell ref="D28:E28"/>
    <mergeCell ref="D236:E236"/>
    <mergeCell ref="D253:E253"/>
    <mergeCell ref="D53:E53"/>
    <mergeCell ref="F126:G126"/>
    <mergeCell ref="F253:G253"/>
    <mergeCell ref="D47:E47"/>
    <mergeCell ref="F109:G109"/>
    <mergeCell ref="F47:G47"/>
    <mergeCell ref="F240:G240"/>
    <mergeCell ref="F190:G190"/>
    <mergeCell ref="F111:G111"/>
    <mergeCell ref="F61:G61"/>
    <mergeCell ref="D110:E110"/>
    <mergeCell ref="F48:G48"/>
    <mergeCell ref="D117:E117"/>
    <mergeCell ref="D92:E92"/>
    <mergeCell ref="D55:E55"/>
    <mergeCell ref="F117:G117"/>
    <mergeCell ref="F92:G92"/>
    <mergeCell ref="F51:G51"/>
    <mergeCell ref="D58:E58"/>
    <mergeCell ref="F58:G58"/>
    <mergeCell ref="F52:G52"/>
    <mergeCell ref="F251:G251"/>
    <mergeCell ref="F18:G18"/>
    <mergeCell ref="F189:G189"/>
    <mergeCell ref="F45:G45"/>
    <mergeCell ref="F238:G238"/>
    <mergeCell ref="F42:G42"/>
    <mergeCell ref="D66:E66"/>
    <mergeCell ref="D126:E126"/>
    <mergeCell ref="F17:G17"/>
    <mergeCell ref="F188:G188"/>
    <mergeCell ref="D197:E197"/>
    <mergeCell ref="F46:G46"/>
    <mergeCell ref="D30:E30"/>
    <mergeCell ref="D21:E21"/>
    <mergeCell ref="D263:E263"/>
    <mergeCell ref="F70:G70"/>
    <mergeCell ref="F263:G263"/>
    <mergeCell ref="D238:E238"/>
    <mergeCell ref="D7:E7"/>
    <mergeCell ref="D78:E78"/>
    <mergeCell ref="D134:E134"/>
    <mergeCell ref="D205:E205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F175:G175"/>
    <mergeCell ref="F162:G162"/>
    <mergeCell ref="D131:E131"/>
    <mergeCell ref="D258:E258"/>
    <mergeCell ref="D124:E124"/>
    <mergeCell ref="D195:E195"/>
    <mergeCell ref="D189:E189"/>
    <mergeCell ref="F237:G237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theme="2" tint="-0.499984740745262"/>
  </sheetPr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767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768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Dactive 10 mg</v>
      </c>
      <c r="K3" s="34" t="s">
        <v>769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770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771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A1:O120"/>
  <sheetViews>
    <sheetView workbookViewId="0">
      <pane ySplit="6" topLeftCell="A31" activePane="bottomLeft" state="frozen"/>
      <selection pane="bottomLeft"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772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773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Alpraline 0.5mg</v>
      </c>
      <c r="K3" s="34" t="s">
        <v>774</v>
      </c>
      <c r="L3" s="5">
        <f>H7</f>
        <v>443</v>
      </c>
      <c r="M3" s="3">
        <f>SUM(C$8:C$1048576)</f>
        <v>1000</v>
      </c>
      <c r="N3" s="3">
        <f>SUM(F:F)</f>
        <v>903.5</v>
      </c>
      <c r="O3" s="3">
        <f>L3+M3-N3</f>
        <v>539.5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602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775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140">
        <v>443</v>
      </c>
      <c r="D7" s="289"/>
      <c r="E7" s="260"/>
      <c r="F7" s="289"/>
      <c r="G7" s="260"/>
      <c r="H7" s="140">
        <v>443</v>
      </c>
      <c r="I7" s="202" t="s">
        <v>571</v>
      </c>
      <c r="J7" s="12"/>
      <c r="K7" s="3"/>
      <c r="L7" s="3"/>
      <c r="M7" s="3"/>
      <c r="N7" s="3"/>
      <c r="O7" s="3"/>
    </row>
    <row r="8" spans="1:15" ht="21" customHeight="1">
      <c r="A8" s="39" t="s">
        <v>521</v>
      </c>
      <c r="B8" s="38" t="s">
        <v>323</v>
      </c>
      <c r="C8" s="38"/>
      <c r="D8" s="279"/>
      <c r="E8" s="260"/>
      <c r="F8" s="279">
        <v>30</v>
      </c>
      <c r="G8" s="260"/>
      <c r="H8" s="38">
        <f>H7-F8</f>
        <v>413</v>
      </c>
      <c r="I8" s="7"/>
    </row>
    <row r="9" spans="1:15" ht="21" customHeight="1">
      <c r="A9" s="39" t="s">
        <v>465</v>
      </c>
      <c r="B9" s="38" t="s">
        <v>323</v>
      </c>
      <c r="C9" s="38"/>
      <c r="D9" s="279"/>
      <c r="E9" s="260"/>
      <c r="F9" s="279">
        <v>1.5</v>
      </c>
      <c r="G9" s="260"/>
      <c r="H9" s="38">
        <f>H8-F9</f>
        <v>411.5</v>
      </c>
      <c r="I9" s="7"/>
    </row>
    <row r="10" spans="1:15" ht="21" customHeight="1">
      <c r="A10" s="39" t="s">
        <v>470</v>
      </c>
      <c r="B10" s="38" t="s">
        <v>323</v>
      </c>
      <c r="C10" s="38"/>
      <c r="D10" s="279"/>
      <c r="E10" s="260"/>
      <c r="F10" s="279">
        <v>28</v>
      </c>
      <c r="G10" s="260"/>
      <c r="H10" s="38">
        <f>H9-F10</f>
        <v>383.5</v>
      </c>
      <c r="I10" s="7"/>
    </row>
    <row r="11" spans="1:15" ht="21" customHeight="1">
      <c r="A11" s="39" t="s">
        <v>434</v>
      </c>
      <c r="B11" s="38" t="s">
        <v>323</v>
      </c>
      <c r="C11" s="38"/>
      <c r="D11" s="279"/>
      <c r="E11" s="260"/>
      <c r="F11" s="279">
        <v>30</v>
      </c>
      <c r="G11" s="260"/>
      <c r="H11" s="38">
        <f>H10-F11</f>
        <v>353.5</v>
      </c>
      <c r="I11" s="7"/>
    </row>
    <row r="12" spans="1:15" ht="21" customHeight="1">
      <c r="A12" s="39" t="s">
        <v>472</v>
      </c>
      <c r="B12" s="38" t="s">
        <v>323</v>
      </c>
      <c r="C12" s="38"/>
      <c r="D12" s="279"/>
      <c r="E12" s="260"/>
      <c r="F12" s="279">
        <v>30</v>
      </c>
      <c r="G12" s="260"/>
      <c r="H12" s="38">
        <f>H11-F12</f>
        <v>323.5</v>
      </c>
      <c r="I12" s="7"/>
    </row>
    <row r="13" spans="1:15" ht="21" customHeight="1">
      <c r="A13" s="39" t="s">
        <v>473</v>
      </c>
      <c r="B13" s="38" t="s">
        <v>324</v>
      </c>
      <c r="C13" s="38">
        <v>1000</v>
      </c>
      <c r="D13" s="279" t="s">
        <v>776</v>
      </c>
      <c r="E13" s="260"/>
      <c r="F13" s="279"/>
      <c r="G13" s="260"/>
      <c r="H13" s="38">
        <v>1323.5</v>
      </c>
      <c r="I13" s="7" t="s">
        <v>777</v>
      </c>
    </row>
    <row r="14" spans="1:15" ht="21" customHeight="1">
      <c r="A14" s="39" t="s">
        <v>385</v>
      </c>
      <c r="B14" s="38" t="s">
        <v>323</v>
      </c>
      <c r="C14" s="38"/>
      <c r="D14" s="279"/>
      <c r="E14" s="260"/>
      <c r="F14" s="279">
        <v>3</v>
      </c>
      <c r="G14" s="260"/>
      <c r="H14" s="38">
        <f t="shared" ref="H14:H43" si="0">H13-F14</f>
        <v>1320.5</v>
      </c>
      <c r="I14" s="7"/>
    </row>
    <row r="15" spans="1:15" ht="21" customHeight="1">
      <c r="A15" s="39" t="s">
        <v>477</v>
      </c>
      <c r="B15" s="38" t="s">
        <v>323</v>
      </c>
      <c r="C15" s="38"/>
      <c r="D15" s="279"/>
      <c r="E15" s="260"/>
      <c r="F15" s="279">
        <v>30</v>
      </c>
      <c r="G15" s="260"/>
      <c r="H15" s="38">
        <f t="shared" si="0"/>
        <v>1290.5</v>
      </c>
      <c r="I15" s="7"/>
    </row>
    <row r="16" spans="1:15">
      <c r="A16" s="39" t="s">
        <v>386</v>
      </c>
      <c r="B16" s="38" t="s">
        <v>323</v>
      </c>
      <c r="C16" s="38"/>
      <c r="D16" s="279"/>
      <c r="E16" s="260"/>
      <c r="F16" s="279">
        <v>28</v>
      </c>
      <c r="G16" s="260"/>
      <c r="H16" s="38">
        <f t="shared" si="0"/>
        <v>1262.5</v>
      </c>
      <c r="I16" s="109" t="s">
        <v>608</v>
      </c>
    </row>
    <row r="17" spans="1:9" ht="21" customHeight="1">
      <c r="A17" s="39" t="s">
        <v>342</v>
      </c>
      <c r="B17" s="38" t="s">
        <v>323</v>
      </c>
      <c r="C17" s="38"/>
      <c r="D17" s="279"/>
      <c r="E17" s="260"/>
      <c r="F17" s="279">
        <v>56</v>
      </c>
      <c r="G17" s="260"/>
      <c r="H17" s="38">
        <f t="shared" si="0"/>
        <v>1206.5</v>
      </c>
      <c r="I17" s="7"/>
    </row>
    <row r="18" spans="1:9" ht="21" customHeight="1">
      <c r="A18" s="39" t="s">
        <v>527</v>
      </c>
      <c r="B18" s="38" t="s">
        <v>323</v>
      </c>
      <c r="C18" s="38"/>
      <c r="D18" s="279"/>
      <c r="E18" s="260"/>
      <c r="F18" s="279">
        <v>30</v>
      </c>
      <c r="G18" s="260"/>
      <c r="H18" s="38">
        <f t="shared" si="0"/>
        <v>1176.5</v>
      </c>
      <c r="I18" s="7"/>
    </row>
    <row r="19" spans="1:9" ht="21" customHeight="1">
      <c r="A19" s="39" t="s">
        <v>480</v>
      </c>
      <c r="B19" s="38" t="s">
        <v>323</v>
      </c>
      <c r="C19" s="38"/>
      <c r="D19" s="279"/>
      <c r="E19" s="260"/>
      <c r="F19" s="279">
        <v>3</v>
      </c>
      <c r="G19" s="260"/>
      <c r="H19" s="38">
        <f t="shared" si="0"/>
        <v>1173.5</v>
      </c>
      <c r="I19" s="7"/>
    </row>
    <row r="20" spans="1:9">
      <c r="A20" s="39" t="s">
        <v>483</v>
      </c>
      <c r="B20" s="38" t="s">
        <v>323</v>
      </c>
      <c r="C20" s="38"/>
      <c r="D20" s="279"/>
      <c r="E20" s="260"/>
      <c r="F20" s="279">
        <v>32.5</v>
      </c>
      <c r="G20" s="260"/>
      <c r="H20" s="38">
        <f t="shared" si="0"/>
        <v>1141</v>
      </c>
      <c r="I20" s="109" t="s">
        <v>778</v>
      </c>
    </row>
    <row r="21" spans="1:9" ht="21" customHeight="1">
      <c r="A21" s="39" t="s">
        <v>537</v>
      </c>
      <c r="B21" s="38" t="s">
        <v>323</v>
      </c>
      <c r="C21" s="38"/>
      <c r="D21" s="279"/>
      <c r="E21" s="260"/>
      <c r="F21" s="279">
        <v>56</v>
      </c>
      <c r="G21" s="260"/>
      <c r="H21" s="38">
        <f t="shared" si="0"/>
        <v>1085</v>
      </c>
      <c r="I21" s="7"/>
    </row>
    <row r="22" spans="1:9" ht="21" customHeight="1">
      <c r="A22" s="39" t="s">
        <v>351</v>
      </c>
      <c r="B22" s="38" t="s">
        <v>323</v>
      </c>
      <c r="C22" s="38"/>
      <c r="D22" s="279"/>
      <c r="E22" s="260"/>
      <c r="F22" s="279">
        <v>4.5</v>
      </c>
      <c r="G22" s="260"/>
      <c r="H22" s="38">
        <f t="shared" si="0"/>
        <v>1080.5</v>
      </c>
      <c r="I22" s="7"/>
    </row>
    <row r="23" spans="1:9" ht="21" customHeight="1">
      <c r="A23" s="39" t="s">
        <v>440</v>
      </c>
      <c r="B23" s="38" t="s">
        <v>323</v>
      </c>
      <c r="C23" s="38"/>
      <c r="D23" s="279"/>
      <c r="E23" s="260"/>
      <c r="F23" s="279">
        <v>4.5</v>
      </c>
      <c r="G23" s="260"/>
      <c r="H23" s="38">
        <f t="shared" si="0"/>
        <v>1076</v>
      </c>
      <c r="I23" s="7"/>
    </row>
    <row r="24" spans="1:9" ht="21" customHeight="1">
      <c r="A24" s="39" t="s">
        <v>579</v>
      </c>
      <c r="B24" s="38" t="s">
        <v>323</v>
      </c>
      <c r="C24" s="38"/>
      <c r="D24" s="279"/>
      <c r="E24" s="260"/>
      <c r="F24" s="279">
        <v>30</v>
      </c>
      <c r="G24" s="260"/>
      <c r="H24" s="38">
        <f t="shared" si="0"/>
        <v>1046</v>
      </c>
      <c r="I24" s="7"/>
    </row>
    <row r="25" spans="1:9" ht="21" customHeight="1">
      <c r="A25" s="39" t="s">
        <v>484</v>
      </c>
      <c r="B25" s="38" t="s">
        <v>323</v>
      </c>
      <c r="C25" s="38"/>
      <c r="D25" s="279"/>
      <c r="E25" s="260"/>
      <c r="F25" s="279">
        <v>30</v>
      </c>
      <c r="G25" s="260"/>
      <c r="H25" s="38">
        <f t="shared" si="0"/>
        <v>1016</v>
      </c>
      <c r="I25" s="7"/>
    </row>
    <row r="26" spans="1:9" ht="21" customHeight="1">
      <c r="A26" s="39" t="s">
        <v>486</v>
      </c>
      <c r="B26" s="38" t="s">
        <v>323</v>
      </c>
      <c r="C26" s="38"/>
      <c r="D26" s="279"/>
      <c r="E26" s="260"/>
      <c r="F26" s="279">
        <v>4.5</v>
      </c>
      <c r="G26" s="260"/>
      <c r="H26" s="38">
        <f t="shared" si="0"/>
        <v>1011.5</v>
      </c>
      <c r="I26" s="7"/>
    </row>
    <row r="27" spans="1:9" ht="21" customHeight="1">
      <c r="A27" s="39" t="s">
        <v>441</v>
      </c>
      <c r="B27" s="38" t="s">
        <v>323</v>
      </c>
      <c r="C27" s="38"/>
      <c r="D27" s="279"/>
      <c r="E27" s="260"/>
      <c r="F27" s="279">
        <v>3</v>
      </c>
      <c r="G27" s="260"/>
      <c r="H27" s="38">
        <f t="shared" si="0"/>
        <v>1008.5</v>
      </c>
      <c r="I27" s="7"/>
    </row>
    <row r="28" spans="1:9" ht="21" customHeight="1">
      <c r="A28" s="39" t="s">
        <v>489</v>
      </c>
      <c r="B28" s="38" t="s">
        <v>323</v>
      </c>
      <c r="C28" s="38"/>
      <c r="D28" s="279"/>
      <c r="E28" s="260"/>
      <c r="F28" s="279">
        <v>28</v>
      </c>
      <c r="G28" s="260"/>
      <c r="H28" s="38">
        <f t="shared" si="0"/>
        <v>980.5</v>
      </c>
      <c r="I28" s="7"/>
    </row>
    <row r="29" spans="1:9" ht="21" customHeight="1">
      <c r="A29" s="39" t="s">
        <v>541</v>
      </c>
      <c r="B29" s="38" t="s">
        <v>323</v>
      </c>
      <c r="C29" s="38"/>
      <c r="D29" s="279"/>
      <c r="E29" s="260"/>
      <c r="F29" s="279">
        <v>28</v>
      </c>
      <c r="G29" s="260"/>
      <c r="H29" s="38">
        <f t="shared" si="0"/>
        <v>952.5</v>
      </c>
      <c r="I29" s="7"/>
    </row>
    <row r="30" spans="1:9" ht="21" customHeight="1">
      <c r="A30" s="229" t="s">
        <v>444</v>
      </c>
      <c r="B30" s="38" t="s">
        <v>323</v>
      </c>
      <c r="C30" s="38"/>
      <c r="D30" s="279"/>
      <c r="E30" s="260"/>
      <c r="F30" s="279">
        <v>30</v>
      </c>
      <c r="G30" s="260"/>
      <c r="H30" s="38">
        <f t="shared" si="0"/>
        <v>922.5</v>
      </c>
      <c r="I30" s="7"/>
    </row>
    <row r="31" spans="1:9" ht="21" customHeight="1">
      <c r="A31" s="39" t="s">
        <v>446</v>
      </c>
      <c r="B31" s="38" t="s">
        <v>323</v>
      </c>
      <c r="C31" s="38"/>
      <c r="D31" s="279"/>
      <c r="E31" s="260"/>
      <c r="F31" s="279">
        <v>4.5</v>
      </c>
      <c r="G31" s="260"/>
      <c r="H31" s="38">
        <f t="shared" si="0"/>
        <v>918</v>
      </c>
      <c r="I31" s="7"/>
    </row>
    <row r="32" spans="1:9" ht="21" customHeight="1">
      <c r="A32" s="39" t="s">
        <v>357</v>
      </c>
      <c r="B32" s="38" t="s">
        <v>323</v>
      </c>
      <c r="C32" s="38"/>
      <c r="D32" s="279"/>
      <c r="E32" s="260"/>
      <c r="F32" s="279">
        <v>28</v>
      </c>
      <c r="G32" s="260"/>
      <c r="H32" s="38">
        <f t="shared" si="0"/>
        <v>890</v>
      </c>
      <c r="I32" s="7"/>
    </row>
    <row r="33" spans="1:9" ht="21" customHeight="1">
      <c r="A33" s="39" t="s">
        <v>583</v>
      </c>
      <c r="B33" s="38" t="s">
        <v>323</v>
      </c>
      <c r="C33" s="38"/>
      <c r="D33" s="279"/>
      <c r="E33" s="260"/>
      <c r="F33" s="279">
        <v>58</v>
      </c>
      <c r="G33" s="260"/>
      <c r="H33" s="38">
        <f t="shared" si="0"/>
        <v>832</v>
      </c>
      <c r="I33" s="7"/>
    </row>
    <row r="34" spans="1:9" ht="21" customHeight="1">
      <c r="A34" s="39" t="s">
        <v>658</v>
      </c>
      <c r="B34" s="38" t="s">
        <v>323</v>
      </c>
      <c r="C34" s="38"/>
      <c r="D34" s="279"/>
      <c r="E34" s="260"/>
      <c r="F34" s="279">
        <v>56</v>
      </c>
      <c r="G34" s="260"/>
      <c r="H34" s="38">
        <f t="shared" si="0"/>
        <v>776</v>
      </c>
      <c r="I34" s="7"/>
    </row>
    <row r="35" spans="1:9" ht="21" customHeight="1">
      <c r="A35" s="39" t="s">
        <v>395</v>
      </c>
      <c r="B35" s="38" t="s">
        <v>323</v>
      </c>
      <c r="C35" s="38"/>
      <c r="D35" s="279"/>
      <c r="E35" s="260"/>
      <c r="F35" s="279">
        <v>30</v>
      </c>
      <c r="G35" s="260"/>
      <c r="H35" s="38">
        <f t="shared" si="0"/>
        <v>746</v>
      </c>
      <c r="I35" s="7"/>
    </row>
    <row r="36" spans="1:9" ht="21" customHeight="1">
      <c r="A36" s="39" t="s">
        <v>396</v>
      </c>
      <c r="B36" s="38" t="s">
        <v>323</v>
      </c>
      <c r="C36" s="38"/>
      <c r="D36" s="279"/>
      <c r="E36" s="260"/>
      <c r="F36" s="279">
        <v>1.5</v>
      </c>
      <c r="G36" s="260"/>
      <c r="H36" s="38">
        <f t="shared" si="0"/>
        <v>744.5</v>
      </c>
      <c r="I36" s="7"/>
    </row>
    <row r="37" spans="1:9" ht="21" customHeight="1">
      <c r="A37" s="39" t="s">
        <v>360</v>
      </c>
      <c r="B37" s="38" t="s">
        <v>323</v>
      </c>
      <c r="C37" s="38"/>
      <c r="D37" s="279"/>
      <c r="E37" s="260"/>
      <c r="F37" s="279">
        <v>28</v>
      </c>
      <c r="G37" s="260"/>
      <c r="H37" s="38">
        <f t="shared" si="0"/>
        <v>716.5</v>
      </c>
      <c r="I37" s="7"/>
    </row>
    <row r="38" spans="1:9" ht="21" customHeight="1">
      <c r="A38" s="39" t="s">
        <v>362</v>
      </c>
      <c r="B38" s="38" t="s">
        <v>323</v>
      </c>
      <c r="C38" s="38"/>
      <c r="D38" s="279"/>
      <c r="E38" s="260"/>
      <c r="F38" s="279">
        <v>28</v>
      </c>
      <c r="G38" s="260"/>
      <c r="H38" s="38">
        <f t="shared" si="0"/>
        <v>688.5</v>
      </c>
      <c r="I38" s="7"/>
    </row>
    <row r="39" spans="1:9" ht="21" customHeight="1">
      <c r="A39" s="39" t="s">
        <v>552</v>
      </c>
      <c r="B39" s="38" t="s">
        <v>323</v>
      </c>
      <c r="C39" s="38"/>
      <c r="D39" s="279"/>
      <c r="E39" s="260"/>
      <c r="F39" s="279">
        <v>56</v>
      </c>
      <c r="G39" s="260"/>
      <c r="H39" s="38">
        <f t="shared" si="0"/>
        <v>632.5</v>
      </c>
      <c r="I39" s="7"/>
    </row>
    <row r="40" spans="1:9" ht="21" customHeight="1">
      <c r="A40" s="39" t="s">
        <v>399</v>
      </c>
      <c r="B40" s="38" t="s">
        <v>323</v>
      </c>
      <c r="C40" s="38"/>
      <c r="D40" s="279"/>
      <c r="E40" s="260"/>
      <c r="F40" s="279">
        <v>30</v>
      </c>
      <c r="G40" s="260"/>
      <c r="H40" s="38">
        <f t="shared" si="0"/>
        <v>602.5</v>
      </c>
      <c r="I40" s="7"/>
    </row>
    <row r="41" spans="1:9" ht="21" customHeight="1">
      <c r="A41" s="39" t="s">
        <v>508</v>
      </c>
      <c r="B41" s="38" t="s">
        <v>323</v>
      </c>
      <c r="C41" s="38"/>
      <c r="D41" s="279"/>
      <c r="E41" s="260"/>
      <c r="F41" s="279">
        <v>28</v>
      </c>
      <c r="G41" s="260"/>
      <c r="H41" s="38">
        <f t="shared" si="0"/>
        <v>574.5</v>
      </c>
      <c r="I41" s="7"/>
    </row>
    <row r="42" spans="1:9" ht="21" customHeight="1">
      <c r="A42" s="39" t="s">
        <v>512</v>
      </c>
      <c r="B42" s="38" t="s">
        <v>323</v>
      </c>
      <c r="C42" s="38"/>
      <c r="D42" s="279"/>
      <c r="E42" s="260"/>
      <c r="F42" s="279">
        <v>7</v>
      </c>
      <c r="G42" s="260"/>
      <c r="H42" s="38">
        <f t="shared" si="0"/>
        <v>567.5</v>
      </c>
      <c r="I42" s="7"/>
    </row>
    <row r="43" spans="1:9" ht="21" customHeight="1">
      <c r="A43" s="39" t="s">
        <v>369</v>
      </c>
      <c r="B43" s="38" t="s">
        <v>323</v>
      </c>
      <c r="C43" s="38"/>
      <c r="D43" s="279"/>
      <c r="E43" s="260"/>
      <c r="F43" s="279">
        <v>28</v>
      </c>
      <c r="G43" s="260"/>
      <c r="H43" s="38">
        <f t="shared" si="0"/>
        <v>539.5</v>
      </c>
      <c r="I43" s="7"/>
    </row>
    <row r="44" spans="1:9" ht="21" customHeight="1">
      <c r="A44" s="39"/>
      <c r="B44" s="38"/>
      <c r="C44" s="38"/>
      <c r="D44" s="279"/>
      <c r="E44" s="260"/>
      <c r="F44" s="279"/>
      <c r="G44" s="260"/>
      <c r="H44" s="38"/>
      <c r="I44" s="7"/>
    </row>
    <row r="45" spans="1:9" ht="21" customHeight="1">
      <c r="A45" s="39"/>
      <c r="B45" s="38"/>
      <c r="C45" s="38"/>
      <c r="D45" s="279"/>
      <c r="E45" s="260"/>
      <c r="F45" s="279"/>
      <c r="G45" s="260"/>
      <c r="H45" s="38"/>
      <c r="I45" s="7"/>
    </row>
    <row r="46" spans="1:9" ht="21" customHeight="1">
      <c r="A46" s="39"/>
      <c r="B46" s="38"/>
      <c r="C46" s="38"/>
      <c r="D46" s="279"/>
      <c r="E46" s="260"/>
      <c r="F46" s="279"/>
      <c r="G46" s="260"/>
      <c r="H46" s="38"/>
      <c r="I46" s="7"/>
    </row>
    <row r="47" spans="1:9" ht="21" customHeight="1">
      <c r="A47" s="39"/>
      <c r="B47" s="38"/>
      <c r="C47" s="38"/>
      <c r="D47" s="279"/>
      <c r="E47" s="260"/>
      <c r="F47" s="279"/>
      <c r="G47" s="260"/>
      <c r="H47" s="38"/>
      <c r="I47" s="7"/>
    </row>
    <row r="48" spans="1:9" ht="21" customHeight="1">
      <c r="A48" s="39"/>
      <c r="B48" s="38"/>
      <c r="C48" s="38"/>
      <c r="D48" s="279"/>
      <c r="E48" s="260"/>
      <c r="F48" s="279"/>
      <c r="G48" s="260"/>
      <c r="H48" s="38"/>
      <c r="I48" s="7"/>
    </row>
    <row r="49" spans="1:9" ht="21" customHeight="1">
      <c r="A49" s="39"/>
      <c r="B49" s="38"/>
      <c r="C49" s="38"/>
      <c r="D49" s="279"/>
      <c r="E49" s="260"/>
      <c r="F49" s="279"/>
      <c r="G49" s="260"/>
      <c r="H49" s="38"/>
      <c r="I49" s="7"/>
    </row>
    <row r="50" spans="1:9" ht="21" customHeight="1">
      <c r="A50" s="39"/>
      <c r="B50" s="38"/>
      <c r="C50" s="38"/>
      <c r="D50" s="279"/>
      <c r="E50" s="260"/>
      <c r="F50" s="279"/>
      <c r="G50" s="260"/>
      <c r="H50" s="38"/>
      <c r="I50" s="7"/>
    </row>
    <row r="51" spans="1:9" ht="21" customHeight="1">
      <c r="A51" s="39"/>
      <c r="B51" s="38"/>
      <c r="C51" s="38"/>
      <c r="D51" s="279"/>
      <c r="E51" s="260"/>
      <c r="F51" s="279"/>
      <c r="G51" s="260"/>
      <c r="H51" s="38"/>
      <c r="I51" s="7"/>
    </row>
    <row r="52" spans="1:9" ht="21" customHeight="1">
      <c r="A52" s="58"/>
      <c r="B52" s="38"/>
      <c r="C52" s="38"/>
      <c r="D52" s="279"/>
      <c r="E52" s="260"/>
      <c r="F52" s="279"/>
      <c r="G52" s="260"/>
      <c r="H52" s="38"/>
      <c r="I52" s="7"/>
    </row>
    <row r="53" spans="1:9" ht="21" customHeight="1">
      <c r="A53" s="39"/>
      <c r="B53" s="38"/>
      <c r="C53" s="38"/>
      <c r="D53" s="279"/>
      <c r="E53" s="260"/>
      <c r="F53" s="279"/>
      <c r="G53" s="260"/>
      <c r="H53" s="38"/>
      <c r="I53" s="7"/>
    </row>
    <row r="54" spans="1:9" ht="21" customHeight="1">
      <c r="A54" s="39"/>
      <c r="B54" s="38"/>
      <c r="C54" s="38"/>
      <c r="D54" s="279"/>
      <c r="E54" s="260"/>
      <c r="F54" s="279"/>
      <c r="G54" s="260"/>
      <c r="H54" s="38"/>
      <c r="I54" s="7"/>
    </row>
    <row r="55" spans="1:9" ht="21" customHeight="1">
      <c r="A55" s="39"/>
      <c r="B55" s="38"/>
      <c r="C55" s="38"/>
      <c r="D55" s="279"/>
      <c r="E55" s="260"/>
      <c r="F55" s="279"/>
      <c r="G55" s="260"/>
      <c r="H55" s="38"/>
      <c r="I55" s="7"/>
    </row>
    <row r="56" spans="1:9" ht="21" customHeight="1">
      <c r="A56" s="39"/>
      <c r="B56" s="38"/>
      <c r="C56" s="38"/>
      <c r="D56" s="279"/>
      <c r="E56" s="260"/>
      <c r="F56" s="279"/>
      <c r="G56" s="260"/>
      <c r="H56" s="38"/>
      <c r="I56" s="7"/>
    </row>
    <row r="57" spans="1:9" ht="21" customHeight="1">
      <c r="A57" s="39"/>
      <c r="B57" s="38"/>
      <c r="C57" s="38"/>
      <c r="D57" s="279"/>
      <c r="E57" s="260"/>
      <c r="F57" s="279"/>
      <c r="G57" s="260"/>
      <c r="H57" s="38"/>
      <c r="I57" s="7"/>
    </row>
    <row r="58" spans="1:9" ht="21" customHeight="1">
      <c r="A58" s="39"/>
      <c r="B58" s="38"/>
      <c r="C58" s="38"/>
      <c r="D58" s="279"/>
      <c r="E58" s="260"/>
      <c r="F58" s="279"/>
      <c r="G58" s="260"/>
      <c r="H58" s="38"/>
      <c r="I58" s="7"/>
    </row>
    <row r="59" spans="1:9" ht="21" customHeight="1">
      <c r="A59" s="39"/>
      <c r="B59" s="38"/>
      <c r="C59" s="38"/>
      <c r="D59" s="279"/>
      <c r="E59" s="260"/>
      <c r="F59" s="279"/>
      <c r="G59" s="260"/>
      <c r="H59" s="38"/>
      <c r="I59" s="7"/>
    </row>
    <row r="60" spans="1:9" ht="21" customHeight="1">
      <c r="A60" s="39"/>
      <c r="B60" s="38"/>
      <c r="C60" s="38"/>
      <c r="D60" s="279"/>
      <c r="E60" s="260"/>
      <c r="F60" s="279"/>
      <c r="G60" s="260"/>
      <c r="H60" s="38"/>
      <c r="I60" s="7"/>
    </row>
    <row r="61" spans="1:9" ht="21" customHeight="1">
      <c r="A61" s="39"/>
      <c r="B61" s="38"/>
      <c r="C61" s="38"/>
      <c r="D61" s="279"/>
      <c r="E61" s="260"/>
      <c r="F61" s="279"/>
      <c r="G61" s="260"/>
      <c r="H61" s="38"/>
      <c r="I61" s="7"/>
    </row>
    <row r="62" spans="1:9" ht="21" customHeight="1">
      <c r="A62" s="39"/>
      <c r="B62" s="38"/>
      <c r="C62" s="38"/>
      <c r="D62" s="279"/>
      <c r="E62" s="260"/>
      <c r="F62" s="279"/>
      <c r="G62" s="260"/>
      <c r="H62" s="38"/>
      <c r="I62" s="7"/>
    </row>
    <row r="63" spans="1:9" ht="21" customHeight="1">
      <c r="A63" s="39"/>
      <c r="B63" s="38"/>
      <c r="C63" s="38"/>
      <c r="D63" s="279"/>
      <c r="E63" s="260"/>
      <c r="F63" s="279"/>
      <c r="G63" s="260"/>
      <c r="H63" s="38"/>
      <c r="I63" s="7"/>
    </row>
    <row r="64" spans="1:9" ht="21" customHeight="1">
      <c r="A64" s="39"/>
      <c r="B64" s="38"/>
      <c r="C64" s="38"/>
      <c r="D64" s="279"/>
      <c r="E64" s="260"/>
      <c r="F64" s="279"/>
      <c r="G64" s="260"/>
      <c r="H64" s="38"/>
      <c r="I64" s="7"/>
    </row>
    <row r="65" spans="1:9" ht="21" customHeight="1">
      <c r="A65" s="39"/>
      <c r="B65" s="38"/>
      <c r="C65" s="38"/>
      <c r="D65" s="279"/>
      <c r="E65" s="260"/>
      <c r="F65" s="279"/>
      <c r="G65" s="260"/>
      <c r="H65" s="38"/>
      <c r="I65" s="7"/>
    </row>
    <row r="66" spans="1:9" ht="21" customHeight="1">
      <c r="A66" s="39"/>
      <c r="B66" s="38"/>
      <c r="C66" s="38"/>
      <c r="D66" s="279"/>
      <c r="E66" s="260"/>
      <c r="F66" s="279"/>
      <c r="G66" s="260"/>
      <c r="H66" s="38"/>
      <c r="I66" s="7"/>
    </row>
    <row r="67" spans="1:9" ht="21" customHeight="1">
      <c r="A67" s="39"/>
      <c r="B67" s="38"/>
      <c r="C67" s="38"/>
      <c r="D67" s="279"/>
      <c r="E67" s="260"/>
      <c r="F67" s="279"/>
      <c r="G67" s="260"/>
      <c r="H67" s="38"/>
      <c r="I67" s="7"/>
    </row>
    <row r="68" spans="1:9" ht="21" customHeight="1">
      <c r="A68" s="39"/>
      <c r="B68" s="38"/>
      <c r="C68" s="38"/>
      <c r="D68" s="279"/>
      <c r="E68" s="260"/>
      <c r="F68" s="279"/>
      <c r="G68" s="260"/>
      <c r="H68" s="38"/>
      <c r="I68" s="7"/>
    </row>
    <row r="69" spans="1:9" ht="21" customHeight="1">
      <c r="A69" s="39"/>
      <c r="B69" s="38"/>
      <c r="C69" s="38"/>
      <c r="D69" s="279"/>
      <c r="E69" s="260"/>
      <c r="F69" s="279"/>
      <c r="G69" s="260"/>
      <c r="H69" s="38"/>
      <c r="I69" s="7"/>
    </row>
    <row r="70" spans="1:9" ht="21" customHeight="1">
      <c r="A70" s="39"/>
      <c r="B70" s="38"/>
      <c r="C70" s="38"/>
      <c r="D70" s="279"/>
      <c r="E70" s="260"/>
      <c r="F70" s="279"/>
      <c r="G70" s="260"/>
      <c r="H70" s="38"/>
      <c r="I70" s="7"/>
    </row>
    <row r="71" spans="1:9" ht="21" customHeight="1">
      <c r="A71" s="39"/>
      <c r="B71" s="38"/>
      <c r="C71" s="38"/>
      <c r="D71" s="279"/>
      <c r="E71" s="260"/>
      <c r="F71" s="279"/>
      <c r="G71" s="260"/>
      <c r="H71" s="38"/>
      <c r="I71" s="7"/>
    </row>
    <row r="72" spans="1:9" ht="21" customHeight="1">
      <c r="A72" s="39"/>
      <c r="B72" s="38"/>
      <c r="C72" s="38"/>
      <c r="D72" s="279"/>
      <c r="E72" s="260"/>
      <c r="F72" s="279"/>
      <c r="G72" s="260"/>
      <c r="H72" s="38"/>
      <c r="I72" s="7"/>
    </row>
    <row r="73" spans="1:9" ht="21" customHeight="1">
      <c r="A73" s="39"/>
      <c r="B73" s="38"/>
      <c r="C73" s="38"/>
      <c r="D73" s="279"/>
      <c r="E73" s="260"/>
      <c r="F73" s="279"/>
      <c r="G73" s="260"/>
      <c r="H73" s="38"/>
      <c r="I73" s="7"/>
    </row>
    <row r="74" spans="1:9" ht="21" customHeight="1">
      <c r="A74" s="39"/>
      <c r="B74" s="38"/>
      <c r="C74" s="38"/>
      <c r="D74" s="279"/>
      <c r="E74" s="260"/>
      <c r="F74" s="279"/>
      <c r="G74" s="260"/>
      <c r="H74" s="38"/>
      <c r="I74" s="7"/>
    </row>
    <row r="75" spans="1:9" ht="21" customHeight="1">
      <c r="A75" s="39"/>
      <c r="B75" s="38"/>
      <c r="C75" s="38"/>
      <c r="D75" s="279"/>
      <c r="E75" s="260"/>
      <c r="F75" s="279"/>
      <c r="G75" s="260"/>
      <c r="H75" s="38"/>
      <c r="I75" s="7"/>
    </row>
    <row r="76" spans="1:9" ht="21" customHeight="1">
      <c r="A76" s="39"/>
      <c r="B76" s="38"/>
      <c r="C76" s="38"/>
      <c r="D76" s="279"/>
      <c r="E76" s="260"/>
      <c r="F76" s="279"/>
      <c r="G76" s="260"/>
      <c r="H76" s="38"/>
      <c r="I76" s="7"/>
    </row>
    <row r="77" spans="1:9" ht="21" customHeight="1">
      <c r="A77" s="39"/>
      <c r="B77" s="38"/>
      <c r="C77" s="38"/>
      <c r="D77" s="279"/>
      <c r="E77" s="260"/>
      <c r="F77" s="279"/>
      <c r="G77" s="260"/>
      <c r="H77" s="38"/>
      <c r="I77" s="7"/>
    </row>
    <row r="78" spans="1:9" ht="21" customHeight="1">
      <c r="A78" s="39"/>
      <c r="B78" s="38"/>
      <c r="C78" s="38"/>
      <c r="D78" s="279"/>
      <c r="E78" s="260"/>
      <c r="F78" s="279"/>
      <c r="G78" s="260"/>
      <c r="H78" s="38"/>
      <c r="I78" s="7"/>
    </row>
    <row r="79" spans="1:9" ht="21" customHeight="1">
      <c r="A79" s="39"/>
      <c r="B79" s="38"/>
      <c r="C79" s="38"/>
      <c r="D79" s="279"/>
      <c r="E79" s="260"/>
      <c r="F79" s="279"/>
      <c r="G79" s="260"/>
      <c r="H79" s="38"/>
      <c r="I79" s="7"/>
    </row>
    <row r="80" spans="1:9" ht="21" customHeight="1">
      <c r="A80" s="39"/>
      <c r="B80" s="38"/>
      <c r="C80" s="38"/>
      <c r="D80" s="279"/>
      <c r="E80" s="260"/>
      <c r="F80" s="279"/>
      <c r="G80" s="260"/>
      <c r="H80" s="38"/>
      <c r="I80" s="7"/>
    </row>
    <row r="81" spans="1:9" ht="21" customHeight="1">
      <c r="A81" s="39"/>
      <c r="B81" s="38"/>
      <c r="C81" s="38"/>
      <c r="D81" s="279"/>
      <c r="E81" s="260"/>
      <c r="F81" s="279"/>
      <c r="G81" s="260"/>
      <c r="H81" s="38"/>
      <c r="I81" s="7"/>
    </row>
    <row r="82" spans="1:9" ht="21" customHeight="1">
      <c r="A82" s="39"/>
      <c r="B82" s="38"/>
      <c r="C82" s="38"/>
      <c r="D82" s="279"/>
      <c r="E82" s="260"/>
      <c r="F82" s="279"/>
      <c r="G82" s="260"/>
      <c r="H82" s="38"/>
      <c r="I82" s="7"/>
    </row>
    <row r="83" spans="1:9" ht="21" customHeight="1">
      <c r="A83" s="39"/>
      <c r="B83" s="38"/>
      <c r="C83" s="38"/>
      <c r="D83" s="279"/>
      <c r="E83" s="260"/>
      <c r="F83" s="279"/>
      <c r="G83" s="260"/>
      <c r="H83" s="38"/>
      <c r="I83" s="7"/>
    </row>
    <row r="84" spans="1:9" ht="21" customHeight="1">
      <c r="A84" s="39"/>
      <c r="B84" s="38"/>
      <c r="C84" s="38"/>
      <c r="D84" s="279"/>
      <c r="E84" s="260"/>
      <c r="F84" s="279"/>
      <c r="G84" s="260"/>
      <c r="H84" s="38"/>
      <c r="I84" s="7"/>
    </row>
    <row r="85" spans="1:9" ht="21" customHeight="1">
      <c r="A85" s="39"/>
      <c r="B85" s="38"/>
      <c r="C85" s="38"/>
      <c r="D85" s="279"/>
      <c r="E85" s="260"/>
      <c r="F85" s="279"/>
      <c r="G85" s="260"/>
      <c r="H85" s="38"/>
      <c r="I85" s="7"/>
    </row>
    <row r="86" spans="1:9" ht="21" customHeight="1">
      <c r="A86" s="39"/>
      <c r="B86" s="38"/>
      <c r="C86" s="38"/>
      <c r="D86" s="279"/>
      <c r="E86" s="260"/>
      <c r="F86" s="279"/>
      <c r="G86" s="260"/>
      <c r="H86" s="38"/>
      <c r="I86" s="7"/>
    </row>
    <row r="87" spans="1:9" ht="21" customHeight="1">
      <c r="A87" s="39"/>
      <c r="B87" s="38"/>
      <c r="C87" s="38"/>
      <c r="D87" s="279"/>
      <c r="E87" s="260"/>
      <c r="F87" s="279"/>
      <c r="G87" s="260"/>
      <c r="H87" s="38"/>
      <c r="I87" s="7"/>
    </row>
    <row r="88" spans="1:9" ht="21" customHeight="1">
      <c r="A88" s="39"/>
      <c r="B88" s="38"/>
      <c r="C88" s="38"/>
      <c r="D88" s="279"/>
      <c r="E88" s="260"/>
      <c r="F88" s="279"/>
      <c r="G88" s="260"/>
      <c r="H88" s="38"/>
      <c r="I88" s="7"/>
    </row>
    <row r="89" spans="1:9" ht="21" customHeight="1">
      <c r="A89" s="39"/>
      <c r="B89" s="38"/>
      <c r="C89" s="38"/>
      <c r="D89" s="279"/>
      <c r="E89" s="260"/>
      <c r="F89" s="279"/>
      <c r="G89" s="260"/>
      <c r="H89" s="38"/>
      <c r="I89" s="7"/>
    </row>
    <row r="90" spans="1:9" ht="21" customHeight="1">
      <c r="A90" s="39"/>
      <c r="B90" s="38"/>
      <c r="C90" s="38"/>
      <c r="D90" s="279"/>
      <c r="E90" s="260"/>
      <c r="F90" s="279"/>
      <c r="G90" s="260"/>
      <c r="H90" s="38"/>
      <c r="I90" s="7"/>
    </row>
    <row r="91" spans="1:9" ht="21" customHeight="1">
      <c r="A91" s="39"/>
      <c r="B91" s="38"/>
      <c r="C91" s="38"/>
      <c r="D91" s="279"/>
      <c r="E91" s="260"/>
      <c r="F91" s="279"/>
      <c r="G91" s="260"/>
      <c r="H91" s="38"/>
      <c r="I91" s="7"/>
    </row>
    <row r="92" spans="1:9" ht="21" customHeight="1">
      <c r="A92" s="39"/>
      <c r="B92" s="38"/>
      <c r="C92" s="38"/>
      <c r="D92" s="279"/>
      <c r="E92" s="260"/>
      <c r="F92" s="279"/>
      <c r="G92" s="260"/>
      <c r="H92" s="38"/>
      <c r="I92" s="7"/>
    </row>
    <row r="93" spans="1:9" ht="21" customHeight="1">
      <c r="A93" s="39"/>
      <c r="B93" s="38"/>
      <c r="C93" s="38"/>
      <c r="D93" s="279"/>
      <c r="E93" s="260"/>
      <c r="F93" s="279"/>
      <c r="G93" s="260"/>
      <c r="H93" s="38"/>
      <c r="I93" s="7"/>
    </row>
    <row r="94" spans="1:9" ht="21" customHeight="1">
      <c r="A94" s="39"/>
      <c r="B94" s="38"/>
      <c r="C94" s="38"/>
      <c r="D94" s="279"/>
      <c r="E94" s="260"/>
      <c r="F94" s="279"/>
      <c r="G94" s="260"/>
      <c r="H94" s="38"/>
      <c r="I94" s="7"/>
    </row>
    <row r="95" spans="1:9" ht="21" customHeight="1">
      <c r="A95" s="39"/>
      <c r="B95" s="38"/>
      <c r="C95" s="38"/>
      <c r="D95" s="279"/>
      <c r="E95" s="260"/>
      <c r="F95" s="279"/>
      <c r="G95" s="260"/>
      <c r="H95" s="38"/>
      <c r="I95" s="7"/>
    </row>
    <row r="96" spans="1:9" ht="21" customHeight="1">
      <c r="A96" s="39"/>
      <c r="B96" s="38"/>
      <c r="C96" s="38"/>
      <c r="D96" s="279"/>
      <c r="E96" s="260"/>
      <c r="F96" s="279"/>
      <c r="G96" s="260"/>
      <c r="H96" s="38"/>
      <c r="I96" s="7"/>
    </row>
    <row r="97" spans="1:9" ht="21" customHeight="1">
      <c r="A97" s="39"/>
      <c r="B97" s="38"/>
      <c r="C97" s="38"/>
      <c r="D97" s="279"/>
      <c r="E97" s="260"/>
      <c r="F97" s="279"/>
      <c r="G97" s="260"/>
      <c r="H97" s="38"/>
      <c r="I97" s="7"/>
    </row>
    <row r="98" spans="1:9" ht="21" customHeight="1">
      <c r="A98" s="39"/>
      <c r="B98" s="38"/>
      <c r="C98" s="38"/>
      <c r="D98" s="279"/>
      <c r="E98" s="260"/>
      <c r="F98" s="279"/>
      <c r="G98" s="260"/>
      <c r="H98" s="38"/>
      <c r="I98" s="7"/>
    </row>
    <row r="99" spans="1:9" ht="21" customHeight="1">
      <c r="A99" s="39"/>
      <c r="B99" s="38"/>
      <c r="C99" s="38"/>
      <c r="D99" s="279"/>
      <c r="E99" s="260"/>
      <c r="F99" s="279"/>
      <c r="G99" s="260"/>
      <c r="H99" s="38"/>
      <c r="I99" s="7"/>
    </row>
    <row r="100" spans="1:9" ht="21" customHeight="1">
      <c r="A100" s="39"/>
      <c r="B100" s="38"/>
      <c r="C100" s="38"/>
      <c r="D100" s="279"/>
      <c r="E100" s="260"/>
      <c r="F100" s="279"/>
      <c r="G100" s="260"/>
      <c r="H100" s="38"/>
      <c r="I100" s="7"/>
    </row>
    <row r="101" spans="1:9" ht="21" customHeight="1">
      <c r="A101" s="39"/>
      <c r="B101" s="38"/>
      <c r="C101" s="38"/>
      <c r="D101" s="279"/>
      <c r="E101" s="260"/>
      <c r="F101" s="279"/>
      <c r="G101" s="260"/>
      <c r="H101" s="38"/>
      <c r="I101" s="7"/>
    </row>
    <row r="102" spans="1:9" ht="21" customHeight="1">
      <c r="A102" s="39"/>
      <c r="B102" s="38"/>
      <c r="C102" s="38"/>
      <c r="D102" s="279"/>
      <c r="E102" s="260"/>
      <c r="F102" s="279"/>
      <c r="G102" s="260"/>
      <c r="H102" s="38"/>
      <c r="I102" s="7"/>
    </row>
    <row r="103" spans="1:9" ht="21" customHeight="1">
      <c r="A103" s="39"/>
      <c r="B103" s="38"/>
      <c r="C103" s="38"/>
      <c r="D103" s="279"/>
      <c r="E103" s="260"/>
      <c r="F103" s="279"/>
      <c r="G103" s="260"/>
      <c r="H103" s="38"/>
      <c r="I103" s="7"/>
    </row>
    <row r="104" spans="1:9" ht="21" customHeight="1">
      <c r="A104" s="39"/>
      <c r="B104" s="38"/>
      <c r="C104" s="38"/>
      <c r="D104" s="279"/>
      <c r="E104" s="260"/>
      <c r="F104" s="279"/>
      <c r="G104" s="260"/>
      <c r="H104" s="38"/>
      <c r="I104" s="7"/>
    </row>
    <row r="105" spans="1:9" ht="21" customHeight="1">
      <c r="A105" s="39"/>
      <c r="B105" s="38"/>
      <c r="C105" s="38"/>
      <c r="D105" s="279"/>
      <c r="E105" s="260"/>
      <c r="F105" s="279"/>
      <c r="G105" s="260"/>
      <c r="H105" s="38"/>
      <c r="I105" s="7"/>
    </row>
    <row r="106" spans="1:9" ht="21" customHeight="1">
      <c r="A106" s="39"/>
      <c r="B106" s="38"/>
      <c r="C106" s="38"/>
      <c r="D106" s="279"/>
      <c r="E106" s="260"/>
      <c r="F106" s="279"/>
      <c r="G106" s="260"/>
      <c r="H106" s="38"/>
      <c r="I106" s="7"/>
    </row>
    <row r="107" spans="1:9" ht="21" customHeight="1">
      <c r="A107" s="39"/>
      <c r="B107" s="38"/>
      <c r="C107" s="38"/>
      <c r="D107" s="279"/>
      <c r="E107" s="260"/>
      <c r="F107" s="279"/>
      <c r="G107" s="260"/>
      <c r="H107" s="38"/>
      <c r="I107" s="7"/>
    </row>
    <row r="108" spans="1:9" ht="21" customHeight="1">
      <c r="A108" s="39"/>
      <c r="B108" s="38"/>
      <c r="C108" s="38"/>
      <c r="D108" s="279"/>
      <c r="E108" s="260"/>
      <c r="F108" s="279"/>
      <c r="G108" s="260"/>
      <c r="H108" s="38"/>
      <c r="I108" s="7"/>
    </row>
    <row r="109" spans="1:9" ht="21" customHeight="1">
      <c r="A109" s="39"/>
      <c r="B109" s="38"/>
      <c r="C109" s="38"/>
      <c r="D109" s="279"/>
      <c r="E109" s="260"/>
      <c r="F109" s="279"/>
      <c r="G109" s="260"/>
      <c r="H109" s="38"/>
      <c r="I109" s="7"/>
    </row>
    <row r="110" spans="1:9" ht="21" customHeight="1">
      <c r="A110" s="39"/>
      <c r="B110" s="38"/>
      <c r="C110" s="38"/>
      <c r="D110" s="279"/>
      <c r="E110" s="260"/>
      <c r="F110" s="279"/>
      <c r="G110" s="260"/>
      <c r="H110" s="38"/>
      <c r="I110" s="7"/>
    </row>
    <row r="111" spans="1:9" ht="21" customHeight="1">
      <c r="A111" s="39"/>
      <c r="B111" s="38"/>
      <c r="C111" s="38"/>
      <c r="D111" s="279"/>
      <c r="E111" s="260"/>
      <c r="F111" s="279"/>
      <c r="G111" s="260"/>
      <c r="H111" s="38"/>
      <c r="I111" s="7"/>
    </row>
    <row r="112" spans="1:9" ht="21" customHeight="1">
      <c r="A112" s="39"/>
      <c r="B112" s="38"/>
      <c r="C112" s="38"/>
      <c r="D112" s="279"/>
      <c r="E112" s="260"/>
      <c r="F112" s="279"/>
      <c r="G112" s="260"/>
      <c r="H112" s="38"/>
      <c r="I112" s="7"/>
    </row>
    <row r="113" spans="1:9" ht="21" customHeight="1">
      <c r="A113" s="39"/>
      <c r="B113" s="38"/>
      <c r="C113" s="38"/>
      <c r="D113" s="279"/>
      <c r="E113" s="260"/>
      <c r="F113" s="279"/>
      <c r="G113" s="260"/>
      <c r="H113" s="38"/>
      <c r="I113" s="7"/>
    </row>
    <row r="114" spans="1:9" ht="21" customHeight="1">
      <c r="A114" s="39"/>
      <c r="B114" s="38"/>
      <c r="C114" s="38"/>
      <c r="D114" s="279"/>
      <c r="E114" s="260"/>
      <c r="F114" s="279"/>
      <c r="G114" s="260"/>
      <c r="H114" s="38"/>
      <c r="I114" s="7"/>
    </row>
    <row r="115" spans="1:9" ht="21" customHeight="1">
      <c r="A115" s="39"/>
      <c r="B115" s="38"/>
      <c r="C115" s="38"/>
      <c r="D115" s="279"/>
      <c r="E115" s="260"/>
      <c r="F115" s="279"/>
      <c r="G115" s="260"/>
      <c r="H115" s="38"/>
      <c r="I115" s="7"/>
    </row>
    <row r="116" spans="1:9" ht="21" customHeight="1">
      <c r="A116" s="39"/>
      <c r="B116" s="38"/>
      <c r="C116" s="38"/>
      <c r="D116" s="279"/>
      <c r="E116" s="260"/>
      <c r="F116" s="279"/>
      <c r="G116" s="260"/>
      <c r="H116" s="38"/>
      <c r="I116" s="7"/>
    </row>
    <row r="117" spans="1:9" ht="21" customHeight="1">
      <c r="A117" s="39"/>
      <c r="B117" s="38"/>
      <c r="C117" s="38"/>
      <c r="D117" s="279"/>
      <c r="E117" s="260"/>
      <c r="F117" s="279"/>
      <c r="G117" s="260"/>
      <c r="H117" s="38"/>
      <c r="I117" s="7"/>
    </row>
    <row r="118" spans="1:9" ht="21" customHeight="1">
      <c r="A118" s="39"/>
      <c r="B118" s="38"/>
      <c r="C118" s="38"/>
      <c r="D118" s="279"/>
      <c r="E118" s="260"/>
      <c r="F118" s="279"/>
      <c r="G118" s="260"/>
      <c r="H118" s="38"/>
      <c r="I118" s="7"/>
    </row>
    <row r="119" spans="1:9" ht="21" customHeight="1">
      <c r="A119" s="39"/>
      <c r="B119" s="38"/>
      <c r="C119" s="38"/>
      <c r="D119" s="279"/>
      <c r="E119" s="260"/>
      <c r="F119" s="279"/>
      <c r="G119" s="260"/>
      <c r="H119" s="38"/>
      <c r="I119" s="7"/>
    </row>
    <row r="120" spans="1:9" ht="21" customHeight="1">
      <c r="A120" s="39"/>
      <c r="B120" s="38"/>
      <c r="C120" s="38"/>
      <c r="D120" s="279"/>
      <c r="E120" s="260"/>
      <c r="F120" s="279"/>
      <c r="G120" s="260"/>
      <c r="H120" s="38"/>
      <c r="I120" s="7"/>
    </row>
  </sheetData>
  <mergeCells count="240">
    <mergeCell ref="B3:D3"/>
    <mergeCell ref="D74:E74"/>
    <mergeCell ref="D68:E68"/>
    <mergeCell ref="D42:E42"/>
    <mergeCell ref="D82:E82"/>
    <mergeCell ref="F82:G82"/>
    <mergeCell ref="F60:G60"/>
    <mergeCell ref="D50:E50"/>
    <mergeCell ref="D110:E110"/>
    <mergeCell ref="D44:E44"/>
    <mergeCell ref="D59:E59"/>
    <mergeCell ref="F53:G53"/>
    <mergeCell ref="B2:I2"/>
    <mergeCell ref="F51:G51"/>
    <mergeCell ref="F104:G104"/>
    <mergeCell ref="F113:G113"/>
    <mergeCell ref="D32:E32"/>
    <mergeCell ref="F32:G32"/>
    <mergeCell ref="D41:E41"/>
    <mergeCell ref="D97:E97"/>
    <mergeCell ref="F26:G26"/>
    <mergeCell ref="F41:G41"/>
    <mergeCell ref="F97:G97"/>
    <mergeCell ref="F35:G35"/>
    <mergeCell ref="F106:G106"/>
    <mergeCell ref="D16:E16"/>
    <mergeCell ref="D87:E87"/>
    <mergeCell ref="F38:G38"/>
    <mergeCell ref="D43:E43"/>
    <mergeCell ref="F90:G90"/>
    <mergeCell ref="E3:G3"/>
    <mergeCell ref="D18:E18"/>
    <mergeCell ref="D58:E58"/>
    <mergeCell ref="F27:G27"/>
    <mergeCell ref="F58:G58"/>
    <mergeCell ref="F52:G52"/>
    <mergeCell ref="H4:I4"/>
    <mergeCell ref="D40:E40"/>
    <mergeCell ref="D80:E80"/>
    <mergeCell ref="F40:G40"/>
    <mergeCell ref="D111:E111"/>
    <mergeCell ref="D21:E21"/>
    <mergeCell ref="F59:G59"/>
    <mergeCell ref="F55:G55"/>
    <mergeCell ref="F12:G12"/>
    <mergeCell ref="F24:G24"/>
    <mergeCell ref="D95:E95"/>
    <mergeCell ref="F95:G95"/>
    <mergeCell ref="D104:E104"/>
    <mergeCell ref="D57:E57"/>
    <mergeCell ref="F67:G67"/>
    <mergeCell ref="D8:E8"/>
    <mergeCell ref="F37:G37"/>
    <mergeCell ref="F119:G119"/>
    <mergeCell ref="D69:E69"/>
    <mergeCell ref="F11:G11"/>
    <mergeCell ref="F69:G69"/>
    <mergeCell ref="D109:E109"/>
    <mergeCell ref="F78:G78"/>
    <mergeCell ref="F112:G112"/>
    <mergeCell ref="F65:G65"/>
    <mergeCell ref="D119:E119"/>
    <mergeCell ref="D46:E46"/>
    <mergeCell ref="D120:E120"/>
    <mergeCell ref="D27:E27"/>
    <mergeCell ref="F114:G114"/>
    <mergeCell ref="D107:E107"/>
    <mergeCell ref="F36:G36"/>
    <mergeCell ref="F50:G50"/>
    <mergeCell ref="D116:E116"/>
    <mergeCell ref="F101:G101"/>
    <mergeCell ref="D17:E17"/>
    <mergeCell ref="F110:G110"/>
    <mergeCell ref="D91:E91"/>
    <mergeCell ref="F91:G91"/>
    <mergeCell ref="F100:G100"/>
    <mergeCell ref="D106:E106"/>
    <mergeCell ref="D28:E28"/>
    <mergeCell ref="D93:E93"/>
    <mergeCell ref="F22:G22"/>
    <mergeCell ref="F115:G115"/>
    <mergeCell ref="F93:G93"/>
    <mergeCell ref="D102:E102"/>
    <mergeCell ref="F102:G102"/>
    <mergeCell ref="D25:E25"/>
    <mergeCell ref="D83:E83"/>
    <mergeCell ref="F77:G77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F8:G8"/>
    <mergeCell ref="A5:B5"/>
    <mergeCell ref="D12:E12"/>
    <mergeCell ref="D55:E55"/>
    <mergeCell ref="D30:E30"/>
    <mergeCell ref="D67:E67"/>
    <mergeCell ref="F49:G49"/>
    <mergeCell ref="D14:E14"/>
    <mergeCell ref="F28:G28"/>
    <mergeCell ref="F111:G111"/>
    <mergeCell ref="D9:E9"/>
    <mergeCell ref="D118:E118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D105:E105"/>
    <mergeCell ref="D117:E117"/>
    <mergeCell ref="D92:E92"/>
    <mergeCell ref="F92:G92"/>
    <mergeCell ref="F117:G117"/>
    <mergeCell ref="E4:G4"/>
    <mergeCell ref="F14:G14"/>
    <mergeCell ref="D54:E54"/>
    <mergeCell ref="D85:E85"/>
    <mergeCell ref="D94:E94"/>
    <mergeCell ref="F75:G75"/>
    <mergeCell ref="D47:E47"/>
    <mergeCell ref="F109:G109"/>
    <mergeCell ref="F47:G47"/>
    <mergeCell ref="F62:G62"/>
    <mergeCell ref="D103:E103"/>
    <mergeCell ref="D37:E37"/>
    <mergeCell ref="F31:G31"/>
    <mergeCell ref="F46:G46"/>
    <mergeCell ref="F120:G120"/>
    <mergeCell ref="D73:E73"/>
    <mergeCell ref="D51:E51"/>
    <mergeCell ref="F98:G98"/>
    <mergeCell ref="D113:E113"/>
    <mergeCell ref="F107:G107"/>
    <mergeCell ref="D88:E88"/>
    <mergeCell ref="D26:E26"/>
    <mergeCell ref="F88:G88"/>
    <mergeCell ref="F57:G57"/>
    <mergeCell ref="D35:E35"/>
    <mergeCell ref="D115:E115"/>
    <mergeCell ref="F54:G54"/>
    <mergeCell ref="D34:E34"/>
    <mergeCell ref="D90:E90"/>
    <mergeCell ref="F34:G34"/>
    <mergeCell ref="D99:E99"/>
    <mergeCell ref="F63:G63"/>
    <mergeCell ref="F99:G99"/>
    <mergeCell ref="F74:G74"/>
    <mergeCell ref="F83:G83"/>
    <mergeCell ref="D101:E101"/>
    <mergeCell ref="F30:G30"/>
    <mergeCell ref="D76:E76"/>
    <mergeCell ref="B4:D4"/>
    <mergeCell ref="F23:G23"/>
    <mergeCell ref="F81:G81"/>
    <mergeCell ref="D62:E62"/>
    <mergeCell ref="F13:G13"/>
    <mergeCell ref="D56:E56"/>
    <mergeCell ref="D71:E71"/>
    <mergeCell ref="F96:G96"/>
    <mergeCell ref="F71:G71"/>
    <mergeCell ref="F56:G56"/>
    <mergeCell ref="F43:G43"/>
    <mergeCell ref="D24:E24"/>
    <mergeCell ref="D64:E64"/>
    <mergeCell ref="D33:E33"/>
    <mergeCell ref="D10:E10"/>
    <mergeCell ref="F10:G10"/>
    <mergeCell ref="D19:E19"/>
    <mergeCell ref="F19:G19"/>
    <mergeCell ref="F6:G6"/>
    <mergeCell ref="D11:E11"/>
    <mergeCell ref="F20:G20"/>
    <mergeCell ref="F76:G76"/>
    <mergeCell ref="F18:G18"/>
    <mergeCell ref="F33:G33"/>
    <mergeCell ref="C5:G5"/>
    <mergeCell ref="D84:E84"/>
    <mergeCell ref="D22:E22"/>
    <mergeCell ref="F84:G84"/>
    <mergeCell ref="D36:E36"/>
    <mergeCell ref="D31:E31"/>
    <mergeCell ref="F118:G118"/>
    <mergeCell ref="D45:E45"/>
    <mergeCell ref="D6:E6"/>
    <mergeCell ref="D77:E77"/>
    <mergeCell ref="D108:E108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:E7"/>
    <mergeCell ref="D72:E72"/>
    <mergeCell ref="D78:E78"/>
    <mergeCell ref="D20:E20"/>
    <mergeCell ref="D60:E60"/>
    <mergeCell ref="D100:E100"/>
    <mergeCell ref="F29:G29"/>
    <mergeCell ref="F16:G16"/>
    <mergeCell ref="F116:G116"/>
    <mergeCell ref="F68:G68"/>
    <mergeCell ref="F25:G25"/>
    <mergeCell ref="F103:G103"/>
    <mergeCell ref="F108:G108"/>
    <mergeCell ref="F72:G72"/>
    <mergeCell ref="D112:E112"/>
    <mergeCell ref="F105:G105"/>
    <mergeCell ref="D114:E114"/>
    <mergeCell ref="D98:E98"/>
    <mergeCell ref="F45:G45"/>
    <mergeCell ref="F85:G85"/>
    <mergeCell ref="F42:G42"/>
    <mergeCell ref="F94:G94"/>
    <mergeCell ref="D66:E66"/>
    <mergeCell ref="F17:G17"/>
    <mergeCell ref="F66:G66"/>
    <mergeCell ref="D75:E75"/>
    <mergeCell ref="D53:E53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A1:U340"/>
  <sheetViews>
    <sheetView workbookViewId="0">
      <pane ySplit="6" topLeftCell="A65" activePane="bottomLeft" state="frozen"/>
      <selection pane="bottomLeft"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  <col min="19" max="19" width="11.6640625" style="246" bestFit="1" customWidth="1"/>
  </cols>
  <sheetData>
    <row r="1" spans="1:15" ht="34.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90" t="s">
        <v>608</v>
      </c>
      <c r="K1" s="38" t="s">
        <v>323</v>
      </c>
      <c r="L1" s="38" t="s">
        <v>779</v>
      </c>
      <c r="M1" s="190" t="s">
        <v>596</v>
      </c>
      <c r="N1" s="1"/>
      <c r="O1" s="1"/>
    </row>
    <row r="2" spans="1:15" ht="34.950000000000003" customHeight="1">
      <c r="A2" s="33" t="s">
        <v>780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781</v>
      </c>
      <c r="C3" s="263"/>
      <c r="D3" s="260"/>
      <c r="E3" s="266" t="s">
        <v>11</v>
      </c>
      <c r="F3" s="263"/>
      <c r="G3" s="260"/>
      <c r="H3" s="268" t="s">
        <v>379</v>
      </c>
      <c r="I3" s="269"/>
      <c r="J3" s="19" t="str">
        <f>B3</f>
        <v>Eurodin 2mg</v>
      </c>
      <c r="K3" s="34" t="s">
        <v>782</v>
      </c>
      <c r="L3" s="5">
        <f>H7</f>
        <v>553</v>
      </c>
      <c r="M3" s="3">
        <f>SUM(C$8:C$1048576)</f>
        <v>2900</v>
      </c>
      <c r="N3" s="3">
        <f>SUM(F:F)</f>
        <v>2080</v>
      </c>
      <c r="O3" s="3">
        <f>L3+M3-N3</f>
        <v>1373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783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784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553</v>
      </c>
      <c r="D7" s="280"/>
      <c r="E7" s="260"/>
      <c r="F7" s="280"/>
      <c r="G7" s="260"/>
      <c r="H7" s="155">
        <v>553</v>
      </c>
      <c r="I7" s="210" t="s">
        <v>571</v>
      </c>
      <c r="J7" s="12"/>
      <c r="K7" s="3"/>
      <c r="L7" s="3"/>
      <c r="M7" s="3"/>
      <c r="N7" s="3"/>
      <c r="O7" s="3"/>
    </row>
    <row r="8" spans="1:15" ht="22.2" customHeight="1">
      <c r="A8" s="39" t="s">
        <v>29</v>
      </c>
      <c r="B8" s="38" t="s">
        <v>323</v>
      </c>
      <c r="C8" s="38"/>
      <c r="D8" s="279"/>
      <c r="E8" s="260"/>
      <c r="F8" s="279">
        <v>28</v>
      </c>
      <c r="G8" s="260"/>
      <c r="H8" s="38">
        <f t="shared" ref="H8:H17" si="0">H7-F8</f>
        <v>525</v>
      </c>
      <c r="I8" s="26"/>
      <c r="J8" s="12"/>
      <c r="K8" s="3"/>
      <c r="L8" s="3"/>
      <c r="M8" s="3"/>
      <c r="N8" s="3"/>
      <c r="O8" s="3"/>
    </row>
    <row r="9" spans="1:15" ht="22.2" customHeight="1">
      <c r="A9" s="39" t="s">
        <v>522</v>
      </c>
      <c r="B9" s="38" t="s">
        <v>323</v>
      </c>
      <c r="C9" s="38"/>
      <c r="D9" s="279"/>
      <c r="E9" s="260"/>
      <c r="F9" s="279">
        <v>30</v>
      </c>
      <c r="G9" s="260"/>
      <c r="H9" s="38">
        <f t="shared" si="0"/>
        <v>495</v>
      </c>
      <c r="I9" s="26"/>
      <c r="J9" s="12"/>
      <c r="K9" s="3"/>
      <c r="L9" s="3"/>
      <c r="M9" s="3"/>
      <c r="N9" s="3"/>
      <c r="O9" s="3"/>
    </row>
    <row r="10" spans="1:15" ht="22.2" customHeight="1">
      <c r="A10" s="39" t="s">
        <v>334</v>
      </c>
      <c r="B10" s="38" t="s">
        <v>323</v>
      </c>
      <c r="C10" s="38"/>
      <c r="D10" s="279"/>
      <c r="E10" s="260"/>
      <c r="F10" s="279">
        <v>59</v>
      </c>
      <c r="G10" s="260"/>
      <c r="H10" s="38">
        <f t="shared" si="0"/>
        <v>436</v>
      </c>
      <c r="I10" s="26"/>
      <c r="J10" s="12"/>
      <c r="K10" s="3"/>
      <c r="L10" s="3"/>
      <c r="M10" s="3"/>
      <c r="N10" s="3"/>
      <c r="O10" s="3"/>
    </row>
    <row r="11" spans="1:15" ht="22.2" customHeight="1">
      <c r="A11" s="39" t="s">
        <v>409</v>
      </c>
      <c r="B11" s="38" t="s">
        <v>323</v>
      </c>
      <c r="C11" s="38"/>
      <c r="D11" s="279"/>
      <c r="E11" s="260"/>
      <c r="F11" s="279">
        <v>28</v>
      </c>
      <c r="G11" s="260"/>
      <c r="H11" s="38">
        <f t="shared" si="0"/>
        <v>408</v>
      </c>
      <c r="I11" s="114"/>
      <c r="J11" s="12"/>
      <c r="K11" s="3"/>
      <c r="L11" s="3"/>
      <c r="M11" s="3"/>
      <c r="N11" s="3"/>
      <c r="O11" s="3"/>
    </row>
    <row r="12" spans="1:15" ht="22.2" customHeight="1">
      <c r="A12" s="39" t="s">
        <v>335</v>
      </c>
      <c r="B12" s="38" t="s">
        <v>323</v>
      </c>
      <c r="C12" s="38"/>
      <c r="D12" s="279"/>
      <c r="E12" s="260"/>
      <c r="F12" s="279">
        <v>28</v>
      </c>
      <c r="G12" s="260"/>
      <c r="H12" s="38">
        <f t="shared" si="0"/>
        <v>380</v>
      </c>
      <c r="I12" s="27"/>
      <c r="J12" s="12"/>
      <c r="K12" s="3"/>
      <c r="L12" s="3"/>
      <c r="M12" s="3"/>
      <c r="N12" s="3"/>
      <c r="O12" s="3"/>
    </row>
    <row r="13" spans="1:15" ht="22.2" customHeight="1">
      <c r="A13" s="39" t="s">
        <v>382</v>
      </c>
      <c r="B13" s="38" t="s">
        <v>323</v>
      </c>
      <c r="C13" s="38"/>
      <c r="D13" s="279"/>
      <c r="E13" s="260"/>
      <c r="F13" s="279">
        <v>28</v>
      </c>
      <c r="G13" s="260"/>
      <c r="H13" s="38">
        <f t="shared" si="0"/>
        <v>352</v>
      </c>
      <c r="I13" s="108"/>
      <c r="J13" s="12"/>
      <c r="K13" s="3"/>
      <c r="L13" s="3"/>
      <c r="M13" s="3"/>
      <c r="N13" s="3"/>
      <c r="O13" s="3"/>
    </row>
    <row r="14" spans="1:15" ht="22.2" customHeight="1">
      <c r="A14" s="39" t="s">
        <v>433</v>
      </c>
      <c r="B14" s="38" t="s">
        <v>323</v>
      </c>
      <c r="C14" s="38"/>
      <c r="D14" s="279"/>
      <c r="E14" s="260"/>
      <c r="F14" s="279">
        <v>28</v>
      </c>
      <c r="G14" s="260"/>
      <c r="H14" s="38">
        <f t="shared" si="0"/>
        <v>324</v>
      </c>
      <c r="I14" s="26"/>
      <c r="J14" s="12"/>
      <c r="K14" s="3"/>
      <c r="L14" s="3"/>
      <c r="M14" s="3"/>
      <c r="N14" s="3"/>
      <c r="O14" s="3"/>
    </row>
    <row r="15" spans="1:15" ht="22.2" customHeight="1">
      <c r="A15" s="39" t="s">
        <v>647</v>
      </c>
      <c r="B15" s="38" t="s">
        <v>323</v>
      </c>
      <c r="C15" s="38"/>
      <c r="D15" s="279"/>
      <c r="E15" s="260"/>
      <c r="F15" s="279">
        <v>30</v>
      </c>
      <c r="G15" s="260"/>
      <c r="H15" s="38">
        <f t="shared" si="0"/>
        <v>294</v>
      </c>
      <c r="I15" s="108"/>
      <c r="J15" s="12"/>
      <c r="K15" s="3"/>
      <c r="L15" s="3"/>
      <c r="M15" s="3"/>
      <c r="N15" s="3"/>
      <c r="O15" s="3"/>
    </row>
    <row r="16" spans="1:15" ht="22.2" customHeight="1">
      <c r="A16" s="39" t="s">
        <v>466</v>
      </c>
      <c r="B16" s="38" t="s">
        <v>323</v>
      </c>
      <c r="C16" s="38"/>
      <c r="D16" s="279"/>
      <c r="E16" s="260"/>
      <c r="F16" s="279">
        <v>30</v>
      </c>
      <c r="G16" s="260"/>
      <c r="H16" s="38">
        <f t="shared" si="0"/>
        <v>264</v>
      </c>
      <c r="I16" s="37"/>
      <c r="J16" s="12"/>
    </row>
    <row r="17" spans="1:10" ht="22.2" customHeight="1">
      <c r="A17" s="39" t="s">
        <v>573</v>
      </c>
      <c r="B17" s="148" t="s">
        <v>323</v>
      </c>
      <c r="C17" s="38"/>
      <c r="D17" s="279"/>
      <c r="E17" s="260"/>
      <c r="F17" s="279">
        <v>30</v>
      </c>
      <c r="G17" s="260"/>
      <c r="H17" s="38">
        <f t="shared" si="0"/>
        <v>234</v>
      </c>
      <c r="I17" s="37"/>
      <c r="J17" s="12"/>
    </row>
    <row r="18" spans="1:10" ht="22.2" customHeight="1">
      <c r="A18" s="39" t="s">
        <v>573</v>
      </c>
      <c r="B18" s="148" t="s">
        <v>324</v>
      </c>
      <c r="C18" s="38">
        <v>400</v>
      </c>
      <c r="D18" s="279" t="s">
        <v>785</v>
      </c>
      <c r="E18" s="260"/>
      <c r="F18" s="279"/>
      <c r="G18" s="260"/>
      <c r="H18" s="38">
        <v>634</v>
      </c>
      <c r="I18" s="37" t="s">
        <v>437</v>
      </c>
      <c r="J18" s="12"/>
    </row>
    <row r="19" spans="1:10" ht="22.2" customHeight="1">
      <c r="A19" s="39" t="s">
        <v>470</v>
      </c>
      <c r="B19" s="148" t="s">
        <v>323</v>
      </c>
      <c r="C19" s="38"/>
      <c r="D19" s="279"/>
      <c r="E19" s="260"/>
      <c r="F19" s="279">
        <v>30</v>
      </c>
      <c r="G19" s="260"/>
      <c r="H19" s="38">
        <f t="shared" ref="H19:H32" si="1">H18-F19</f>
        <v>604</v>
      </c>
      <c r="I19" s="37"/>
      <c r="J19" s="12"/>
    </row>
    <row r="20" spans="1:10" ht="22.2" customHeight="1">
      <c r="A20" s="39" t="s">
        <v>434</v>
      </c>
      <c r="B20" s="148" t="s">
        <v>323</v>
      </c>
      <c r="C20" s="38"/>
      <c r="D20" s="279"/>
      <c r="E20" s="260"/>
      <c r="F20" s="279">
        <v>56</v>
      </c>
      <c r="G20" s="260"/>
      <c r="H20" s="38">
        <f t="shared" si="1"/>
        <v>548</v>
      </c>
      <c r="I20" s="37"/>
      <c r="J20" s="12"/>
    </row>
    <row r="21" spans="1:10" ht="22.2" customHeight="1">
      <c r="A21" s="39" t="s">
        <v>650</v>
      </c>
      <c r="B21" s="148" t="s">
        <v>323</v>
      </c>
      <c r="C21" s="38"/>
      <c r="D21" s="279"/>
      <c r="E21" s="260"/>
      <c r="F21" s="279">
        <v>30</v>
      </c>
      <c r="G21" s="260"/>
      <c r="H21" s="38">
        <f t="shared" si="1"/>
        <v>518</v>
      </c>
      <c r="I21" s="37"/>
      <c r="J21" s="12"/>
    </row>
    <row r="22" spans="1:10" ht="22.2" customHeight="1">
      <c r="A22" s="38" t="s">
        <v>339</v>
      </c>
      <c r="B22" s="38" t="s">
        <v>323</v>
      </c>
      <c r="C22" s="38"/>
      <c r="D22" s="279"/>
      <c r="E22" s="260"/>
      <c r="F22" s="279">
        <v>28</v>
      </c>
      <c r="G22" s="260"/>
      <c r="H22" s="38">
        <f t="shared" si="1"/>
        <v>490</v>
      </c>
      <c r="I22" s="37"/>
      <c r="J22" s="12"/>
    </row>
    <row r="23" spans="1:10" ht="22.2" customHeight="1">
      <c r="A23" s="39" t="s">
        <v>474</v>
      </c>
      <c r="B23" s="38" t="s">
        <v>323</v>
      </c>
      <c r="C23" s="38"/>
      <c r="D23" s="279"/>
      <c r="E23" s="260"/>
      <c r="F23" s="279">
        <v>30</v>
      </c>
      <c r="G23" s="260"/>
      <c r="H23" s="38">
        <f t="shared" si="1"/>
        <v>460</v>
      </c>
      <c r="I23" s="37"/>
      <c r="J23" s="12"/>
    </row>
    <row r="24" spans="1:10" ht="22.2" customHeight="1">
      <c r="A24" s="41" t="s">
        <v>476</v>
      </c>
      <c r="B24" s="38" t="s">
        <v>323</v>
      </c>
      <c r="C24" s="38"/>
      <c r="D24" s="279"/>
      <c r="E24" s="260"/>
      <c r="F24" s="279">
        <v>56</v>
      </c>
      <c r="G24" s="260"/>
      <c r="H24" s="38">
        <f t="shared" si="1"/>
        <v>404</v>
      </c>
      <c r="I24" s="114"/>
      <c r="J24" s="12"/>
    </row>
    <row r="25" spans="1:10" ht="22.2" customHeight="1">
      <c r="A25" s="39" t="s">
        <v>477</v>
      </c>
      <c r="B25" s="38" t="s">
        <v>323</v>
      </c>
      <c r="C25" s="38"/>
      <c r="D25" s="279"/>
      <c r="E25" s="260"/>
      <c r="F25" s="279">
        <v>90</v>
      </c>
      <c r="G25" s="260"/>
      <c r="H25" s="38">
        <f t="shared" si="1"/>
        <v>314</v>
      </c>
      <c r="I25" s="37"/>
      <c r="J25" s="12"/>
    </row>
    <row r="26" spans="1:10" ht="22.2" customHeight="1">
      <c r="A26" s="39" t="s">
        <v>604</v>
      </c>
      <c r="B26" s="38" t="s">
        <v>323</v>
      </c>
      <c r="C26" s="38"/>
      <c r="D26" s="279"/>
      <c r="E26" s="260"/>
      <c r="F26" s="279">
        <v>28</v>
      </c>
      <c r="G26" s="260"/>
      <c r="H26" s="38">
        <f t="shared" si="1"/>
        <v>286</v>
      </c>
      <c r="I26" s="37" t="s">
        <v>437</v>
      </c>
      <c r="J26" s="12"/>
    </row>
    <row r="27" spans="1:10" ht="22.2" customHeight="1">
      <c r="A27" s="39" t="s">
        <v>341</v>
      </c>
      <c r="B27" s="38" t="s">
        <v>323</v>
      </c>
      <c r="C27" s="38"/>
      <c r="D27" s="279"/>
      <c r="E27" s="260"/>
      <c r="F27" s="279">
        <v>28</v>
      </c>
      <c r="G27" s="260"/>
      <c r="H27" s="38">
        <f t="shared" si="1"/>
        <v>258</v>
      </c>
      <c r="I27" s="37"/>
      <c r="J27" s="12"/>
    </row>
    <row r="28" spans="1:10" ht="22.2" customHeight="1">
      <c r="A28" s="39" t="s">
        <v>655</v>
      </c>
      <c r="B28" s="38" t="s">
        <v>323</v>
      </c>
      <c r="C28" s="38"/>
      <c r="D28" s="279"/>
      <c r="E28" s="260"/>
      <c r="F28" s="279">
        <v>30</v>
      </c>
      <c r="G28" s="260"/>
      <c r="H28" s="38">
        <f t="shared" si="1"/>
        <v>228</v>
      </c>
      <c r="I28" s="37"/>
      <c r="J28" s="12"/>
    </row>
    <row r="29" spans="1:10" ht="22.2" customHeight="1">
      <c r="A29" s="39" t="s">
        <v>342</v>
      </c>
      <c r="B29" s="148" t="s">
        <v>323</v>
      </c>
      <c r="C29" s="38"/>
      <c r="D29" s="279"/>
      <c r="E29" s="260"/>
      <c r="F29" s="279">
        <v>28</v>
      </c>
      <c r="G29" s="260"/>
      <c r="H29" s="38">
        <f t="shared" si="1"/>
        <v>200</v>
      </c>
      <c r="I29" s="37"/>
      <c r="J29" s="12"/>
    </row>
    <row r="30" spans="1:10" ht="22.2" customHeight="1">
      <c r="A30" s="39" t="s">
        <v>343</v>
      </c>
      <c r="B30" s="148" t="s">
        <v>323</v>
      </c>
      <c r="C30" s="38"/>
      <c r="D30" s="279"/>
      <c r="E30" s="260"/>
      <c r="F30" s="279">
        <v>30</v>
      </c>
      <c r="G30" s="260"/>
      <c r="H30" s="38">
        <f t="shared" si="1"/>
        <v>170</v>
      </c>
      <c r="I30" s="37"/>
      <c r="J30" s="12"/>
    </row>
    <row r="31" spans="1:10" ht="25.2" customHeight="1">
      <c r="A31" s="107" t="s">
        <v>478</v>
      </c>
      <c r="B31" s="148" t="s">
        <v>323</v>
      </c>
      <c r="C31" s="38"/>
      <c r="D31" s="279"/>
      <c r="E31" s="260"/>
      <c r="F31" s="279">
        <v>30</v>
      </c>
      <c r="G31" s="260"/>
      <c r="H31" s="38">
        <f t="shared" si="1"/>
        <v>140</v>
      </c>
      <c r="I31" s="37"/>
      <c r="J31" s="3"/>
    </row>
    <row r="32" spans="1:10" ht="25.2" customHeight="1">
      <c r="A32" s="39" t="s">
        <v>346</v>
      </c>
      <c r="B32" s="148" t="s">
        <v>323</v>
      </c>
      <c r="C32" s="38"/>
      <c r="D32" s="279"/>
      <c r="E32" s="260"/>
      <c r="F32" s="279">
        <v>31</v>
      </c>
      <c r="G32" s="260"/>
      <c r="H32" s="38">
        <f t="shared" si="1"/>
        <v>109</v>
      </c>
      <c r="I32" s="37"/>
    </row>
    <row r="33" spans="1:9" ht="25.2" customHeight="1">
      <c r="A33" s="39" t="s">
        <v>479</v>
      </c>
      <c r="B33" s="148" t="s">
        <v>324</v>
      </c>
      <c r="C33" s="38">
        <v>400</v>
      </c>
      <c r="D33" s="279" t="s">
        <v>786</v>
      </c>
      <c r="E33" s="260"/>
      <c r="F33" s="279"/>
      <c r="G33" s="260"/>
      <c r="H33" s="38">
        <v>509</v>
      </c>
      <c r="I33" s="37" t="s">
        <v>437</v>
      </c>
    </row>
    <row r="34" spans="1:9" ht="25.2" customHeight="1">
      <c r="A34" s="39" t="s">
        <v>634</v>
      </c>
      <c r="B34" s="38" t="s">
        <v>323</v>
      </c>
      <c r="C34" s="38"/>
      <c r="D34" s="279"/>
      <c r="E34" s="260"/>
      <c r="F34" s="279">
        <v>28</v>
      </c>
      <c r="G34" s="260"/>
      <c r="H34" s="38">
        <f t="shared" ref="H34:H43" si="2">H33-F34</f>
        <v>481</v>
      </c>
      <c r="I34" s="37"/>
    </row>
    <row r="35" spans="1:9" ht="25.2" customHeight="1">
      <c r="A35" s="39" t="s">
        <v>347</v>
      </c>
      <c r="B35" s="38" t="s">
        <v>323</v>
      </c>
      <c r="C35" s="38"/>
      <c r="D35" s="279"/>
      <c r="E35" s="260"/>
      <c r="F35" s="279">
        <v>30</v>
      </c>
      <c r="G35" s="260"/>
      <c r="H35" s="38">
        <f t="shared" si="2"/>
        <v>451</v>
      </c>
      <c r="I35" s="37" t="s">
        <v>414</v>
      </c>
    </row>
    <row r="36" spans="1:9" ht="25.2" customHeight="1">
      <c r="A36" s="39" t="s">
        <v>349</v>
      </c>
      <c r="B36" s="38" t="s">
        <v>323</v>
      </c>
      <c r="C36" s="38"/>
      <c r="D36" s="279"/>
      <c r="E36" s="260"/>
      <c r="F36" s="279">
        <v>58</v>
      </c>
      <c r="G36" s="260"/>
      <c r="H36" s="38">
        <f t="shared" si="2"/>
        <v>393</v>
      </c>
      <c r="I36" s="37"/>
    </row>
    <row r="37" spans="1:9" ht="25.2" customHeight="1">
      <c r="A37" s="39" t="s">
        <v>531</v>
      </c>
      <c r="B37" s="38" t="s">
        <v>323</v>
      </c>
      <c r="C37" s="38"/>
      <c r="D37" s="279"/>
      <c r="E37" s="260"/>
      <c r="F37" s="279">
        <v>28</v>
      </c>
      <c r="G37" s="260"/>
      <c r="H37" s="38">
        <f t="shared" si="2"/>
        <v>365</v>
      </c>
      <c r="I37" s="37"/>
    </row>
    <row r="38" spans="1:9" ht="25.2" customHeight="1">
      <c r="A38" s="39" t="s">
        <v>439</v>
      </c>
      <c r="B38" s="38" t="s">
        <v>323</v>
      </c>
      <c r="C38" s="38"/>
      <c r="D38" s="279"/>
      <c r="E38" s="260"/>
      <c r="F38" s="279">
        <v>28</v>
      </c>
      <c r="G38" s="260"/>
      <c r="H38" s="38">
        <f t="shared" si="2"/>
        <v>337</v>
      </c>
      <c r="I38" s="37"/>
    </row>
    <row r="39" spans="1:9" ht="25.2" customHeight="1">
      <c r="A39" s="39" t="s">
        <v>482</v>
      </c>
      <c r="B39" s="38" t="s">
        <v>323</v>
      </c>
      <c r="C39" s="38"/>
      <c r="D39" s="279"/>
      <c r="E39" s="260"/>
      <c r="F39" s="279">
        <v>28</v>
      </c>
      <c r="G39" s="260"/>
      <c r="H39" s="38">
        <f t="shared" si="2"/>
        <v>309</v>
      </c>
      <c r="I39" s="37" t="s">
        <v>608</v>
      </c>
    </row>
    <row r="40" spans="1:9" ht="25.2" customHeight="1">
      <c r="A40" s="39" t="s">
        <v>389</v>
      </c>
      <c r="B40" s="38" t="s">
        <v>323</v>
      </c>
      <c r="C40" s="38"/>
      <c r="D40" s="279"/>
      <c r="E40" s="260"/>
      <c r="F40" s="279">
        <v>58</v>
      </c>
      <c r="G40" s="260"/>
      <c r="H40" s="38">
        <f t="shared" si="2"/>
        <v>251</v>
      </c>
      <c r="I40" s="37"/>
    </row>
    <row r="41" spans="1:9" ht="25.2" customHeight="1">
      <c r="A41" s="39" t="s">
        <v>390</v>
      </c>
      <c r="B41" s="38" t="s">
        <v>323</v>
      </c>
      <c r="C41" s="38"/>
      <c r="D41" s="279"/>
      <c r="E41" s="260"/>
      <c r="F41" s="279">
        <v>28</v>
      </c>
      <c r="G41" s="260"/>
      <c r="H41" s="38">
        <f t="shared" si="2"/>
        <v>223</v>
      </c>
      <c r="I41" s="114"/>
    </row>
    <row r="42" spans="1:9" ht="25.2" customHeight="1">
      <c r="A42" s="39" t="s">
        <v>440</v>
      </c>
      <c r="B42" s="38" t="s">
        <v>323</v>
      </c>
      <c r="C42" s="38"/>
      <c r="D42" s="279"/>
      <c r="E42" s="260"/>
      <c r="F42" s="279">
        <v>30</v>
      </c>
      <c r="G42" s="260"/>
      <c r="H42" s="38">
        <f t="shared" si="2"/>
        <v>193</v>
      </c>
      <c r="I42" s="37"/>
    </row>
    <row r="43" spans="1:9" ht="25.2" customHeight="1">
      <c r="A43" s="39" t="s">
        <v>579</v>
      </c>
      <c r="B43" s="38" t="s">
        <v>323</v>
      </c>
      <c r="C43" s="38"/>
      <c r="D43" s="307"/>
      <c r="E43" s="260"/>
      <c r="F43" s="279">
        <v>28</v>
      </c>
      <c r="G43" s="260"/>
      <c r="H43" s="38">
        <f t="shared" si="2"/>
        <v>165</v>
      </c>
      <c r="I43" s="37"/>
    </row>
    <row r="44" spans="1:9" ht="25.2" customHeight="1">
      <c r="A44" s="39" t="s">
        <v>486</v>
      </c>
      <c r="B44" s="38" t="s">
        <v>324</v>
      </c>
      <c r="C44" s="38">
        <v>500</v>
      </c>
      <c r="D44" s="307" t="s">
        <v>787</v>
      </c>
      <c r="E44" s="260"/>
      <c r="F44" s="279"/>
      <c r="G44" s="260"/>
      <c r="H44" s="38">
        <v>665</v>
      </c>
      <c r="I44" s="37" t="s">
        <v>414</v>
      </c>
    </row>
    <row r="45" spans="1:9" ht="25.2" customHeight="1">
      <c r="A45" s="39" t="s">
        <v>488</v>
      </c>
      <c r="B45" s="38" t="s">
        <v>323</v>
      </c>
      <c r="C45" s="38"/>
      <c r="D45" s="307"/>
      <c r="E45" s="260"/>
      <c r="F45" s="279">
        <v>30</v>
      </c>
      <c r="G45" s="260"/>
      <c r="H45" s="38">
        <f t="shared" ref="H45:H57" si="3">H44-F45</f>
        <v>635</v>
      </c>
      <c r="I45" s="37"/>
    </row>
    <row r="46" spans="1:9" ht="25.2" customHeight="1">
      <c r="A46" s="39" t="s">
        <v>353</v>
      </c>
      <c r="B46" s="38" t="s">
        <v>323</v>
      </c>
      <c r="C46" s="38"/>
      <c r="D46" s="307"/>
      <c r="E46" s="260"/>
      <c r="F46" s="279">
        <v>28</v>
      </c>
      <c r="G46" s="260"/>
      <c r="H46" s="38">
        <f t="shared" si="3"/>
        <v>607</v>
      </c>
      <c r="I46" s="37"/>
    </row>
    <row r="47" spans="1:9" ht="25.2" customHeight="1">
      <c r="A47" s="39" t="s">
        <v>391</v>
      </c>
      <c r="B47" s="38" t="s">
        <v>323</v>
      </c>
      <c r="C47" s="38"/>
      <c r="D47" s="307"/>
      <c r="E47" s="260"/>
      <c r="F47" s="279">
        <v>28</v>
      </c>
      <c r="G47" s="260"/>
      <c r="H47" s="38">
        <f t="shared" si="3"/>
        <v>579</v>
      </c>
      <c r="I47" s="230" t="s">
        <v>605</v>
      </c>
    </row>
    <row r="48" spans="1:9" ht="25.2" customHeight="1">
      <c r="A48" s="39" t="s">
        <v>392</v>
      </c>
      <c r="B48" s="38" t="s">
        <v>323</v>
      </c>
      <c r="C48" s="38"/>
      <c r="D48" s="307"/>
      <c r="E48" s="260"/>
      <c r="F48" s="279">
        <v>28</v>
      </c>
      <c r="G48" s="260"/>
      <c r="H48" s="38">
        <f t="shared" si="3"/>
        <v>551</v>
      </c>
      <c r="I48" s="37"/>
    </row>
    <row r="49" spans="1:9" ht="25.2" customHeight="1">
      <c r="A49" s="39" t="s">
        <v>490</v>
      </c>
      <c r="B49" s="38" t="s">
        <v>323</v>
      </c>
      <c r="C49" s="38"/>
      <c r="D49" s="307"/>
      <c r="E49" s="260"/>
      <c r="F49" s="279">
        <v>28</v>
      </c>
      <c r="G49" s="260"/>
      <c r="H49" s="38">
        <f t="shared" si="3"/>
        <v>523</v>
      </c>
      <c r="I49" s="114"/>
    </row>
    <row r="50" spans="1:9" ht="25.2" customHeight="1">
      <c r="A50" s="39" t="s">
        <v>491</v>
      </c>
      <c r="B50" s="38" t="s">
        <v>323</v>
      </c>
      <c r="C50" s="38"/>
      <c r="D50" s="307"/>
      <c r="E50" s="260"/>
      <c r="F50" s="279">
        <v>28</v>
      </c>
      <c r="G50" s="260"/>
      <c r="H50" s="38">
        <f t="shared" si="3"/>
        <v>495</v>
      </c>
      <c r="I50" s="37"/>
    </row>
    <row r="51" spans="1:9" ht="25.2" customHeight="1">
      <c r="A51" s="39" t="s">
        <v>355</v>
      </c>
      <c r="B51" s="38" t="s">
        <v>323</v>
      </c>
      <c r="C51" s="38"/>
      <c r="D51" s="307"/>
      <c r="E51" s="260"/>
      <c r="F51" s="279">
        <v>31</v>
      </c>
      <c r="G51" s="260"/>
      <c r="H51" s="38">
        <f t="shared" si="3"/>
        <v>464</v>
      </c>
      <c r="I51" s="37"/>
    </row>
    <row r="52" spans="1:9" ht="25.2" customHeight="1">
      <c r="A52" s="39" t="s">
        <v>393</v>
      </c>
      <c r="B52" s="38" t="s">
        <v>323</v>
      </c>
      <c r="C52" s="38"/>
      <c r="D52" s="307"/>
      <c r="E52" s="260"/>
      <c r="F52" s="279">
        <v>30</v>
      </c>
      <c r="G52" s="260"/>
      <c r="H52" s="38">
        <f t="shared" si="3"/>
        <v>434</v>
      </c>
      <c r="I52" s="37"/>
    </row>
    <row r="53" spans="1:9" ht="25.2" customHeight="1">
      <c r="A53" s="39" t="s">
        <v>416</v>
      </c>
      <c r="B53" s="38" t="s">
        <v>323</v>
      </c>
      <c r="C53" s="38"/>
      <c r="D53" s="307"/>
      <c r="E53" s="260"/>
      <c r="F53" s="279">
        <v>30</v>
      </c>
      <c r="G53" s="260"/>
      <c r="H53" s="38">
        <f t="shared" si="3"/>
        <v>404</v>
      </c>
      <c r="I53" s="37"/>
    </row>
    <row r="54" spans="1:9" ht="25.2" customHeight="1">
      <c r="A54" s="39" t="s">
        <v>394</v>
      </c>
      <c r="B54" s="38" t="s">
        <v>323</v>
      </c>
      <c r="C54" s="38"/>
      <c r="D54" s="307"/>
      <c r="E54" s="260"/>
      <c r="F54" s="279">
        <v>30</v>
      </c>
      <c r="G54" s="260"/>
      <c r="H54" s="38">
        <f t="shared" si="3"/>
        <v>374</v>
      </c>
      <c r="I54" s="37"/>
    </row>
    <row r="55" spans="1:9" ht="25.2" customHeight="1">
      <c r="A55" s="39" t="s">
        <v>357</v>
      </c>
      <c r="B55" s="38" t="s">
        <v>323</v>
      </c>
      <c r="C55" s="38"/>
      <c r="D55" s="307"/>
      <c r="E55" s="260"/>
      <c r="F55" s="279">
        <v>28</v>
      </c>
      <c r="G55" s="260"/>
      <c r="H55" s="38">
        <f t="shared" si="3"/>
        <v>346</v>
      </c>
      <c r="I55" s="37"/>
    </row>
    <row r="56" spans="1:9" ht="25.2" customHeight="1">
      <c r="A56" s="39" t="s">
        <v>498</v>
      </c>
      <c r="B56" s="38" t="s">
        <v>323</v>
      </c>
      <c r="C56" s="38"/>
      <c r="D56" s="307"/>
      <c r="E56" s="260"/>
      <c r="F56" s="279">
        <v>28</v>
      </c>
      <c r="G56" s="260"/>
      <c r="H56" s="38">
        <f t="shared" si="3"/>
        <v>318</v>
      </c>
      <c r="I56" s="114"/>
    </row>
    <row r="57" spans="1:9" ht="25.2" customHeight="1">
      <c r="A57" s="41" t="s">
        <v>500</v>
      </c>
      <c r="B57" s="38" t="s">
        <v>323</v>
      </c>
      <c r="C57" s="38"/>
      <c r="D57" s="307"/>
      <c r="E57" s="260"/>
      <c r="F57" s="279">
        <v>58</v>
      </c>
      <c r="G57" s="260"/>
      <c r="H57" s="38">
        <f t="shared" si="3"/>
        <v>260</v>
      </c>
      <c r="I57" s="37"/>
    </row>
    <row r="58" spans="1:9" ht="25.2" customHeight="1">
      <c r="A58" s="39" t="s">
        <v>359</v>
      </c>
      <c r="B58" s="38" t="s">
        <v>323</v>
      </c>
      <c r="C58" s="38"/>
      <c r="D58" s="307"/>
      <c r="E58" s="260"/>
      <c r="F58" s="279">
        <v>30</v>
      </c>
      <c r="G58" s="260"/>
      <c r="H58" s="38">
        <f>H57-F58+C58</f>
        <v>230</v>
      </c>
      <c r="I58" s="37"/>
    </row>
    <row r="59" spans="1:9" ht="25.2" customHeight="1">
      <c r="A59" s="39" t="s">
        <v>788</v>
      </c>
      <c r="B59" s="38" t="s">
        <v>324</v>
      </c>
      <c r="C59" s="38">
        <v>300</v>
      </c>
      <c r="D59" s="307" t="s">
        <v>789</v>
      </c>
      <c r="E59" s="260"/>
      <c r="F59" s="279"/>
      <c r="G59" s="260"/>
      <c r="H59" s="38">
        <f>H58-F59+C59</f>
        <v>530</v>
      </c>
      <c r="I59" s="37" t="s">
        <v>608</v>
      </c>
    </row>
    <row r="60" spans="1:9" ht="25.2" customHeight="1">
      <c r="A60" s="39" t="s">
        <v>396</v>
      </c>
      <c r="B60" s="38" t="s">
        <v>323</v>
      </c>
      <c r="C60" s="38"/>
      <c r="D60" s="307"/>
      <c r="E60" s="260"/>
      <c r="F60" s="279">
        <v>30</v>
      </c>
      <c r="G60" s="260"/>
      <c r="H60" s="38">
        <f t="shared" ref="H60:H68" si="4">H59-F60</f>
        <v>500</v>
      </c>
      <c r="I60" s="114"/>
    </row>
    <row r="61" spans="1:9" ht="25.2" customHeight="1">
      <c r="A61" s="39" t="s">
        <v>502</v>
      </c>
      <c r="B61" s="38" t="s">
        <v>323</v>
      </c>
      <c r="C61" s="38"/>
      <c r="D61" s="307"/>
      <c r="E61" s="260"/>
      <c r="F61" s="279">
        <v>31</v>
      </c>
      <c r="G61" s="260"/>
      <c r="H61" s="38">
        <f t="shared" si="4"/>
        <v>469</v>
      </c>
      <c r="I61" s="37"/>
    </row>
    <row r="62" spans="1:9" ht="25.2" customHeight="1">
      <c r="A62" s="39" t="s">
        <v>505</v>
      </c>
      <c r="B62" s="38" t="s">
        <v>323</v>
      </c>
      <c r="C62" s="38"/>
      <c r="D62" s="307"/>
      <c r="E62" s="260"/>
      <c r="F62" s="279">
        <v>28</v>
      </c>
      <c r="G62" s="260"/>
      <c r="H62" s="38">
        <f t="shared" si="4"/>
        <v>441</v>
      </c>
      <c r="I62" s="37"/>
    </row>
    <row r="63" spans="1:9" ht="25.2" customHeight="1">
      <c r="A63" s="39" t="s">
        <v>363</v>
      </c>
      <c r="B63" s="38" t="s">
        <v>323</v>
      </c>
      <c r="C63" s="38"/>
      <c r="D63" s="307"/>
      <c r="E63" s="260"/>
      <c r="F63" s="279">
        <v>28</v>
      </c>
      <c r="G63" s="260"/>
      <c r="H63" s="38">
        <f t="shared" si="4"/>
        <v>413</v>
      </c>
      <c r="I63" s="37"/>
    </row>
    <row r="64" spans="1:9" ht="25.2" customHeight="1">
      <c r="A64" s="39" t="s">
        <v>553</v>
      </c>
      <c r="B64" s="38" t="s">
        <v>323</v>
      </c>
      <c r="C64" s="38"/>
      <c r="D64" s="307"/>
      <c r="E64" s="260"/>
      <c r="F64" s="279">
        <v>31</v>
      </c>
      <c r="G64" s="260"/>
      <c r="H64" s="38">
        <f t="shared" si="4"/>
        <v>382</v>
      </c>
      <c r="I64" s="37"/>
    </row>
    <row r="65" spans="1:9" ht="25.2" customHeight="1">
      <c r="A65" s="39" t="s">
        <v>554</v>
      </c>
      <c r="B65" s="38" t="s">
        <v>323</v>
      </c>
      <c r="C65" s="38"/>
      <c r="D65" s="307"/>
      <c r="E65" s="260"/>
      <c r="F65" s="279">
        <v>114</v>
      </c>
      <c r="G65" s="260"/>
      <c r="H65" s="38">
        <f t="shared" si="4"/>
        <v>268</v>
      </c>
      <c r="I65" s="37"/>
    </row>
    <row r="66" spans="1:9" ht="25.2" customHeight="1">
      <c r="A66" s="39" t="s">
        <v>454</v>
      </c>
      <c r="B66" s="38" t="s">
        <v>323</v>
      </c>
      <c r="C66" s="38"/>
      <c r="D66" s="307"/>
      <c r="E66" s="260"/>
      <c r="F66" s="279">
        <v>30</v>
      </c>
      <c r="G66" s="260"/>
      <c r="H66" s="38">
        <f t="shared" si="4"/>
        <v>238</v>
      </c>
      <c r="I66" s="37"/>
    </row>
    <row r="67" spans="1:9" ht="25.2" customHeight="1">
      <c r="A67" s="39" t="s">
        <v>507</v>
      </c>
      <c r="B67" s="38" t="s">
        <v>323</v>
      </c>
      <c r="C67" s="38"/>
      <c r="D67" s="307"/>
      <c r="E67" s="260"/>
      <c r="F67" s="279">
        <v>31</v>
      </c>
      <c r="G67" s="260"/>
      <c r="H67" s="38">
        <f t="shared" si="4"/>
        <v>207</v>
      </c>
      <c r="I67" s="37"/>
    </row>
    <row r="68" spans="1:9" ht="25.2" customHeight="1">
      <c r="A68" s="39" t="s">
        <v>511</v>
      </c>
      <c r="B68" s="38" t="s">
        <v>323</v>
      </c>
      <c r="C68" s="38"/>
      <c r="D68" s="307"/>
      <c r="E68" s="260"/>
      <c r="F68" s="279">
        <v>30</v>
      </c>
      <c r="G68" s="260"/>
      <c r="H68" s="38">
        <f t="shared" si="4"/>
        <v>177</v>
      </c>
      <c r="I68" s="37"/>
    </row>
    <row r="69" spans="1:9" ht="25.2" customHeight="1">
      <c r="A69" s="39" t="s">
        <v>511</v>
      </c>
      <c r="B69" s="38" t="s">
        <v>324</v>
      </c>
      <c r="C69" s="38">
        <v>300</v>
      </c>
      <c r="D69" s="307" t="s">
        <v>790</v>
      </c>
      <c r="E69" s="260"/>
      <c r="F69" s="279"/>
      <c r="G69" s="260"/>
      <c r="H69" s="38">
        <v>477</v>
      </c>
      <c r="I69" s="37" t="s">
        <v>437</v>
      </c>
    </row>
    <row r="70" spans="1:9" ht="25.2" customHeight="1">
      <c r="A70" s="39" t="s">
        <v>511</v>
      </c>
      <c r="B70" s="38" t="s">
        <v>324</v>
      </c>
      <c r="C70" s="38">
        <v>900</v>
      </c>
      <c r="D70" s="307" t="s">
        <v>791</v>
      </c>
      <c r="E70" s="260"/>
      <c r="F70" s="279"/>
      <c r="G70" s="260"/>
      <c r="H70" s="38"/>
      <c r="I70" s="37"/>
    </row>
    <row r="71" spans="1:9" ht="25.2" customHeight="1">
      <c r="A71" s="39" t="s">
        <v>511</v>
      </c>
      <c r="B71" s="38" t="s">
        <v>324</v>
      </c>
      <c r="C71" s="38">
        <v>100</v>
      </c>
      <c r="D71" s="307" t="s">
        <v>792</v>
      </c>
      <c r="E71" s="260"/>
      <c r="F71" s="279"/>
      <c r="G71" s="260"/>
      <c r="H71" s="38">
        <v>1477</v>
      </c>
      <c r="I71" s="37" t="s">
        <v>608</v>
      </c>
    </row>
    <row r="72" spans="1:9" ht="25.2" customHeight="1">
      <c r="A72" s="41" t="s">
        <v>366</v>
      </c>
      <c r="B72" s="38" t="s">
        <v>323</v>
      </c>
      <c r="C72" s="38"/>
      <c r="D72" s="307"/>
      <c r="E72" s="260"/>
      <c r="F72" s="279">
        <v>28</v>
      </c>
      <c r="G72" s="260"/>
      <c r="H72" s="38">
        <f>H71-F72</f>
        <v>1449</v>
      </c>
      <c r="I72" s="37"/>
    </row>
    <row r="73" spans="1:9" ht="25.2" customHeight="1">
      <c r="A73" s="39" t="s">
        <v>400</v>
      </c>
      <c r="B73" s="38" t="s">
        <v>323</v>
      </c>
      <c r="C73" s="38"/>
      <c r="D73" s="307"/>
      <c r="E73" s="260"/>
      <c r="F73" s="279">
        <v>28</v>
      </c>
      <c r="G73" s="260"/>
      <c r="H73" s="38">
        <f>H72-F73</f>
        <v>1421</v>
      </c>
      <c r="I73" s="37"/>
    </row>
    <row r="74" spans="1:9" ht="25.2" customHeight="1">
      <c r="A74" s="39" t="s">
        <v>512</v>
      </c>
      <c r="B74" s="38" t="s">
        <v>323</v>
      </c>
      <c r="C74" s="38"/>
      <c r="D74" s="307"/>
      <c r="E74" s="260"/>
      <c r="F74" s="279">
        <v>20</v>
      </c>
      <c r="G74" s="260"/>
      <c r="H74" s="38">
        <f>H73-F74</f>
        <v>1401</v>
      </c>
      <c r="I74" s="37"/>
    </row>
    <row r="75" spans="1:9" ht="25.2" customHeight="1">
      <c r="A75" s="39" t="s">
        <v>369</v>
      </c>
      <c r="B75" s="38" t="s">
        <v>323</v>
      </c>
      <c r="C75" s="38"/>
      <c r="D75" s="307"/>
      <c r="E75" s="260"/>
      <c r="F75" s="279">
        <v>28</v>
      </c>
      <c r="G75" s="260"/>
      <c r="H75" s="38">
        <f>H74-F75</f>
        <v>1373</v>
      </c>
      <c r="I75" s="37"/>
    </row>
    <row r="76" spans="1:9" ht="25.2" customHeight="1">
      <c r="A76" s="39"/>
      <c r="B76" s="38"/>
      <c r="C76" s="38"/>
      <c r="D76" s="307"/>
      <c r="E76" s="260"/>
      <c r="F76" s="279"/>
      <c r="G76" s="260"/>
      <c r="H76" s="38"/>
      <c r="I76" s="37"/>
    </row>
    <row r="77" spans="1:9" ht="25.2" customHeight="1">
      <c r="A77" s="39"/>
      <c r="B77" s="38"/>
      <c r="C77" s="38"/>
      <c r="D77" s="307"/>
      <c r="E77" s="260"/>
      <c r="F77" s="279"/>
      <c r="G77" s="260"/>
      <c r="H77" s="38"/>
      <c r="I77" s="37"/>
    </row>
    <row r="78" spans="1:9" ht="25.2" customHeight="1">
      <c r="A78" s="39"/>
      <c r="B78" s="38"/>
      <c r="C78" s="38"/>
      <c r="D78" s="307"/>
      <c r="E78" s="260"/>
      <c r="F78" s="279"/>
      <c r="G78" s="260"/>
      <c r="H78" s="38"/>
      <c r="I78" s="37"/>
    </row>
    <row r="79" spans="1:9" ht="25.2" customHeight="1">
      <c r="A79" s="39"/>
      <c r="B79" s="38"/>
      <c r="C79" s="38"/>
      <c r="D79" s="307"/>
      <c r="E79" s="260"/>
      <c r="F79" s="279"/>
      <c r="G79" s="260"/>
      <c r="H79" s="38"/>
      <c r="I79" s="37"/>
    </row>
    <row r="80" spans="1:9" ht="25.2" customHeight="1">
      <c r="A80" s="39"/>
      <c r="B80" s="38"/>
      <c r="C80" s="38"/>
      <c r="D80" s="307"/>
      <c r="E80" s="260"/>
      <c r="F80" s="279"/>
      <c r="G80" s="260"/>
      <c r="H80" s="38"/>
      <c r="I80" s="37"/>
    </row>
    <row r="81" spans="1:9" ht="25.2" customHeight="1">
      <c r="A81" s="41"/>
      <c r="B81" s="38"/>
      <c r="C81" s="38"/>
      <c r="D81" s="307"/>
      <c r="E81" s="260"/>
      <c r="F81" s="279"/>
      <c r="G81" s="260"/>
      <c r="H81" s="38"/>
      <c r="I81" s="37"/>
    </row>
    <row r="82" spans="1:9" ht="25.2" customHeight="1">
      <c r="A82" s="39"/>
      <c r="B82" s="38"/>
      <c r="C82" s="38"/>
      <c r="D82" s="307"/>
      <c r="E82" s="260"/>
      <c r="F82" s="279"/>
      <c r="G82" s="260"/>
      <c r="H82" s="38"/>
      <c r="I82" s="37"/>
    </row>
    <row r="83" spans="1:9" ht="25.2" customHeight="1">
      <c r="A83" s="39"/>
      <c r="B83" s="38"/>
      <c r="C83" s="38"/>
      <c r="D83" s="307"/>
      <c r="E83" s="260"/>
      <c r="F83" s="279"/>
      <c r="G83" s="260"/>
      <c r="H83" s="38"/>
      <c r="I83" s="37"/>
    </row>
    <row r="84" spans="1:9" ht="25.2" customHeight="1">
      <c r="A84" s="39"/>
      <c r="B84" s="38"/>
      <c r="C84" s="38"/>
      <c r="D84" s="307"/>
      <c r="E84" s="260"/>
      <c r="F84" s="279"/>
      <c r="G84" s="260"/>
      <c r="H84" s="38"/>
      <c r="I84" s="37"/>
    </row>
    <row r="85" spans="1:9" ht="25.2" customHeight="1">
      <c r="A85" s="39"/>
      <c r="B85" s="38"/>
      <c r="C85" s="38"/>
      <c r="D85" s="307"/>
      <c r="E85" s="260"/>
      <c r="F85" s="279"/>
      <c r="G85" s="260"/>
      <c r="H85" s="38"/>
      <c r="I85" s="37"/>
    </row>
    <row r="86" spans="1:9" ht="25.2" customHeight="1">
      <c r="A86" s="39"/>
      <c r="B86" s="38"/>
      <c r="C86" s="38"/>
      <c r="D86" s="307"/>
      <c r="E86" s="260"/>
      <c r="F86" s="279"/>
      <c r="G86" s="260"/>
      <c r="H86" s="38"/>
      <c r="I86" s="37"/>
    </row>
    <row r="87" spans="1:9" ht="25.2" customHeight="1">
      <c r="A87" s="39"/>
      <c r="B87" s="38"/>
      <c r="C87" s="38"/>
      <c r="D87" s="307"/>
      <c r="E87" s="260"/>
      <c r="F87" s="279"/>
      <c r="G87" s="260"/>
      <c r="H87" s="38"/>
      <c r="I87" s="37"/>
    </row>
    <row r="88" spans="1:9" ht="25.2" customHeight="1">
      <c r="A88" s="39"/>
      <c r="B88" s="38"/>
      <c r="C88" s="38"/>
      <c r="D88" s="307"/>
      <c r="E88" s="260"/>
      <c r="F88" s="279"/>
      <c r="G88" s="260"/>
      <c r="H88" s="38"/>
      <c r="I88" s="37"/>
    </row>
    <row r="89" spans="1:9" ht="25.2" customHeight="1">
      <c r="A89" s="39"/>
      <c r="B89" s="38"/>
      <c r="C89" s="38"/>
      <c r="D89" s="307"/>
      <c r="E89" s="260"/>
      <c r="F89" s="279"/>
      <c r="G89" s="260"/>
      <c r="H89" s="38"/>
      <c r="I89" s="37"/>
    </row>
    <row r="90" spans="1:9" ht="25.2" customHeight="1">
      <c r="A90" s="39"/>
      <c r="B90" s="38"/>
      <c r="C90" s="38"/>
      <c r="D90" s="307"/>
      <c r="E90" s="260"/>
      <c r="F90" s="279"/>
      <c r="G90" s="260"/>
      <c r="H90" s="38"/>
      <c r="I90" s="37"/>
    </row>
    <row r="91" spans="1:9" ht="25.2" customHeight="1">
      <c r="A91" s="39"/>
      <c r="B91" s="38"/>
      <c r="C91" s="38"/>
      <c r="D91" s="259"/>
      <c r="E91" s="260"/>
      <c r="F91" s="279"/>
      <c r="G91" s="260"/>
      <c r="H91" s="38"/>
      <c r="I91" s="37"/>
    </row>
    <row r="92" spans="1:9" ht="25.2" customHeight="1">
      <c r="A92" s="39"/>
      <c r="B92" s="38"/>
      <c r="C92" s="38"/>
      <c r="D92" s="259"/>
      <c r="E92" s="260"/>
      <c r="F92" s="279"/>
      <c r="G92" s="260"/>
      <c r="H92" s="38"/>
      <c r="I92" s="37"/>
    </row>
    <row r="93" spans="1:9" ht="25.2" customHeight="1">
      <c r="A93" s="39"/>
      <c r="B93" s="38"/>
      <c r="C93" s="38"/>
      <c r="D93" s="259"/>
      <c r="E93" s="260"/>
      <c r="F93" s="279"/>
      <c r="G93" s="260"/>
      <c r="H93" s="38"/>
      <c r="I93" s="37"/>
    </row>
    <row r="94" spans="1:9" ht="25.2" customHeight="1">
      <c r="A94" s="39"/>
      <c r="B94" s="38"/>
      <c r="C94" s="38"/>
      <c r="D94" s="259"/>
      <c r="E94" s="260"/>
      <c r="F94" s="279"/>
      <c r="G94" s="260"/>
      <c r="H94" s="38"/>
      <c r="I94" s="37"/>
    </row>
    <row r="95" spans="1:9" ht="25.2" customHeight="1">
      <c r="A95" s="39"/>
      <c r="B95" s="38"/>
      <c r="C95" s="38"/>
      <c r="D95" s="259"/>
      <c r="E95" s="260"/>
      <c r="F95" s="279"/>
      <c r="G95" s="260"/>
      <c r="H95" s="38"/>
      <c r="I95" s="37"/>
    </row>
    <row r="96" spans="1:9" ht="25.2" customHeight="1">
      <c r="A96" s="39"/>
      <c r="B96" s="38"/>
      <c r="C96" s="38"/>
      <c r="D96" s="259"/>
      <c r="E96" s="260"/>
      <c r="F96" s="279"/>
      <c r="G96" s="260"/>
      <c r="H96" s="38"/>
      <c r="I96" s="37"/>
    </row>
    <row r="97" spans="1:21" ht="25.2" customHeight="1">
      <c r="A97" s="39"/>
      <c r="B97" s="38"/>
      <c r="C97" s="38"/>
      <c r="D97" s="259"/>
      <c r="E97" s="260"/>
      <c r="F97" s="279"/>
      <c r="G97" s="260"/>
      <c r="H97" s="38"/>
      <c r="I97" s="37"/>
    </row>
    <row r="98" spans="1:21" ht="25.2" customHeight="1">
      <c r="A98" s="39"/>
      <c r="B98" s="38"/>
      <c r="C98" s="38"/>
      <c r="D98" s="259"/>
      <c r="E98" s="260"/>
      <c r="F98" s="279"/>
      <c r="G98" s="260"/>
      <c r="H98" s="38"/>
      <c r="I98" s="37"/>
    </row>
    <row r="99" spans="1:21" ht="25.2" customHeight="1">
      <c r="A99" s="39"/>
      <c r="B99" s="38"/>
      <c r="C99" s="38"/>
      <c r="D99" s="259"/>
      <c r="E99" s="260"/>
      <c r="F99" s="279"/>
      <c r="G99" s="260"/>
      <c r="H99" s="38"/>
      <c r="I99" s="37"/>
    </row>
    <row r="100" spans="1:21" ht="25.2" customHeight="1">
      <c r="A100" s="39"/>
      <c r="B100" s="38"/>
      <c r="C100" s="38"/>
      <c r="D100" s="259"/>
      <c r="E100" s="260"/>
      <c r="F100" s="279"/>
      <c r="G100" s="260"/>
      <c r="H100" s="38"/>
      <c r="I100" s="114"/>
    </row>
    <row r="101" spans="1:21" ht="25.2" customHeight="1">
      <c r="A101" s="39"/>
      <c r="B101" s="38"/>
      <c r="C101" s="38"/>
      <c r="D101" s="259"/>
      <c r="E101" s="260"/>
      <c r="F101" s="279"/>
      <c r="G101" s="260"/>
      <c r="H101" s="38"/>
      <c r="I101" s="37"/>
    </row>
    <row r="102" spans="1:21" ht="25.2" customHeight="1">
      <c r="A102" s="39"/>
      <c r="B102" s="38"/>
      <c r="C102" s="38"/>
      <c r="D102" s="259"/>
      <c r="E102" s="260"/>
      <c r="F102" s="279"/>
      <c r="G102" s="260"/>
      <c r="H102" s="38"/>
      <c r="I102" s="7"/>
    </row>
    <row r="103" spans="1:21" ht="25.2" customHeight="1">
      <c r="A103" s="39"/>
      <c r="B103" s="38"/>
      <c r="C103" s="38"/>
      <c r="D103" s="259"/>
      <c r="E103" s="260"/>
      <c r="F103" s="279"/>
      <c r="G103" s="260"/>
      <c r="H103" s="38"/>
      <c r="I103" s="7"/>
    </row>
    <row r="104" spans="1:21" ht="25.2" customHeight="1">
      <c r="A104" s="39"/>
      <c r="B104" s="38"/>
      <c r="C104" s="38"/>
      <c r="D104" s="259"/>
      <c r="E104" s="260"/>
      <c r="F104" s="279"/>
      <c r="G104" s="260"/>
      <c r="H104" s="38"/>
      <c r="I104" s="7"/>
    </row>
    <row r="105" spans="1:21" ht="25.2" customHeight="1">
      <c r="A105" s="39"/>
      <c r="B105" s="38"/>
      <c r="C105" s="38"/>
      <c r="D105" s="259"/>
      <c r="E105" s="260"/>
      <c r="F105" s="279"/>
      <c r="G105" s="260"/>
      <c r="H105" s="38"/>
      <c r="I105" s="7"/>
    </row>
    <row r="106" spans="1:21" ht="25.2" customHeight="1">
      <c r="A106" s="39"/>
      <c r="B106" s="38"/>
      <c r="C106" s="38"/>
      <c r="D106" s="259"/>
      <c r="E106" s="260"/>
      <c r="F106" s="279"/>
      <c r="G106" s="260"/>
      <c r="H106" s="38"/>
      <c r="I106" s="7"/>
    </row>
    <row r="107" spans="1:21" ht="25.2" customHeight="1">
      <c r="A107" s="39"/>
      <c r="B107" s="38"/>
      <c r="C107" s="38"/>
      <c r="D107" s="259"/>
      <c r="E107" s="260"/>
      <c r="F107" s="279"/>
      <c r="G107" s="260"/>
      <c r="H107" s="38"/>
      <c r="I107" s="7"/>
    </row>
    <row r="108" spans="1:21" ht="25.2" customHeight="1">
      <c r="A108" s="39"/>
      <c r="B108" s="38"/>
      <c r="C108" s="38"/>
      <c r="D108" s="259"/>
      <c r="E108" s="260"/>
      <c r="F108" s="279"/>
      <c r="G108" s="260"/>
      <c r="H108" s="38"/>
      <c r="I108" s="7"/>
    </row>
    <row r="109" spans="1:21" ht="25.2" customHeight="1">
      <c r="A109" s="39"/>
      <c r="B109" s="38"/>
      <c r="C109" s="38"/>
      <c r="D109" s="259"/>
      <c r="E109" s="260"/>
      <c r="F109" s="279"/>
      <c r="G109" s="260"/>
      <c r="H109" s="38"/>
      <c r="I109" s="7"/>
    </row>
    <row r="110" spans="1:21" ht="25.2" customHeight="1">
      <c r="A110" s="39"/>
      <c r="B110" s="38"/>
      <c r="C110" s="38"/>
      <c r="D110" s="259"/>
      <c r="E110" s="260"/>
      <c r="F110" s="279"/>
      <c r="G110" s="260"/>
      <c r="H110" s="38"/>
      <c r="I110" s="7"/>
      <c r="Q110">
        <v>1010</v>
      </c>
      <c r="S110" s="39">
        <v>45292</v>
      </c>
      <c r="T110" s="139"/>
      <c r="U110">
        <f>R111-T111</f>
        <v>0</v>
      </c>
    </row>
    <row r="111" spans="1:21" ht="25.2" customHeight="1">
      <c r="A111" s="39"/>
      <c r="B111" s="38"/>
      <c r="C111" s="38"/>
      <c r="D111" s="259"/>
      <c r="E111" s="260"/>
      <c r="F111" s="279"/>
      <c r="G111" s="260"/>
      <c r="H111" s="38"/>
      <c r="I111" s="7"/>
      <c r="Q111" s="150" t="s">
        <v>793</v>
      </c>
      <c r="R111" s="150">
        <v>60</v>
      </c>
      <c r="S111" s="39">
        <v>45295</v>
      </c>
      <c r="T111" s="139">
        <v>60</v>
      </c>
      <c r="U111">
        <f t="shared" ref="U111:U142" si="5">R111-T111</f>
        <v>0</v>
      </c>
    </row>
    <row r="112" spans="1:21" ht="25.2" customHeight="1">
      <c r="A112" s="39"/>
      <c r="B112" s="38"/>
      <c r="C112" s="38"/>
      <c r="D112" s="259"/>
      <c r="E112" s="260"/>
      <c r="F112" s="279"/>
      <c r="G112" s="260"/>
      <c r="H112" s="38"/>
      <c r="I112" s="7"/>
      <c r="Q112" s="150" t="s">
        <v>794</v>
      </c>
      <c r="R112" s="150">
        <v>7</v>
      </c>
      <c r="S112" s="39">
        <v>45296</v>
      </c>
      <c r="T112" s="139">
        <v>7</v>
      </c>
      <c r="U112">
        <f t="shared" si="5"/>
        <v>0</v>
      </c>
    </row>
    <row r="113" spans="1:21" ht="25.2" customHeight="1">
      <c r="A113" s="39"/>
      <c r="B113" s="38"/>
      <c r="C113" s="38"/>
      <c r="D113" s="259"/>
      <c r="E113" s="260"/>
      <c r="F113" s="279"/>
      <c r="G113" s="260"/>
      <c r="H113" s="38"/>
      <c r="I113" s="7"/>
      <c r="Q113" s="150" t="s">
        <v>795</v>
      </c>
      <c r="R113" s="150">
        <v>31</v>
      </c>
      <c r="S113" s="39">
        <v>45299</v>
      </c>
      <c r="T113" s="139">
        <v>31</v>
      </c>
      <c r="U113">
        <f t="shared" si="5"/>
        <v>0</v>
      </c>
    </row>
    <row r="114" spans="1:21" ht="25.2" customHeight="1">
      <c r="A114" s="39"/>
      <c r="B114" s="38"/>
      <c r="C114" s="38"/>
      <c r="D114" s="259"/>
      <c r="E114" s="260"/>
      <c r="F114" s="279"/>
      <c r="G114" s="260"/>
      <c r="H114" s="38"/>
      <c r="I114" s="7"/>
      <c r="Q114" s="150" t="s">
        <v>796</v>
      </c>
      <c r="R114" s="150">
        <v>28</v>
      </c>
      <c r="S114" s="39">
        <v>45301</v>
      </c>
      <c r="T114" s="139">
        <v>28</v>
      </c>
      <c r="U114">
        <f t="shared" si="5"/>
        <v>0</v>
      </c>
    </row>
    <row r="115" spans="1:21" ht="25.2" customHeight="1">
      <c r="A115" s="39"/>
      <c r="B115" s="38"/>
      <c r="C115" s="38"/>
      <c r="D115" s="259"/>
      <c r="E115" s="260"/>
      <c r="F115" s="279"/>
      <c r="G115" s="260"/>
      <c r="H115" s="38"/>
      <c r="I115" s="7"/>
      <c r="Q115" s="150" t="s">
        <v>797</v>
      </c>
      <c r="R115" s="150">
        <v>42</v>
      </c>
      <c r="S115" s="39">
        <v>45304</v>
      </c>
      <c r="T115" s="139">
        <v>42</v>
      </c>
      <c r="U115">
        <f t="shared" si="5"/>
        <v>0</v>
      </c>
    </row>
    <row r="116" spans="1:21" ht="25.2" customHeight="1">
      <c r="A116" s="39"/>
      <c r="B116" s="38"/>
      <c r="C116" s="38"/>
      <c r="D116" s="259"/>
      <c r="E116" s="260"/>
      <c r="F116" s="279"/>
      <c r="G116" s="260"/>
      <c r="H116" s="38"/>
      <c r="I116" s="7"/>
      <c r="Q116" s="150" t="s">
        <v>798</v>
      </c>
      <c r="R116" s="150">
        <v>28</v>
      </c>
      <c r="S116" s="39">
        <v>45308</v>
      </c>
      <c r="T116" s="139">
        <v>28</v>
      </c>
      <c r="U116">
        <f t="shared" si="5"/>
        <v>0</v>
      </c>
    </row>
    <row r="117" spans="1:21" ht="25.2" customHeight="1">
      <c r="A117" s="41"/>
      <c r="B117" s="38"/>
      <c r="C117" s="38"/>
      <c r="D117" s="259"/>
      <c r="E117" s="260"/>
      <c r="F117" s="279"/>
      <c r="G117" s="260"/>
      <c r="H117" s="38"/>
      <c r="I117" s="7"/>
      <c r="Q117" s="150" t="s">
        <v>799</v>
      </c>
      <c r="R117" s="150">
        <v>7</v>
      </c>
      <c r="S117" s="39">
        <v>45313</v>
      </c>
      <c r="T117" s="139">
        <v>7</v>
      </c>
      <c r="U117">
        <f t="shared" si="5"/>
        <v>0</v>
      </c>
    </row>
    <row r="118" spans="1:21" ht="25.2" customHeight="1">
      <c r="A118" s="39"/>
      <c r="B118" s="38"/>
      <c r="C118" s="38"/>
      <c r="D118" s="259"/>
      <c r="E118" s="260"/>
      <c r="F118" s="279"/>
      <c r="G118" s="260"/>
      <c r="H118" s="38"/>
      <c r="I118" s="7"/>
      <c r="Q118" s="150" t="s">
        <v>800</v>
      </c>
      <c r="R118" s="150">
        <v>28</v>
      </c>
      <c r="S118" s="39">
        <v>45316</v>
      </c>
      <c r="T118" s="139">
        <v>28</v>
      </c>
      <c r="U118">
        <f t="shared" si="5"/>
        <v>0</v>
      </c>
    </row>
    <row r="119" spans="1:21" ht="25.2" customHeight="1">
      <c r="A119" s="39"/>
      <c r="B119" s="38"/>
      <c r="C119" s="38"/>
      <c r="D119" s="259"/>
      <c r="E119" s="260"/>
      <c r="F119" s="279"/>
      <c r="G119" s="260"/>
      <c r="H119" s="38"/>
      <c r="I119" s="7"/>
      <c r="Q119" s="150" t="s">
        <v>801</v>
      </c>
      <c r="R119" s="150">
        <v>28</v>
      </c>
      <c r="S119" s="39">
        <v>45321</v>
      </c>
      <c r="T119" s="139">
        <v>28</v>
      </c>
      <c r="U119">
        <f t="shared" si="5"/>
        <v>0</v>
      </c>
    </row>
    <row r="120" spans="1:21" ht="25.2" customHeight="1">
      <c r="A120" s="39"/>
      <c r="B120" s="38"/>
      <c r="C120" s="38"/>
      <c r="D120" s="259"/>
      <c r="E120" s="260"/>
      <c r="F120" s="279"/>
      <c r="G120" s="260"/>
      <c r="H120" s="38"/>
      <c r="I120" s="7"/>
      <c r="Q120" s="150" t="s">
        <v>802</v>
      </c>
      <c r="R120" s="150">
        <v>28</v>
      </c>
      <c r="S120" s="39">
        <v>45324</v>
      </c>
      <c r="T120" s="139">
        <v>28</v>
      </c>
      <c r="U120">
        <f t="shared" si="5"/>
        <v>0</v>
      </c>
    </row>
    <row r="121" spans="1:21" ht="25.2" customHeight="1">
      <c r="A121" s="39"/>
      <c r="B121" s="38"/>
      <c r="C121" s="38"/>
      <c r="D121" s="259"/>
      <c r="E121" s="260"/>
      <c r="F121" s="279"/>
      <c r="G121" s="260"/>
      <c r="H121" s="38"/>
      <c r="I121" s="7"/>
      <c r="Q121" s="150" t="s">
        <v>803</v>
      </c>
      <c r="R121" s="150">
        <v>72</v>
      </c>
      <c r="S121" s="39">
        <v>45327</v>
      </c>
      <c r="T121" s="139">
        <v>72</v>
      </c>
      <c r="U121">
        <f t="shared" si="5"/>
        <v>0</v>
      </c>
    </row>
    <row r="122" spans="1:21" ht="25.2" customHeight="1">
      <c r="A122" s="39"/>
      <c r="B122" s="38"/>
      <c r="C122" s="38"/>
      <c r="D122" s="259"/>
      <c r="E122" s="260"/>
      <c r="F122" s="279"/>
      <c r="G122" s="260"/>
      <c r="H122" s="38"/>
      <c r="I122" s="7"/>
      <c r="Q122" s="150" t="s">
        <v>804</v>
      </c>
      <c r="R122" s="150">
        <v>58</v>
      </c>
      <c r="S122" s="39">
        <v>45328</v>
      </c>
      <c r="T122" s="139">
        <v>58</v>
      </c>
      <c r="U122">
        <f t="shared" si="5"/>
        <v>0</v>
      </c>
    </row>
    <row r="123" spans="1:21" ht="25.2" customHeight="1">
      <c r="A123" s="39"/>
      <c r="B123" s="38"/>
      <c r="C123" s="38"/>
      <c r="D123" s="259"/>
      <c r="E123" s="260"/>
      <c r="F123" s="279"/>
      <c r="G123" s="260"/>
      <c r="H123" s="38"/>
      <c r="I123" s="7"/>
      <c r="Q123" s="150" t="s">
        <v>805</v>
      </c>
      <c r="R123" s="150">
        <v>14</v>
      </c>
      <c r="S123" s="39">
        <v>45330</v>
      </c>
      <c r="T123" s="139">
        <v>14</v>
      </c>
      <c r="U123">
        <f t="shared" si="5"/>
        <v>0</v>
      </c>
    </row>
    <row r="124" spans="1:21" ht="25.2" customHeight="1">
      <c r="A124" s="39"/>
      <c r="B124" s="38"/>
      <c r="C124" s="38"/>
      <c r="D124" s="259"/>
      <c r="E124" s="260"/>
      <c r="F124" s="279"/>
      <c r="G124" s="260"/>
      <c r="H124" s="38"/>
      <c r="I124" s="7"/>
      <c r="Q124" s="150" t="s">
        <v>806</v>
      </c>
      <c r="R124" s="150">
        <v>56</v>
      </c>
      <c r="S124" s="39">
        <v>45339</v>
      </c>
      <c r="T124" s="139">
        <v>56</v>
      </c>
      <c r="U124">
        <f t="shared" si="5"/>
        <v>0</v>
      </c>
    </row>
    <row r="125" spans="1:21" ht="25.2" customHeight="1">
      <c r="A125" s="39"/>
      <c r="B125" s="38"/>
      <c r="C125" s="38"/>
      <c r="D125" s="259"/>
      <c r="E125" s="260"/>
      <c r="F125" s="279"/>
      <c r="G125" s="260"/>
      <c r="H125" s="38"/>
      <c r="I125" s="7"/>
      <c r="Q125" s="150" t="s">
        <v>807</v>
      </c>
      <c r="R125" s="150">
        <v>14</v>
      </c>
      <c r="S125" s="39">
        <v>45341</v>
      </c>
      <c r="T125" s="139">
        <v>28</v>
      </c>
      <c r="U125">
        <f t="shared" si="5"/>
        <v>-14</v>
      </c>
    </row>
    <row r="126" spans="1:21" ht="25.2" customHeight="1">
      <c r="A126" s="39"/>
      <c r="B126" s="38"/>
      <c r="C126" s="38"/>
      <c r="D126" s="259"/>
      <c r="E126" s="260"/>
      <c r="F126" s="279"/>
      <c r="G126" s="260"/>
      <c r="H126" s="38"/>
      <c r="I126" s="7"/>
      <c r="Q126" s="150" t="s">
        <v>808</v>
      </c>
      <c r="R126" s="150">
        <v>28</v>
      </c>
      <c r="S126" s="39">
        <v>45342</v>
      </c>
      <c r="T126" s="139">
        <v>28</v>
      </c>
      <c r="U126">
        <f t="shared" si="5"/>
        <v>0</v>
      </c>
    </row>
    <row r="127" spans="1:21" ht="25.2" customHeight="1">
      <c r="A127" s="39"/>
      <c r="B127" s="38"/>
      <c r="C127" s="38"/>
      <c r="D127" s="259"/>
      <c r="E127" s="260"/>
      <c r="F127" s="279"/>
      <c r="G127" s="260"/>
      <c r="H127" s="38"/>
      <c r="I127" s="7"/>
      <c r="Q127" s="150" t="s">
        <v>809</v>
      </c>
      <c r="R127" s="150">
        <v>28</v>
      </c>
      <c r="S127" s="39">
        <v>45344</v>
      </c>
      <c r="T127" s="139">
        <v>28</v>
      </c>
      <c r="U127">
        <f t="shared" si="5"/>
        <v>0</v>
      </c>
    </row>
    <row r="128" spans="1:21" ht="25.2" customHeight="1">
      <c r="A128" s="39"/>
      <c r="B128" s="38"/>
      <c r="C128" s="38"/>
      <c r="D128" s="259"/>
      <c r="E128" s="260"/>
      <c r="F128" s="279"/>
      <c r="G128" s="260"/>
      <c r="H128" s="38"/>
      <c r="I128" s="7"/>
      <c r="Q128" s="150" t="s">
        <v>810</v>
      </c>
      <c r="R128" s="150">
        <v>28</v>
      </c>
      <c r="S128" s="39" t="s">
        <v>811</v>
      </c>
      <c r="T128" s="139">
        <v>28</v>
      </c>
      <c r="U128">
        <f t="shared" si="5"/>
        <v>0</v>
      </c>
    </row>
    <row r="129" spans="1:21" ht="25.2" customHeight="1">
      <c r="A129" s="39"/>
      <c r="B129" s="38"/>
      <c r="C129" s="38"/>
      <c r="D129" s="259"/>
      <c r="E129" s="260"/>
      <c r="F129" s="279"/>
      <c r="G129" s="260"/>
      <c r="H129" s="38"/>
      <c r="I129" s="7"/>
      <c r="Q129" s="150" t="s">
        <v>812</v>
      </c>
      <c r="R129" s="150">
        <v>28</v>
      </c>
      <c r="S129" s="39">
        <v>45350</v>
      </c>
      <c r="T129" s="139">
        <v>28</v>
      </c>
      <c r="U129">
        <f t="shared" si="5"/>
        <v>0</v>
      </c>
    </row>
    <row r="130" spans="1:21" ht="25.2" customHeight="1">
      <c r="A130" s="39"/>
      <c r="B130" s="38"/>
      <c r="C130" s="38"/>
      <c r="D130" s="259"/>
      <c r="E130" s="260"/>
      <c r="F130" s="279"/>
      <c r="G130" s="260"/>
      <c r="H130" s="38"/>
      <c r="I130" s="7"/>
      <c r="Q130" s="150" t="s">
        <v>813</v>
      </c>
      <c r="R130" s="150">
        <v>28</v>
      </c>
      <c r="S130" s="39" t="s">
        <v>814</v>
      </c>
      <c r="T130" s="139">
        <v>28</v>
      </c>
      <c r="U130">
        <f t="shared" si="5"/>
        <v>0</v>
      </c>
    </row>
    <row r="131" spans="1:21" ht="25.2" customHeight="1">
      <c r="A131" s="39"/>
      <c r="B131" s="38"/>
      <c r="C131" s="38"/>
      <c r="D131" s="259"/>
      <c r="E131" s="260"/>
      <c r="F131" s="279"/>
      <c r="G131" s="260"/>
      <c r="H131" s="38"/>
      <c r="I131" s="7"/>
      <c r="Q131" s="150" t="s">
        <v>815</v>
      </c>
      <c r="R131" s="150">
        <v>45</v>
      </c>
      <c r="S131" s="39">
        <v>45355</v>
      </c>
      <c r="T131" s="139">
        <v>45</v>
      </c>
      <c r="U131">
        <f t="shared" si="5"/>
        <v>0</v>
      </c>
    </row>
    <row r="132" spans="1:21" ht="25.2" customHeight="1">
      <c r="A132" s="39"/>
      <c r="B132" s="38"/>
      <c r="C132" s="38"/>
      <c r="D132" s="259"/>
      <c r="E132" s="260"/>
      <c r="F132" s="279"/>
      <c r="G132" s="260"/>
      <c r="H132" s="38"/>
      <c r="I132" s="7"/>
      <c r="Q132" s="150" t="s">
        <v>816</v>
      </c>
      <c r="R132" s="150">
        <v>56</v>
      </c>
      <c r="S132" s="39">
        <v>45363</v>
      </c>
      <c r="T132" s="139">
        <v>56</v>
      </c>
      <c r="U132">
        <f t="shared" si="5"/>
        <v>0</v>
      </c>
    </row>
    <row r="133" spans="1:21" ht="25.2" customHeight="1">
      <c r="A133" s="39"/>
      <c r="B133" s="38"/>
      <c r="C133" s="38"/>
      <c r="D133" s="259"/>
      <c r="E133" s="260"/>
      <c r="F133" s="279"/>
      <c r="G133" s="260"/>
      <c r="H133" s="38"/>
      <c r="I133" s="7"/>
      <c r="Q133" s="150" t="s">
        <v>817</v>
      </c>
      <c r="R133" s="150">
        <v>88</v>
      </c>
      <c r="S133" s="39">
        <v>45364</v>
      </c>
      <c r="T133" s="139">
        <v>88</v>
      </c>
      <c r="U133">
        <f t="shared" si="5"/>
        <v>0</v>
      </c>
    </row>
    <row r="134" spans="1:21" ht="25.2" customHeight="1">
      <c r="A134" s="39"/>
      <c r="B134" s="38"/>
      <c r="C134" s="38"/>
      <c r="D134" s="259"/>
      <c r="E134" s="260"/>
      <c r="F134" s="279"/>
      <c r="G134" s="260"/>
      <c r="H134" s="38"/>
      <c r="I134" s="7"/>
      <c r="Q134" s="150"/>
      <c r="R134" s="150"/>
      <c r="S134" s="39" t="s">
        <v>818</v>
      </c>
      <c r="T134" s="139">
        <v>28</v>
      </c>
      <c r="U134">
        <f t="shared" si="5"/>
        <v>-28</v>
      </c>
    </row>
    <row r="135" spans="1:21" ht="25.2" customHeight="1">
      <c r="A135" s="39"/>
      <c r="B135" s="38"/>
      <c r="C135" s="38"/>
      <c r="D135" s="259"/>
      <c r="E135" s="260"/>
      <c r="F135" s="279"/>
      <c r="G135" s="260"/>
      <c r="H135" s="38"/>
      <c r="I135" s="7"/>
      <c r="Q135" s="150" t="s">
        <v>819</v>
      </c>
      <c r="R135" s="150">
        <v>28</v>
      </c>
      <c r="S135" s="39">
        <v>45366</v>
      </c>
      <c r="T135" s="139">
        <v>14</v>
      </c>
      <c r="U135">
        <f t="shared" si="5"/>
        <v>14</v>
      </c>
    </row>
    <row r="136" spans="1:21" ht="25.2" customHeight="1">
      <c r="A136" s="39"/>
      <c r="B136" s="38"/>
      <c r="C136" s="38"/>
      <c r="D136" s="259"/>
      <c r="E136" s="260"/>
      <c r="F136" s="279"/>
      <c r="G136" s="260"/>
      <c r="H136" s="38"/>
      <c r="I136" s="7"/>
      <c r="Q136" s="150" t="s">
        <v>820</v>
      </c>
      <c r="R136" s="150">
        <v>14</v>
      </c>
      <c r="S136" s="39">
        <v>45370</v>
      </c>
      <c r="T136" s="139">
        <v>28</v>
      </c>
      <c r="U136">
        <f t="shared" si="5"/>
        <v>-14</v>
      </c>
    </row>
    <row r="137" spans="1:21" ht="25.2" customHeight="1">
      <c r="A137" s="39"/>
      <c r="B137" s="38"/>
      <c r="C137" s="38"/>
      <c r="D137" s="259"/>
      <c r="E137" s="260"/>
      <c r="F137" s="279"/>
      <c r="G137" s="260"/>
      <c r="H137" s="38"/>
      <c r="I137" s="7"/>
      <c r="Q137" s="150" t="s">
        <v>821</v>
      </c>
      <c r="R137" s="150">
        <v>28</v>
      </c>
      <c r="S137" s="39">
        <v>45373</v>
      </c>
      <c r="T137" s="139">
        <v>28</v>
      </c>
      <c r="U137">
        <f t="shared" si="5"/>
        <v>0</v>
      </c>
    </row>
    <row r="138" spans="1:21" ht="25.2" customHeight="1">
      <c r="A138" s="39"/>
      <c r="B138" s="38"/>
      <c r="C138" s="38"/>
      <c r="D138" s="259"/>
      <c r="E138" s="260"/>
      <c r="F138" s="279"/>
      <c r="G138" s="260"/>
      <c r="H138" s="38"/>
      <c r="I138" s="7"/>
      <c r="Q138" s="150" t="s">
        <v>822</v>
      </c>
      <c r="R138" s="150">
        <v>28</v>
      </c>
      <c r="S138" s="39">
        <v>45380</v>
      </c>
      <c r="T138" s="139">
        <v>28</v>
      </c>
      <c r="U138">
        <f t="shared" si="5"/>
        <v>0</v>
      </c>
    </row>
    <row r="139" spans="1:21" ht="25.2" customHeight="1">
      <c r="A139" s="39"/>
      <c r="B139" s="38"/>
      <c r="C139" s="38"/>
      <c r="D139" s="259"/>
      <c r="E139" s="260"/>
      <c r="F139" s="279"/>
      <c r="G139" s="260"/>
      <c r="H139" s="38"/>
      <c r="I139" s="7"/>
      <c r="Q139" s="150" t="s">
        <v>823</v>
      </c>
      <c r="R139" s="150">
        <v>28</v>
      </c>
      <c r="S139" s="39">
        <v>45383</v>
      </c>
      <c r="T139" s="139">
        <v>28</v>
      </c>
      <c r="U139">
        <f t="shared" si="5"/>
        <v>0</v>
      </c>
    </row>
    <row r="140" spans="1:21" ht="25.2" customHeight="1">
      <c r="A140" s="39"/>
      <c r="B140" s="38"/>
      <c r="C140" s="38"/>
      <c r="D140" s="259"/>
      <c r="E140" s="260"/>
      <c r="F140" s="279"/>
      <c r="G140" s="260"/>
      <c r="H140" s="38"/>
      <c r="I140" s="7"/>
      <c r="Q140" s="150" t="s">
        <v>824</v>
      </c>
      <c r="R140" s="150">
        <v>28</v>
      </c>
      <c r="S140" s="39">
        <v>45384</v>
      </c>
      <c r="T140" s="139">
        <v>28</v>
      </c>
      <c r="U140">
        <f t="shared" si="5"/>
        <v>0</v>
      </c>
    </row>
    <row r="141" spans="1:21" ht="25.2" customHeight="1">
      <c r="A141" s="39"/>
      <c r="B141" s="38"/>
      <c r="C141" s="38"/>
      <c r="D141" s="259"/>
      <c r="E141" s="260"/>
      <c r="F141" s="279"/>
      <c r="G141" s="260"/>
      <c r="H141" s="38"/>
      <c r="I141" s="7"/>
      <c r="Q141" s="150" t="s">
        <v>825</v>
      </c>
      <c r="R141" s="150">
        <v>28</v>
      </c>
      <c r="S141" s="39">
        <v>45387</v>
      </c>
      <c r="T141" s="139">
        <v>30</v>
      </c>
      <c r="U141">
        <f t="shared" si="5"/>
        <v>-2</v>
      </c>
    </row>
    <row r="142" spans="1:21" ht="25.2" customHeight="1">
      <c r="A142" s="39"/>
      <c r="B142" s="38"/>
      <c r="C142" s="38"/>
      <c r="D142" s="259"/>
      <c r="E142" s="260"/>
      <c r="F142" s="279"/>
      <c r="G142" s="260"/>
      <c r="H142" s="38"/>
      <c r="I142" s="7"/>
      <c r="Q142" s="150"/>
      <c r="R142" s="150"/>
      <c r="S142" s="39" t="s">
        <v>826</v>
      </c>
      <c r="T142" s="139">
        <v>28</v>
      </c>
      <c r="U142">
        <f t="shared" si="5"/>
        <v>-28</v>
      </c>
    </row>
    <row r="143" spans="1:21" ht="25.2" customHeight="1">
      <c r="A143" s="39"/>
      <c r="B143" s="38"/>
      <c r="C143" s="38"/>
      <c r="D143" s="259"/>
      <c r="E143" s="260"/>
      <c r="F143" s="279"/>
      <c r="G143" s="260"/>
      <c r="H143" s="38"/>
      <c r="I143" s="7"/>
      <c r="Q143" s="150" t="s">
        <v>827</v>
      </c>
      <c r="R143" s="150">
        <v>30</v>
      </c>
      <c r="S143" s="39">
        <v>45390</v>
      </c>
      <c r="T143" s="139">
        <v>28</v>
      </c>
      <c r="U143">
        <f t="shared" ref="U143:U174" si="6">R143-T143</f>
        <v>2</v>
      </c>
    </row>
    <row r="144" spans="1:21" ht="25.2" customHeight="1">
      <c r="A144" s="39"/>
      <c r="B144" s="38"/>
      <c r="C144" s="38"/>
      <c r="D144" s="259"/>
      <c r="E144" s="260"/>
      <c r="F144" s="279"/>
      <c r="G144" s="260"/>
      <c r="H144" s="38"/>
      <c r="I144" s="7"/>
      <c r="Q144" s="150" t="s">
        <v>828</v>
      </c>
      <c r="R144" s="150">
        <v>28</v>
      </c>
      <c r="S144" s="39">
        <v>45393</v>
      </c>
      <c r="T144" s="139">
        <v>28</v>
      </c>
      <c r="U144">
        <f t="shared" si="6"/>
        <v>0</v>
      </c>
    </row>
    <row r="145" spans="1:21" ht="25.2" customHeight="1">
      <c r="A145" s="39"/>
      <c r="B145" s="38"/>
      <c r="C145" s="38"/>
      <c r="D145" s="259"/>
      <c r="E145" s="260"/>
      <c r="F145" s="279"/>
      <c r="G145" s="260"/>
      <c r="H145" s="38"/>
      <c r="I145" s="7"/>
      <c r="Q145" s="150" t="s">
        <v>829</v>
      </c>
      <c r="R145" s="150">
        <v>28</v>
      </c>
      <c r="S145" s="39">
        <v>45394</v>
      </c>
      <c r="T145" s="139">
        <v>42</v>
      </c>
      <c r="U145">
        <f t="shared" si="6"/>
        <v>-14</v>
      </c>
    </row>
    <row r="146" spans="1:21" ht="25.2" customHeight="1">
      <c r="A146" s="39"/>
      <c r="B146" s="38"/>
      <c r="C146" s="38"/>
      <c r="D146" s="259"/>
      <c r="E146" s="260"/>
      <c r="F146" s="279"/>
      <c r="G146" s="260"/>
      <c r="H146" s="38"/>
      <c r="I146" s="7"/>
      <c r="Q146" s="150" t="s">
        <v>830</v>
      </c>
      <c r="R146" s="150">
        <v>28</v>
      </c>
      <c r="S146" s="39">
        <v>45396</v>
      </c>
      <c r="T146" s="139">
        <v>30</v>
      </c>
      <c r="U146">
        <f t="shared" si="6"/>
        <v>-2</v>
      </c>
    </row>
    <row r="147" spans="1:21" ht="25.2" customHeight="1">
      <c r="A147" s="39"/>
      <c r="B147" s="38"/>
      <c r="C147" s="38"/>
      <c r="D147" s="259"/>
      <c r="E147" s="260"/>
      <c r="F147" s="279"/>
      <c r="G147" s="260"/>
      <c r="H147" s="38"/>
      <c r="I147" s="7"/>
      <c r="Q147" s="150" t="s">
        <v>831</v>
      </c>
      <c r="R147" s="150">
        <v>42</v>
      </c>
      <c r="S147" s="39">
        <v>45399</v>
      </c>
      <c r="T147" s="139">
        <v>28</v>
      </c>
      <c r="U147">
        <f t="shared" si="6"/>
        <v>14</v>
      </c>
    </row>
    <row r="148" spans="1:21" ht="25.2" customHeight="1">
      <c r="Q148" s="150" t="s">
        <v>832</v>
      </c>
      <c r="R148" s="150">
        <v>30</v>
      </c>
      <c r="S148" s="39">
        <v>45400</v>
      </c>
      <c r="T148" s="139">
        <v>28</v>
      </c>
      <c r="U148">
        <f t="shared" si="6"/>
        <v>2</v>
      </c>
    </row>
    <row r="149" spans="1:21" ht="25.2" customHeight="1">
      <c r="Q149" s="150" t="s">
        <v>833</v>
      </c>
      <c r="R149" s="150">
        <v>28</v>
      </c>
      <c r="S149" s="39">
        <v>45405</v>
      </c>
      <c r="T149" s="139">
        <v>28</v>
      </c>
      <c r="U149">
        <f t="shared" si="6"/>
        <v>0</v>
      </c>
    </row>
    <row r="150" spans="1:21" ht="25.2" customHeight="1">
      <c r="Q150" s="150" t="s">
        <v>834</v>
      </c>
      <c r="R150" s="150">
        <v>28</v>
      </c>
      <c r="S150" s="39" t="s">
        <v>835</v>
      </c>
      <c r="T150" s="139">
        <v>4</v>
      </c>
      <c r="U150">
        <f t="shared" si="6"/>
        <v>24</v>
      </c>
    </row>
    <row r="151" spans="1:21" ht="25.2" customHeight="1">
      <c r="Q151" s="150" t="s">
        <v>836</v>
      </c>
      <c r="R151" s="150">
        <v>28</v>
      </c>
      <c r="S151" s="39">
        <v>45407</v>
      </c>
      <c r="T151" s="139">
        <v>114</v>
      </c>
      <c r="U151">
        <f t="shared" si="6"/>
        <v>-86</v>
      </c>
    </row>
    <row r="152" spans="1:21" ht="25.2" customHeight="1">
      <c r="Q152" s="150" t="s">
        <v>837</v>
      </c>
      <c r="R152" s="150">
        <v>4</v>
      </c>
      <c r="S152" s="39">
        <v>45420</v>
      </c>
      <c r="T152" s="139">
        <v>56</v>
      </c>
      <c r="U152">
        <f t="shared" si="6"/>
        <v>-52</v>
      </c>
    </row>
    <row r="153" spans="1:21" ht="25.2" customHeight="1">
      <c r="Q153" s="150" t="s">
        <v>838</v>
      </c>
      <c r="R153" s="150">
        <v>114</v>
      </c>
      <c r="S153" s="39">
        <v>45423</v>
      </c>
      <c r="T153" s="139">
        <v>30</v>
      </c>
      <c r="U153">
        <f t="shared" si="6"/>
        <v>84</v>
      </c>
    </row>
    <row r="154" spans="1:21" ht="25.2" customHeight="1">
      <c r="Q154" s="150" t="s">
        <v>839</v>
      </c>
      <c r="R154" s="150">
        <v>56</v>
      </c>
      <c r="S154" s="39">
        <v>45426</v>
      </c>
      <c r="T154" s="139">
        <v>28</v>
      </c>
      <c r="U154">
        <f t="shared" si="6"/>
        <v>28</v>
      </c>
    </row>
    <row r="155" spans="1:21" ht="25.2" customHeight="1">
      <c r="Q155" s="150" t="s">
        <v>840</v>
      </c>
      <c r="R155" s="150">
        <v>30</v>
      </c>
      <c r="S155" s="39">
        <v>45427</v>
      </c>
      <c r="T155" s="139">
        <v>28</v>
      </c>
      <c r="U155">
        <f t="shared" si="6"/>
        <v>2</v>
      </c>
    </row>
    <row r="156" spans="1:21" ht="25.2" customHeight="1">
      <c r="Q156" s="150" t="s">
        <v>841</v>
      </c>
      <c r="R156" s="150">
        <v>28</v>
      </c>
      <c r="S156" s="39">
        <v>45428</v>
      </c>
      <c r="T156" s="139">
        <v>35</v>
      </c>
      <c r="U156">
        <f t="shared" si="6"/>
        <v>-7</v>
      </c>
    </row>
    <row r="157" spans="1:21" ht="25.2" customHeight="1">
      <c r="Q157" s="150" t="s">
        <v>842</v>
      </c>
      <c r="R157" s="150">
        <v>28</v>
      </c>
      <c r="S157" s="39">
        <v>45437</v>
      </c>
      <c r="T157" s="139">
        <v>28</v>
      </c>
      <c r="U157">
        <f t="shared" si="6"/>
        <v>0</v>
      </c>
    </row>
    <row r="158" spans="1:21" ht="25.2" customHeight="1">
      <c r="Q158" s="150" t="s">
        <v>843</v>
      </c>
      <c r="R158" s="150">
        <v>35</v>
      </c>
      <c r="S158" s="39">
        <v>45439</v>
      </c>
      <c r="T158" s="139">
        <v>28</v>
      </c>
      <c r="U158">
        <f t="shared" si="6"/>
        <v>7</v>
      </c>
    </row>
    <row r="159" spans="1:21" ht="25.2" customHeight="1">
      <c r="Q159" s="150" t="s">
        <v>844</v>
      </c>
      <c r="R159" s="150">
        <v>28</v>
      </c>
      <c r="S159" s="39">
        <v>45441</v>
      </c>
      <c r="T159" s="139">
        <v>28</v>
      </c>
      <c r="U159">
        <f t="shared" si="6"/>
        <v>0</v>
      </c>
    </row>
    <row r="160" spans="1:21" ht="25.2" customHeight="1">
      <c r="Q160" s="150" t="s">
        <v>845</v>
      </c>
      <c r="R160" s="150">
        <v>28</v>
      </c>
      <c r="S160" s="39">
        <v>45443</v>
      </c>
      <c r="T160" s="139">
        <v>28</v>
      </c>
      <c r="U160">
        <f t="shared" si="6"/>
        <v>0</v>
      </c>
    </row>
    <row r="161" spans="17:21" ht="25.2" customHeight="1">
      <c r="Q161" s="150" t="s">
        <v>846</v>
      </c>
      <c r="R161" s="150">
        <v>28</v>
      </c>
      <c r="S161" s="39" t="s">
        <v>847</v>
      </c>
      <c r="T161" s="139">
        <v>72</v>
      </c>
      <c r="U161">
        <f t="shared" si="6"/>
        <v>-44</v>
      </c>
    </row>
    <row r="162" spans="17:21" ht="25.2" customHeight="1">
      <c r="Q162" s="150" t="s">
        <v>848</v>
      </c>
      <c r="R162" s="150">
        <v>28</v>
      </c>
      <c r="S162" s="39">
        <v>45446</v>
      </c>
      <c r="T162" s="139">
        <v>14</v>
      </c>
      <c r="U162">
        <f t="shared" si="6"/>
        <v>14</v>
      </c>
    </row>
    <row r="163" spans="17:21" ht="25.2" customHeight="1">
      <c r="Q163" s="150" t="s">
        <v>849</v>
      </c>
      <c r="R163" s="150">
        <v>72</v>
      </c>
      <c r="S163" s="39">
        <v>45447</v>
      </c>
      <c r="T163" s="139">
        <v>58</v>
      </c>
      <c r="U163">
        <f t="shared" si="6"/>
        <v>14</v>
      </c>
    </row>
    <row r="164" spans="17:21" ht="25.2" customHeight="1">
      <c r="Q164" s="150" t="s">
        <v>850</v>
      </c>
      <c r="R164" s="150">
        <v>14</v>
      </c>
      <c r="S164" s="39">
        <v>45450</v>
      </c>
      <c r="T164" s="139">
        <v>30</v>
      </c>
      <c r="U164">
        <f t="shared" si="6"/>
        <v>-16</v>
      </c>
    </row>
    <row r="165" spans="17:21" ht="25.2" customHeight="1">
      <c r="Q165" s="150" t="s">
        <v>851</v>
      </c>
      <c r="R165" s="150">
        <v>58</v>
      </c>
      <c r="S165" s="39">
        <v>45454</v>
      </c>
      <c r="T165" s="139">
        <v>28</v>
      </c>
      <c r="U165">
        <f t="shared" si="6"/>
        <v>30</v>
      </c>
    </row>
    <row r="166" spans="17:21" ht="25.2" customHeight="1">
      <c r="Q166" s="150" t="s">
        <v>852</v>
      </c>
      <c r="R166" s="150">
        <v>30</v>
      </c>
      <c r="S166" s="39">
        <v>45456</v>
      </c>
      <c r="T166" s="139">
        <v>30</v>
      </c>
      <c r="U166">
        <f t="shared" si="6"/>
        <v>0</v>
      </c>
    </row>
    <row r="167" spans="17:21" ht="25.2" customHeight="1">
      <c r="Q167" s="150" t="s">
        <v>853</v>
      </c>
      <c r="R167" s="150">
        <v>28</v>
      </c>
      <c r="S167" s="39">
        <v>45457</v>
      </c>
      <c r="T167" s="139">
        <v>31</v>
      </c>
      <c r="U167">
        <f t="shared" si="6"/>
        <v>-3</v>
      </c>
    </row>
    <row r="168" spans="17:21" ht="25.2" customHeight="1">
      <c r="Q168" s="150" t="s">
        <v>854</v>
      </c>
      <c r="R168" s="150">
        <v>30</v>
      </c>
      <c r="S168" s="39">
        <v>45460</v>
      </c>
      <c r="T168" s="139">
        <v>28</v>
      </c>
      <c r="U168">
        <f t="shared" si="6"/>
        <v>2</v>
      </c>
    </row>
    <row r="169" spans="17:21" ht="25.2" customHeight="1">
      <c r="Q169" s="150" t="s">
        <v>855</v>
      </c>
      <c r="R169" s="150">
        <v>31</v>
      </c>
      <c r="S169" s="39" t="s">
        <v>856</v>
      </c>
      <c r="T169" s="139">
        <v>28</v>
      </c>
      <c r="U169">
        <f t="shared" si="6"/>
        <v>3</v>
      </c>
    </row>
    <row r="170" spans="17:21" ht="25.2" customHeight="1">
      <c r="Q170" s="150" t="s">
        <v>857</v>
      </c>
      <c r="R170" s="150">
        <v>28</v>
      </c>
      <c r="S170" s="39" t="s">
        <v>856</v>
      </c>
      <c r="T170" s="139">
        <v>28</v>
      </c>
      <c r="U170">
        <f t="shared" si="6"/>
        <v>0</v>
      </c>
    </row>
    <row r="171" spans="17:21" ht="25.2" customHeight="1">
      <c r="Q171" s="150" t="s">
        <v>858</v>
      </c>
      <c r="R171" s="150">
        <v>28</v>
      </c>
      <c r="S171" s="39">
        <v>45465</v>
      </c>
      <c r="T171" s="139">
        <v>70</v>
      </c>
      <c r="U171">
        <f t="shared" si="6"/>
        <v>-42</v>
      </c>
    </row>
    <row r="172" spans="17:21" ht="25.2" customHeight="1">
      <c r="Q172" s="150" t="s">
        <v>859</v>
      </c>
      <c r="R172" s="150">
        <v>28</v>
      </c>
      <c r="S172" s="39">
        <v>45467</v>
      </c>
      <c r="T172" s="139">
        <v>30</v>
      </c>
      <c r="U172">
        <f t="shared" si="6"/>
        <v>-2</v>
      </c>
    </row>
    <row r="173" spans="17:21" ht="25.2" customHeight="1">
      <c r="Q173" s="150" t="s">
        <v>860</v>
      </c>
      <c r="R173" s="150">
        <v>70</v>
      </c>
      <c r="S173" s="41" t="s">
        <v>861</v>
      </c>
      <c r="T173" s="139">
        <v>28</v>
      </c>
      <c r="U173">
        <f t="shared" si="6"/>
        <v>42</v>
      </c>
    </row>
    <row r="174" spans="17:21" ht="25.2" customHeight="1">
      <c r="Q174" s="150" t="s">
        <v>862</v>
      </c>
      <c r="R174" s="150">
        <v>30</v>
      </c>
      <c r="S174" s="39">
        <v>45476</v>
      </c>
      <c r="T174" s="139">
        <v>28</v>
      </c>
      <c r="U174">
        <f t="shared" si="6"/>
        <v>2</v>
      </c>
    </row>
    <row r="175" spans="17:21" ht="25.2" customHeight="1">
      <c r="Q175" s="150" t="s">
        <v>863</v>
      </c>
      <c r="R175" s="150">
        <v>28</v>
      </c>
      <c r="S175" s="39">
        <v>45478</v>
      </c>
      <c r="T175" s="139">
        <v>28</v>
      </c>
      <c r="U175">
        <f t="shared" ref="U175:U206" si="7">R175-T175</f>
        <v>0</v>
      </c>
    </row>
    <row r="176" spans="17:21" ht="25.2" customHeight="1">
      <c r="Q176" s="150" t="s">
        <v>864</v>
      </c>
      <c r="R176" s="150">
        <v>28</v>
      </c>
      <c r="S176" s="39">
        <v>45485</v>
      </c>
      <c r="T176" s="139">
        <v>28</v>
      </c>
      <c r="U176">
        <f t="shared" si="7"/>
        <v>0</v>
      </c>
    </row>
    <row r="177" spans="17:21" ht="25.2" customHeight="1">
      <c r="Q177" s="150" t="s">
        <v>865</v>
      </c>
      <c r="R177" s="150">
        <v>28</v>
      </c>
      <c r="S177" s="39">
        <v>45486</v>
      </c>
      <c r="T177" s="139">
        <v>56</v>
      </c>
      <c r="U177">
        <f t="shared" si="7"/>
        <v>-28</v>
      </c>
    </row>
    <row r="178" spans="17:21" ht="25.2" customHeight="1">
      <c r="Q178" s="150" t="s">
        <v>866</v>
      </c>
      <c r="R178" s="150">
        <v>28</v>
      </c>
      <c r="S178" s="39">
        <v>45490</v>
      </c>
      <c r="T178" s="139">
        <v>28</v>
      </c>
      <c r="U178">
        <f t="shared" si="7"/>
        <v>0</v>
      </c>
    </row>
    <row r="179" spans="17:21" ht="25.2" customHeight="1">
      <c r="Q179" s="150" t="s">
        <v>867</v>
      </c>
      <c r="R179" s="150">
        <v>56</v>
      </c>
      <c r="S179" s="39">
        <v>45492</v>
      </c>
      <c r="T179" s="139">
        <v>56</v>
      </c>
      <c r="U179">
        <f t="shared" si="7"/>
        <v>0</v>
      </c>
    </row>
    <row r="180" spans="17:21" ht="25.2" customHeight="1">
      <c r="Q180" s="150" t="s">
        <v>868</v>
      </c>
      <c r="R180" s="150">
        <v>28</v>
      </c>
      <c r="S180" s="39">
        <v>45493</v>
      </c>
      <c r="T180" s="139">
        <v>30</v>
      </c>
      <c r="U180">
        <f t="shared" si="7"/>
        <v>-2</v>
      </c>
    </row>
    <row r="181" spans="17:21" ht="25.2" customHeight="1">
      <c r="Q181" s="150" t="s">
        <v>869</v>
      </c>
      <c r="R181" s="150">
        <v>56</v>
      </c>
      <c r="S181" s="39" t="s">
        <v>870</v>
      </c>
      <c r="T181" s="139">
        <v>56</v>
      </c>
      <c r="U181">
        <f t="shared" si="7"/>
        <v>0</v>
      </c>
    </row>
    <row r="182" spans="17:21" ht="25.2" customHeight="1">
      <c r="Q182" s="150" t="s">
        <v>871</v>
      </c>
      <c r="R182" s="150">
        <v>30</v>
      </c>
      <c r="S182" s="41" t="s">
        <v>872</v>
      </c>
      <c r="T182" s="139">
        <v>28</v>
      </c>
      <c r="U182">
        <f t="shared" si="7"/>
        <v>2</v>
      </c>
    </row>
    <row r="183" spans="17:21" ht="25.2" customHeight="1">
      <c r="Q183" s="150" t="s">
        <v>873</v>
      </c>
      <c r="R183" s="150">
        <v>56</v>
      </c>
      <c r="S183" s="39">
        <v>45507</v>
      </c>
      <c r="T183" s="139">
        <v>28</v>
      </c>
      <c r="U183">
        <f t="shared" si="7"/>
        <v>28</v>
      </c>
    </row>
    <row r="184" spans="17:21" ht="25.2" customHeight="1">
      <c r="Q184" s="150" t="s">
        <v>874</v>
      </c>
      <c r="R184" s="150">
        <v>28</v>
      </c>
      <c r="S184" s="39">
        <v>45510</v>
      </c>
      <c r="T184" s="139">
        <v>30</v>
      </c>
      <c r="U184">
        <f t="shared" si="7"/>
        <v>-2</v>
      </c>
    </row>
    <row r="185" spans="17:21" ht="25.2" customHeight="1">
      <c r="Q185" s="150" t="s">
        <v>875</v>
      </c>
      <c r="R185" s="150">
        <v>28</v>
      </c>
      <c r="S185" s="39" t="s">
        <v>876</v>
      </c>
      <c r="T185" s="139">
        <v>30</v>
      </c>
      <c r="U185">
        <f t="shared" si="7"/>
        <v>-2</v>
      </c>
    </row>
    <row r="186" spans="17:21" ht="25.2" customHeight="1">
      <c r="Q186" s="150" t="s">
        <v>877</v>
      </c>
      <c r="R186" s="150">
        <v>30</v>
      </c>
      <c r="S186" s="39">
        <v>45512</v>
      </c>
      <c r="T186" s="139">
        <v>28</v>
      </c>
      <c r="U186">
        <f t="shared" si="7"/>
        <v>2</v>
      </c>
    </row>
    <row r="187" spans="17:21" ht="25.2" customHeight="1">
      <c r="Q187" s="150" t="s">
        <v>878</v>
      </c>
      <c r="R187" s="150">
        <v>30</v>
      </c>
      <c r="S187" s="39">
        <v>45514</v>
      </c>
      <c r="T187" s="139">
        <v>28</v>
      </c>
      <c r="U187">
        <f t="shared" si="7"/>
        <v>2</v>
      </c>
    </row>
    <row r="188" spans="17:21" ht="25.2" customHeight="1">
      <c r="Q188" s="150" t="s">
        <v>879</v>
      </c>
      <c r="R188" s="150">
        <v>28</v>
      </c>
      <c r="S188" s="39">
        <v>45517</v>
      </c>
      <c r="T188" s="139">
        <v>28</v>
      </c>
      <c r="U188">
        <f t="shared" si="7"/>
        <v>0</v>
      </c>
    </row>
    <row r="189" spans="17:21" ht="25.2" customHeight="1">
      <c r="Q189" s="150" t="s">
        <v>880</v>
      </c>
      <c r="R189" s="150">
        <v>28</v>
      </c>
      <c r="S189" s="39">
        <v>45518</v>
      </c>
      <c r="T189" s="139">
        <v>56</v>
      </c>
      <c r="U189">
        <f t="shared" si="7"/>
        <v>-28</v>
      </c>
    </row>
    <row r="190" spans="17:21" ht="25.2" customHeight="1">
      <c r="Q190" s="150" t="s">
        <v>881</v>
      </c>
      <c r="R190" s="150">
        <v>28</v>
      </c>
      <c r="S190" s="39">
        <v>45521</v>
      </c>
      <c r="T190" s="139">
        <v>30</v>
      </c>
      <c r="U190">
        <f t="shared" si="7"/>
        <v>-2</v>
      </c>
    </row>
    <row r="191" spans="17:21" ht="25.2" customHeight="1">
      <c r="Q191" s="150" t="s">
        <v>882</v>
      </c>
      <c r="R191" s="150">
        <v>28</v>
      </c>
      <c r="S191" s="39">
        <v>45523</v>
      </c>
      <c r="T191" s="139">
        <v>28</v>
      </c>
      <c r="U191">
        <f t="shared" si="7"/>
        <v>0</v>
      </c>
    </row>
    <row r="192" spans="17:21" ht="25.2" customHeight="1">
      <c r="Q192" s="150" t="s">
        <v>883</v>
      </c>
      <c r="R192" s="150">
        <v>30</v>
      </c>
      <c r="S192" s="39">
        <v>45524</v>
      </c>
      <c r="T192" s="139">
        <v>28</v>
      </c>
      <c r="U192">
        <f t="shared" si="7"/>
        <v>2</v>
      </c>
    </row>
    <row r="193" spans="17:21" ht="25.2" customHeight="1">
      <c r="Q193" s="150" t="s">
        <v>884</v>
      </c>
      <c r="R193" s="150">
        <v>28</v>
      </c>
      <c r="S193" s="39">
        <v>45530</v>
      </c>
      <c r="T193" s="139">
        <v>70</v>
      </c>
      <c r="U193">
        <f t="shared" si="7"/>
        <v>-42</v>
      </c>
    </row>
    <row r="194" spans="17:21" ht="25.2" customHeight="1">
      <c r="Q194" s="150" t="s">
        <v>885</v>
      </c>
      <c r="R194" s="150">
        <v>28</v>
      </c>
      <c r="S194" s="39" t="s">
        <v>886</v>
      </c>
      <c r="T194" s="139"/>
      <c r="U194">
        <f t="shared" si="7"/>
        <v>28</v>
      </c>
    </row>
    <row r="195" spans="17:21" ht="25.2" customHeight="1">
      <c r="Q195" s="150" t="s">
        <v>887</v>
      </c>
      <c r="R195" s="150">
        <v>70</v>
      </c>
      <c r="S195" s="39">
        <v>45534</v>
      </c>
      <c r="T195" s="139">
        <v>30</v>
      </c>
      <c r="U195">
        <f t="shared" si="7"/>
        <v>40</v>
      </c>
    </row>
    <row r="196" spans="17:21" ht="25.2" customHeight="1">
      <c r="Q196" s="150" t="s">
        <v>888</v>
      </c>
      <c r="R196" s="150">
        <v>30</v>
      </c>
      <c r="S196" s="39">
        <v>45535</v>
      </c>
      <c r="T196" s="139">
        <v>56</v>
      </c>
      <c r="U196">
        <f t="shared" si="7"/>
        <v>-26</v>
      </c>
    </row>
    <row r="197" spans="17:21" ht="25.2" customHeight="1">
      <c r="Q197" s="150" t="s">
        <v>889</v>
      </c>
      <c r="R197" s="150">
        <v>56</v>
      </c>
      <c r="S197" s="39">
        <v>45541</v>
      </c>
      <c r="T197" s="139">
        <v>28</v>
      </c>
      <c r="U197">
        <f t="shared" si="7"/>
        <v>28</v>
      </c>
    </row>
    <row r="198" spans="17:21" ht="25.2" customHeight="1">
      <c r="Q198" s="150" t="s">
        <v>890</v>
      </c>
      <c r="R198" s="150">
        <v>28</v>
      </c>
      <c r="S198" s="39">
        <v>45542</v>
      </c>
      <c r="T198" s="139">
        <v>28</v>
      </c>
      <c r="U198">
        <f t="shared" si="7"/>
        <v>0</v>
      </c>
    </row>
    <row r="199" spans="17:21" ht="25.2" customHeight="1">
      <c r="Q199" s="150" t="s">
        <v>891</v>
      </c>
      <c r="R199" s="150">
        <v>28</v>
      </c>
      <c r="S199" s="39">
        <v>45545</v>
      </c>
      <c r="T199" s="139">
        <v>28</v>
      </c>
      <c r="U199">
        <f t="shared" si="7"/>
        <v>0</v>
      </c>
    </row>
    <row r="200" spans="17:21" ht="25.2" customHeight="1">
      <c r="Q200" s="150" t="s">
        <v>892</v>
      </c>
      <c r="R200" s="150">
        <v>28</v>
      </c>
      <c r="S200" s="39">
        <v>45553</v>
      </c>
      <c r="T200" s="139">
        <v>28</v>
      </c>
      <c r="U200">
        <f t="shared" si="7"/>
        <v>0</v>
      </c>
    </row>
    <row r="201" spans="17:21" ht="25.2" customHeight="1">
      <c r="Q201" s="150" t="s">
        <v>893</v>
      </c>
      <c r="R201" s="150">
        <v>28</v>
      </c>
      <c r="S201" s="39" t="s">
        <v>894</v>
      </c>
      <c r="T201" s="139">
        <v>14</v>
      </c>
      <c r="U201">
        <f t="shared" si="7"/>
        <v>14</v>
      </c>
    </row>
    <row r="202" spans="17:21" ht="25.2" customHeight="1">
      <c r="Q202" s="150" t="s">
        <v>895</v>
      </c>
      <c r="R202" s="150">
        <v>14</v>
      </c>
      <c r="S202" s="39">
        <v>45555</v>
      </c>
      <c r="T202" s="139">
        <v>30</v>
      </c>
      <c r="U202">
        <f t="shared" si="7"/>
        <v>-16</v>
      </c>
    </row>
    <row r="203" spans="17:21" ht="25.2" customHeight="1">
      <c r="Q203" s="150" t="s">
        <v>896</v>
      </c>
      <c r="R203" s="150">
        <v>30</v>
      </c>
      <c r="S203" s="39" t="s">
        <v>897</v>
      </c>
      <c r="T203" s="139">
        <v>28</v>
      </c>
      <c r="U203">
        <f t="shared" si="7"/>
        <v>2</v>
      </c>
    </row>
    <row r="204" spans="17:21" ht="25.2" customHeight="1">
      <c r="Q204" s="150" t="s">
        <v>898</v>
      </c>
      <c r="R204" s="150">
        <v>28</v>
      </c>
      <c r="S204" s="39" t="s">
        <v>899</v>
      </c>
      <c r="T204" s="139">
        <v>84</v>
      </c>
      <c r="U204">
        <f t="shared" si="7"/>
        <v>-56</v>
      </c>
    </row>
    <row r="205" spans="17:21" ht="25.2" customHeight="1">
      <c r="Q205" s="150" t="s">
        <v>900</v>
      </c>
      <c r="R205" s="150">
        <v>84</v>
      </c>
      <c r="S205" s="39" t="s">
        <v>901</v>
      </c>
      <c r="T205" s="139">
        <v>28</v>
      </c>
      <c r="U205">
        <f t="shared" si="7"/>
        <v>56</v>
      </c>
    </row>
    <row r="206" spans="17:21" ht="25.2" customHeight="1">
      <c r="Q206" s="150" t="s">
        <v>902</v>
      </c>
      <c r="R206" s="150">
        <v>28</v>
      </c>
      <c r="S206" s="39">
        <v>45563</v>
      </c>
      <c r="T206" s="139">
        <v>31</v>
      </c>
      <c r="U206">
        <f t="shared" si="7"/>
        <v>-3</v>
      </c>
    </row>
    <row r="207" spans="17:21" ht="25.2" customHeight="1">
      <c r="Q207" s="150" t="s">
        <v>903</v>
      </c>
      <c r="R207" s="150">
        <v>31</v>
      </c>
      <c r="S207" s="39">
        <v>45572</v>
      </c>
      <c r="T207" s="139"/>
      <c r="U207">
        <f t="shared" ref="U207:U238" si="8">R207-T207</f>
        <v>31</v>
      </c>
    </row>
    <row r="208" spans="17:21" ht="25.2" customHeight="1">
      <c r="Q208" s="150" t="s">
        <v>904</v>
      </c>
      <c r="R208" s="150">
        <v>30</v>
      </c>
      <c r="S208" s="39">
        <v>45574</v>
      </c>
      <c r="T208" s="139">
        <v>30</v>
      </c>
      <c r="U208">
        <f t="shared" si="8"/>
        <v>0</v>
      </c>
    </row>
    <row r="209" spans="17:21" ht="25.2" customHeight="1">
      <c r="Q209" s="150" t="s">
        <v>905</v>
      </c>
      <c r="R209" s="150">
        <v>70</v>
      </c>
      <c r="S209" s="39">
        <v>45577</v>
      </c>
      <c r="T209" s="139">
        <v>70</v>
      </c>
      <c r="U209">
        <f t="shared" si="8"/>
        <v>0</v>
      </c>
    </row>
    <row r="210" spans="17:21" ht="25.2" customHeight="1">
      <c r="Q210" s="150" t="s">
        <v>906</v>
      </c>
      <c r="R210" s="150">
        <v>28</v>
      </c>
      <c r="S210" s="39" t="s">
        <v>907</v>
      </c>
      <c r="T210" s="139">
        <v>28</v>
      </c>
      <c r="U210">
        <f t="shared" si="8"/>
        <v>0</v>
      </c>
    </row>
    <row r="211" spans="17:21" ht="25.2" customHeight="1">
      <c r="Q211" s="150" t="s">
        <v>908</v>
      </c>
      <c r="R211" s="150">
        <v>28</v>
      </c>
      <c r="S211" s="39">
        <v>45580</v>
      </c>
      <c r="U211">
        <f t="shared" si="8"/>
        <v>28</v>
      </c>
    </row>
    <row r="212" spans="17:21" ht="25.2" customHeight="1">
      <c r="S212" s="39">
        <v>45581</v>
      </c>
      <c r="U212">
        <f t="shared" si="8"/>
        <v>0</v>
      </c>
    </row>
    <row r="213" spans="17:21" ht="25.2" customHeight="1">
      <c r="S213" s="39">
        <v>45582</v>
      </c>
      <c r="U213">
        <f t="shared" si="8"/>
        <v>0</v>
      </c>
    </row>
    <row r="214" spans="17:21" ht="25.2" customHeight="1">
      <c r="S214" s="39" t="s">
        <v>909</v>
      </c>
      <c r="U214">
        <f t="shared" si="8"/>
        <v>0</v>
      </c>
    </row>
    <row r="215" spans="17:21" ht="25.2" customHeight="1">
      <c r="S215" s="39">
        <v>45586</v>
      </c>
      <c r="U215">
        <f t="shared" si="8"/>
        <v>0</v>
      </c>
    </row>
    <row r="216" spans="17:21" ht="25.2" customHeight="1">
      <c r="S216" s="39" t="s">
        <v>910</v>
      </c>
      <c r="U216">
        <f t="shared" si="8"/>
        <v>0</v>
      </c>
    </row>
    <row r="217" spans="17:21" ht="25.2" customHeight="1">
      <c r="S217" s="39">
        <v>45588</v>
      </c>
      <c r="U217">
        <f t="shared" si="8"/>
        <v>0</v>
      </c>
    </row>
    <row r="218" spans="17:21" ht="25.2" customHeight="1">
      <c r="U218">
        <f t="shared" si="8"/>
        <v>0</v>
      </c>
    </row>
    <row r="219" spans="17:21" ht="25.2" customHeight="1"/>
    <row r="220" spans="17:21" ht="25.2" customHeight="1"/>
    <row r="221" spans="17:21" ht="25.2" customHeight="1"/>
    <row r="222" spans="17:21" ht="25.2" customHeight="1"/>
    <row r="223" spans="17:21" ht="25.2" customHeight="1"/>
    <row r="224" spans="17:21" ht="25.2" customHeight="1"/>
    <row r="225" ht="25.2" customHeight="1"/>
    <row r="226" ht="25.2" customHeight="1"/>
    <row r="227" ht="25.2" customHeight="1"/>
    <row r="228" ht="25.2" customHeight="1"/>
    <row r="229" ht="25.2" customHeight="1"/>
    <row r="230" ht="25.2" customHeight="1"/>
    <row r="231" ht="25.2" customHeight="1"/>
    <row r="232" ht="25.2" customHeight="1"/>
    <row r="233" ht="25.2" customHeight="1"/>
    <row r="234" ht="25.2" customHeight="1"/>
    <row r="235" ht="25.2" customHeight="1"/>
    <row r="236" ht="25.2" customHeight="1"/>
    <row r="237" ht="25.2" customHeight="1"/>
    <row r="238" ht="25.2" customHeight="1"/>
    <row r="239" ht="25.2" customHeight="1"/>
    <row r="240" ht="25.2" customHeight="1"/>
    <row r="241" ht="25.2" customHeight="1"/>
    <row r="242" ht="25.2" customHeight="1"/>
    <row r="243" ht="25.2" customHeight="1"/>
    <row r="244" ht="25.2" customHeight="1"/>
    <row r="245" ht="25.2" customHeight="1"/>
    <row r="246" ht="25.2" customHeight="1"/>
    <row r="247" ht="25.2" customHeight="1"/>
    <row r="248" ht="25.2" customHeight="1"/>
    <row r="249" ht="25.2" customHeight="1"/>
    <row r="250" ht="25.2" customHeight="1"/>
    <row r="251" ht="25.2" customHeight="1"/>
    <row r="252" ht="25.2" customHeight="1"/>
    <row r="253" ht="25.2" customHeight="1"/>
    <row r="254" ht="25.2" customHeight="1"/>
    <row r="255" ht="25.2" customHeight="1"/>
    <row r="256" ht="25.2" customHeight="1"/>
    <row r="257" ht="25.2" customHeight="1"/>
    <row r="258" ht="25.2" customHeight="1"/>
    <row r="259" ht="25.2" customHeight="1"/>
    <row r="260" ht="25.2" customHeight="1"/>
    <row r="261" ht="25.2" customHeight="1"/>
    <row r="262" ht="25.2" customHeight="1"/>
    <row r="263" ht="25.2" customHeight="1"/>
    <row r="264" ht="25.2" customHeight="1"/>
    <row r="265" ht="25.2" customHeight="1"/>
    <row r="266" ht="25.2" customHeight="1"/>
    <row r="267" ht="25.2" customHeight="1"/>
    <row r="268" ht="25.2" customHeight="1"/>
    <row r="269" ht="25.2" customHeight="1"/>
    <row r="270" ht="25.2" customHeight="1"/>
    <row r="271" ht="25.2" customHeight="1"/>
    <row r="272" ht="25.2" customHeight="1"/>
    <row r="273" ht="25.2" customHeight="1"/>
    <row r="274" ht="25.2" customHeight="1"/>
    <row r="275" ht="25.2" customHeight="1"/>
    <row r="276" ht="25.2" customHeight="1"/>
    <row r="277" ht="25.2" customHeight="1"/>
    <row r="278" ht="25.2" customHeight="1"/>
    <row r="279" ht="25.2" customHeight="1"/>
    <row r="280" ht="25.2" customHeight="1"/>
    <row r="281" ht="25.2" customHeight="1"/>
    <row r="282" ht="25.2" customHeight="1"/>
    <row r="283" ht="25.2" customHeight="1"/>
    <row r="284" ht="25.2" customHeight="1"/>
    <row r="285" ht="25.2" customHeight="1"/>
    <row r="286" ht="25.2" customHeight="1"/>
    <row r="287" ht="25.2" customHeight="1"/>
    <row r="288" ht="25.2" customHeight="1"/>
    <row r="289" ht="25.2" customHeight="1"/>
    <row r="290" ht="25.2" customHeight="1"/>
    <row r="291" ht="25.2" customHeight="1"/>
    <row r="292" ht="25.2" customHeight="1"/>
    <row r="293" ht="25.2" customHeight="1"/>
    <row r="294" ht="25.2" customHeight="1"/>
    <row r="295" ht="25.2" customHeight="1"/>
    <row r="296" ht="25.2" customHeight="1"/>
    <row r="297" ht="25.2" customHeight="1"/>
    <row r="298" ht="25.2" customHeight="1"/>
    <row r="299" ht="25.2" customHeight="1"/>
    <row r="300" ht="25.2" customHeight="1"/>
    <row r="301" ht="25.2" customHeight="1"/>
    <row r="302" ht="25.2" customHeight="1"/>
    <row r="303" ht="25.2" customHeight="1"/>
    <row r="304" ht="25.2" customHeight="1"/>
    <row r="305" ht="25.2" customHeight="1"/>
    <row r="306" ht="25.2" customHeight="1"/>
    <row r="307" ht="25.2" customHeight="1"/>
    <row r="308" ht="25.2" customHeight="1"/>
    <row r="309" ht="25.2" customHeight="1"/>
    <row r="310" ht="25.2" customHeight="1"/>
    <row r="311" ht="25.2" customHeight="1"/>
    <row r="312" ht="25.2" customHeight="1"/>
    <row r="313" ht="25.2" customHeight="1"/>
    <row r="314" ht="25.2" customHeight="1"/>
    <row r="315" ht="25.2" customHeight="1"/>
    <row r="316" ht="25.2" customHeight="1"/>
    <row r="317" ht="25.2" customHeight="1"/>
    <row r="318" ht="25.2" customHeight="1"/>
    <row r="319" ht="25.2" customHeight="1"/>
    <row r="320" ht="25.2" customHeight="1"/>
    <row r="321" ht="25.2" customHeight="1"/>
    <row r="322" ht="25.2" customHeight="1"/>
    <row r="323" ht="25.2" customHeight="1"/>
    <row r="324" ht="25.2" customHeight="1"/>
    <row r="325" ht="25.2" customHeight="1"/>
    <row r="326" ht="25.2" customHeight="1"/>
    <row r="327" ht="25.2" customHeight="1"/>
    <row r="328" ht="25.2" customHeight="1"/>
    <row r="329" ht="25.2" customHeight="1"/>
    <row r="330" ht="25.2" customHeight="1"/>
    <row r="331" ht="25.2" customHeight="1"/>
    <row r="332" ht="25.2" customHeight="1"/>
    <row r="333" ht="25.2" customHeight="1"/>
    <row r="334" ht="25.2" customHeight="1"/>
    <row r="335" ht="25.2" customHeight="1"/>
    <row r="336" ht="25.2" customHeight="1"/>
    <row r="337" ht="25.2" customHeight="1"/>
    <row r="338" ht="25.2" customHeight="1"/>
    <row r="339" ht="25.2" customHeight="1"/>
    <row r="340" ht="25.2" customHeight="1"/>
  </sheetData>
  <mergeCells count="294">
    <mergeCell ref="D147:E147"/>
    <mergeCell ref="F38:G38"/>
    <mergeCell ref="F90:G90"/>
    <mergeCell ref="D43:E43"/>
    <mergeCell ref="D122:E122"/>
    <mergeCell ref="D137:E137"/>
    <mergeCell ref="E3:G3"/>
    <mergeCell ref="D58:E58"/>
    <mergeCell ref="D18:E18"/>
    <mergeCell ref="F131:G131"/>
    <mergeCell ref="F27:G27"/>
    <mergeCell ref="F58:G58"/>
    <mergeCell ref="F140:G140"/>
    <mergeCell ref="F52:G52"/>
    <mergeCell ref="F67:G67"/>
    <mergeCell ref="D8:E8"/>
    <mergeCell ref="D121:E121"/>
    <mergeCell ref="F37:G37"/>
    <mergeCell ref="B3:D3"/>
    <mergeCell ref="D74:E74"/>
    <mergeCell ref="D130:E130"/>
    <mergeCell ref="D68:E68"/>
    <mergeCell ref="D42:E42"/>
    <mergeCell ref="F130:G130"/>
    <mergeCell ref="D136:E136"/>
    <mergeCell ref="F113:G113"/>
    <mergeCell ref="D145:E145"/>
    <mergeCell ref="D32:E32"/>
    <mergeCell ref="F145:G145"/>
    <mergeCell ref="F32:G32"/>
    <mergeCell ref="D97:E97"/>
    <mergeCell ref="D41:E41"/>
    <mergeCell ref="F26:G26"/>
    <mergeCell ref="F97:G97"/>
    <mergeCell ref="F41:G41"/>
    <mergeCell ref="F35:G35"/>
    <mergeCell ref="F106:G106"/>
    <mergeCell ref="F129:G129"/>
    <mergeCell ref="D87:E87"/>
    <mergeCell ref="D82:E82"/>
    <mergeCell ref="F82:G82"/>
    <mergeCell ref="F60:G60"/>
    <mergeCell ref="D123:E123"/>
    <mergeCell ref="F123:G123"/>
    <mergeCell ref="D50:E50"/>
    <mergeCell ref="D110:E110"/>
    <mergeCell ref="D44:E44"/>
    <mergeCell ref="D59:E59"/>
    <mergeCell ref="F12:G12"/>
    <mergeCell ref="F24:G24"/>
    <mergeCell ref="D95:E95"/>
    <mergeCell ref="F95:G95"/>
    <mergeCell ref="D104:E104"/>
    <mergeCell ref="F104:G104"/>
    <mergeCell ref="B2:I2"/>
    <mergeCell ref="F51:G51"/>
    <mergeCell ref="D57:E57"/>
    <mergeCell ref="D16:E16"/>
    <mergeCell ref="F44:G44"/>
    <mergeCell ref="D146:E146"/>
    <mergeCell ref="F141:G141"/>
    <mergeCell ref="D93:E93"/>
    <mergeCell ref="F115:G115"/>
    <mergeCell ref="D28:E28"/>
    <mergeCell ref="F93:G93"/>
    <mergeCell ref="D102:E102"/>
    <mergeCell ref="F22:G22"/>
    <mergeCell ref="F102:G102"/>
    <mergeCell ref="D25:E25"/>
    <mergeCell ref="D83:E83"/>
    <mergeCell ref="F77:G77"/>
    <mergeCell ref="D117:E117"/>
    <mergeCell ref="D92:E92"/>
    <mergeCell ref="D143:E143"/>
    <mergeCell ref="F117:G117"/>
    <mergeCell ref="D30:E30"/>
    <mergeCell ref="D55:E55"/>
    <mergeCell ref="F92:G92"/>
    <mergeCell ref="D67:E67"/>
    <mergeCell ref="D133:E133"/>
    <mergeCell ref="F49:G49"/>
    <mergeCell ref="D85:E85"/>
    <mergeCell ref="D54:E54"/>
    <mergeCell ref="D144:E144"/>
    <mergeCell ref="F73:G73"/>
    <mergeCell ref="F87:G87"/>
    <mergeCell ref="F147:G147"/>
    <mergeCell ref="D63:E63"/>
    <mergeCell ref="D128:E128"/>
    <mergeCell ref="D81:E81"/>
    <mergeCell ref="F128:G128"/>
    <mergeCell ref="F137:G137"/>
    <mergeCell ref="F89:G89"/>
    <mergeCell ref="F124:G124"/>
    <mergeCell ref="D96:E96"/>
    <mergeCell ref="D65:E65"/>
    <mergeCell ref="D105:E105"/>
    <mergeCell ref="D139:E139"/>
    <mergeCell ref="F139:G139"/>
    <mergeCell ref="D120:E120"/>
    <mergeCell ref="F114:G114"/>
    <mergeCell ref="D107:E107"/>
    <mergeCell ref="D116:E116"/>
    <mergeCell ref="F110:G110"/>
    <mergeCell ref="F101:G101"/>
    <mergeCell ref="D91:E91"/>
    <mergeCell ref="F91:G91"/>
    <mergeCell ref="D142:E142"/>
    <mergeCell ref="D29:E29"/>
    <mergeCell ref="F136:G136"/>
    <mergeCell ref="D23:E23"/>
    <mergeCell ref="A1:I1"/>
    <mergeCell ref="D38:E38"/>
    <mergeCell ref="D129:E129"/>
    <mergeCell ref="D89:E89"/>
    <mergeCell ref="D79:E79"/>
    <mergeCell ref="F64:G64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F100:G100"/>
    <mergeCell ref="D106:E106"/>
    <mergeCell ref="A5:B5"/>
    <mergeCell ref="D12:E12"/>
    <mergeCell ref="D9:E9"/>
    <mergeCell ref="D118:E118"/>
    <mergeCell ref="F9:G9"/>
    <mergeCell ref="H3:I3"/>
    <mergeCell ref="D39:E39"/>
    <mergeCell ref="F61:G61"/>
    <mergeCell ref="F39:G39"/>
    <mergeCell ref="F48:G48"/>
    <mergeCell ref="D15:E15"/>
    <mergeCell ref="D14:E14"/>
    <mergeCell ref="E4:G4"/>
    <mergeCell ref="F14:G14"/>
    <mergeCell ref="D94:E94"/>
    <mergeCell ref="D69:E69"/>
    <mergeCell ref="F11:G11"/>
    <mergeCell ref="F69:G69"/>
    <mergeCell ref="D109:E109"/>
    <mergeCell ref="F78:G78"/>
    <mergeCell ref="F112:G112"/>
    <mergeCell ref="F65:G65"/>
    <mergeCell ref="D46:E46"/>
    <mergeCell ref="D40:E40"/>
    <mergeCell ref="H4:I4"/>
    <mergeCell ref="D80:E80"/>
    <mergeCell ref="D132:E132"/>
    <mergeCell ref="D66:E66"/>
    <mergeCell ref="D126:E126"/>
    <mergeCell ref="F66:G66"/>
    <mergeCell ref="F17:G17"/>
    <mergeCell ref="F126:G126"/>
    <mergeCell ref="D53:E53"/>
    <mergeCell ref="F75:G75"/>
    <mergeCell ref="D75:E75"/>
    <mergeCell ref="D47:E47"/>
    <mergeCell ref="F109:G109"/>
    <mergeCell ref="F47:G47"/>
    <mergeCell ref="F62:G62"/>
    <mergeCell ref="D103:E103"/>
    <mergeCell ref="D37:E37"/>
    <mergeCell ref="F31:G31"/>
    <mergeCell ref="F46:G46"/>
    <mergeCell ref="F28:G28"/>
    <mergeCell ref="F111:G111"/>
    <mergeCell ref="F119:G119"/>
    <mergeCell ref="F132:G132"/>
    <mergeCell ref="D119:E119"/>
    <mergeCell ref="F127:G127"/>
    <mergeCell ref="F40:G40"/>
    <mergeCell ref="F10:G10"/>
    <mergeCell ref="F19:G19"/>
    <mergeCell ref="F63:G63"/>
    <mergeCell ref="F34:G34"/>
    <mergeCell ref="F146:G146"/>
    <mergeCell ref="D99:E99"/>
    <mergeCell ref="D90:E90"/>
    <mergeCell ref="F6:G6"/>
    <mergeCell ref="F99:G99"/>
    <mergeCell ref="D131:E131"/>
    <mergeCell ref="F74:G74"/>
    <mergeCell ref="D140:E140"/>
    <mergeCell ref="F83:G83"/>
    <mergeCell ref="D101:E101"/>
    <mergeCell ref="F30:G30"/>
    <mergeCell ref="D124:E124"/>
    <mergeCell ref="D11:E11"/>
    <mergeCell ref="D76:E76"/>
    <mergeCell ref="F138:G138"/>
    <mergeCell ref="F20:G20"/>
    <mergeCell ref="F76:G76"/>
    <mergeCell ref="F33:G33"/>
    <mergeCell ref="F45:G45"/>
    <mergeCell ref="F18:G18"/>
    <mergeCell ref="B4:D4"/>
    <mergeCell ref="F121:G121"/>
    <mergeCell ref="D62:E62"/>
    <mergeCell ref="F13:G13"/>
    <mergeCell ref="D56:E56"/>
    <mergeCell ref="D127:E127"/>
    <mergeCell ref="F96:G96"/>
    <mergeCell ref="F71:G71"/>
    <mergeCell ref="F56:G56"/>
    <mergeCell ref="D71:E71"/>
    <mergeCell ref="F105:G105"/>
    <mergeCell ref="D114:E114"/>
    <mergeCell ref="F43:G43"/>
    <mergeCell ref="D24:E24"/>
    <mergeCell ref="D64:E64"/>
    <mergeCell ref="D33:E33"/>
    <mergeCell ref="D98:E98"/>
    <mergeCell ref="F120:G120"/>
    <mergeCell ref="D73:E73"/>
    <mergeCell ref="D51:E51"/>
    <mergeCell ref="F98:G98"/>
    <mergeCell ref="D113:E113"/>
    <mergeCell ref="F107:G107"/>
    <mergeCell ref="D88:E88"/>
    <mergeCell ref="F135:G135"/>
    <mergeCell ref="F70:G70"/>
    <mergeCell ref="F144:G144"/>
    <mergeCell ref="F122:G122"/>
    <mergeCell ref="D125:E125"/>
    <mergeCell ref="D7:E7"/>
    <mergeCell ref="D72:E72"/>
    <mergeCell ref="D78:E78"/>
    <mergeCell ref="F125:G125"/>
    <mergeCell ref="D134:E134"/>
    <mergeCell ref="F72:G72"/>
    <mergeCell ref="F134:G134"/>
    <mergeCell ref="D112:E112"/>
    <mergeCell ref="F81:G81"/>
    <mergeCell ref="F23:G23"/>
    <mergeCell ref="D26:E26"/>
    <mergeCell ref="F57:G57"/>
    <mergeCell ref="F88:G88"/>
    <mergeCell ref="D35:E35"/>
    <mergeCell ref="D115:E115"/>
    <mergeCell ref="D10:E10"/>
    <mergeCell ref="D138:E138"/>
    <mergeCell ref="F54:G54"/>
    <mergeCell ref="D19:E19"/>
    <mergeCell ref="C5:G5"/>
    <mergeCell ref="D84:E84"/>
    <mergeCell ref="D22:E22"/>
    <mergeCell ref="F84:G84"/>
    <mergeCell ref="D36:E36"/>
    <mergeCell ref="D31:E31"/>
    <mergeCell ref="F143:G143"/>
    <mergeCell ref="F118:G118"/>
    <mergeCell ref="D45:E45"/>
    <mergeCell ref="D6:E6"/>
    <mergeCell ref="D77:E77"/>
    <mergeCell ref="D108:E108"/>
    <mergeCell ref="D86:E86"/>
    <mergeCell ref="F15:G15"/>
    <mergeCell ref="F133:G133"/>
    <mergeCell ref="F86:G86"/>
    <mergeCell ref="F142:G142"/>
    <mergeCell ref="D13:E13"/>
    <mergeCell ref="F80:G80"/>
    <mergeCell ref="D61:E61"/>
    <mergeCell ref="D141:E141"/>
    <mergeCell ref="D70:E70"/>
    <mergeCell ref="D135:E135"/>
    <mergeCell ref="D48:E48"/>
    <mergeCell ref="D20:E20"/>
    <mergeCell ref="D60:E60"/>
    <mergeCell ref="D100:E100"/>
    <mergeCell ref="F29:G29"/>
    <mergeCell ref="F116:G116"/>
    <mergeCell ref="F16:G16"/>
    <mergeCell ref="F68:G68"/>
    <mergeCell ref="F103:G103"/>
    <mergeCell ref="F25:G25"/>
    <mergeCell ref="F108:G108"/>
    <mergeCell ref="F79:G79"/>
    <mergeCell ref="D34:E34"/>
    <mergeCell ref="F85:G85"/>
    <mergeCell ref="F42:G42"/>
    <mergeCell ref="F94:G94"/>
    <mergeCell ref="D111:E111"/>
    <mergeCell ref="D21:E21"/>
    <mergeCell ref="F59:G59"/>
    <mergeCell ref="F55:G55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A1:P104"/>
  <sheetViews>
    <sheetView zoomScale="90" zoomScaleNormal="90" workbookViewId="0">
      <pane ySplit="6" topLeftCell="A19" activePane="bottomLeft" state="frozen"/>
      <selection pane="bottomLeft" activeCell="I21" sqref="I2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6.77734375" style="246" customWidth="1"/>
    <col min="7" max="7" width="3.77734375" style="246" customWidth="1"/>
    <col min="8" max="8" width="9.109375" style="246" customWidth="1"/>
    <col min="9" max="9" width="20.44140625" style="246" customWidth="1"/>
    <col min="10" max="10" width="16" style="246" bestFit="1" customWidth="1"/>
  </cols>
  <sheetData>
    <row r="1" spans="1:16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62" t="s">
        <v>332</v>
      </c>
      <c r="K1" s="1"/>
      <c r="L1" s="38" t="s">
        <v>323</v>
      </c>
      <c r="M1" s="38" t="s">
        <v>324</v>
      </c>
      <c r="N1" s="1"/>
      <c r="O1" s="1"/>
      <c r="P1" s="162" t="s">
        <v>38</v>
      </c>
    </row>
    <row r="2" spans="1:16" ht="34.950000000000003" customHeight="1">
      <c r="A2" s="33" t="s">
        <v>911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6" ht="19.5" customHeight="1">
      <c r="A3" s="23" t="s">
        <v>9</v>
      </c>
      <c r="B3" s="282" t="s">
        <v>912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Xanax XR E.R 0.5mg</v>
      </c>
      <c r="K3" s="34" t="s">
        <v>913</v>
      </c>
      <c r="L3" s="5">
        <f>H7</f>
        <v>150</v>
      </c>
      <c r="M3" s="3">
        <f>SUM(C$8:C$1048576)</f>
        <v>710</v>
      </c>
      <c r="N3" s="3">
        <f>SUM(F:F)</f>
        <v>762</v>
      </c>
      <c r="O3" s="3">
        <f>L3+M3-N3</f>
        <v>98</v>
      </c>
    </row>
    <row r="4" spans="1:16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681</v>
      </c>
      <c r="I4" s="269"/>
      <c r="J4" s="12"/>
      <c r="K4" s="3"/>
      <c r="L4" s="3"/>
      <c r="M4" s="3"/>
      <c r="N4" s="3"/>
      <c r="O4" s="3"/>
    </row>
    <row r="5" spans="1:16" ht="19.5" customHeight="1">
      <c r="A5" s="272" t="s">
        <v>18</v>
      </c>
      <c r="B5" s="260"/>
      <c r="C5" s="262" t="s">
        <v>914</v>
      </c>
      <c r="D5" s="263"/>
      <c r="E5" s="263"/>
      <c r="F5" s="263"/>
      <c r="G5" s="260"/>
      <c r="H5" s="95" t="s">
        <v>20</v>
      </c>
      <c r="I5" s="24" t="s">
        <v>21</v>
      </c>
      <c r="J5" s="12"/>
      <c r="K5" s="3"/>
      <c r="L5" s="3"/>
      <c r="M5" s="3"/>
      <c r="N5" s="3"/>
      <c r="O5" s="3"/>
    </row>
    <row r="6" spans="1:16" s="98" customFormat="1" ht="15.75" customHeight="1">
      <c r="A6" s="94" t="s">
        <v>22</v>
      </c>
      <c r="B6" s="95" t="s">
        <v>23</v>
      </c>
      <c r="C6" s="95" t="s">
        <v>24</v>
      </c>
      <c r="D6" s="306" t="s">
        <v>25</v>
      </c>
      <c r="E6" s="260"/>
      <c r="F6" s="306" t="s">
        <v>26</v>
      </c>
      <c r="G6" s="260"/>
      <c r="H6" s="95" t="s">
        <v>27</v>
      </c>
      <c r="I6" s="77" t="s">
        <v>28</v>
      </c>
      <c r="J6" s="96"/>
      <c r="K6" s="97"/>
      <c r="L6" s="97"/>
      <c r="M6" s="97"/>
      <c r="N6" s="97"/>
      <c r="O6" s="97"/>
    </row>
    <row r="7" spans="1:16" ht="28.95" customHeight="1">
      <c r="A7" s="196" t="s">
        <v>29</v>
      </c>
      <c r="B7" s="155" t="s">
        <v>5</v>
      </c>
      <c r="C7" s="155">
        <v>150</v>
      </c>
      <c r="D7" s="280"/>
      <c r="E7" s="260"/>
      <c r="F7" s="280"/>
      <c r="G7" s="260"/>
      <c r="H7" s="155">
        <v>150</v>
      </c>
      <c r="I7" s="210" t="s">
        <v>571</v>
      </c>
      <c r="J7" s="12"/>
      <c r="K7" s="3"/>
      <c r="L7" s="3"/>
      <c r="M7" s="3"/>
      <c r="N7" s="3"/>
      <c r="O7" s="3"/>
    </row>
    <row r="8" spans="1:16" ht="21.6" customHeight="1">
      <c r="A8" s="161" t="s">
        <v>694</v>
      </c>
      <c r="B8" s="38" t="s">
        <v>324</v>
      </c>
      <c r="C8" s="38">
        <v>60</v>
      </c>
      <c r="D8" s="308" t="s">
        <v>915</v>
      </c>
      <c r="E8" s="260"/>
      <c r="F8" s="279"/>
      <c r="G8" s="260"/>
      <c r="H8" s="38">
        <v>210</v>
      </c>
      <c r="I8" s="162" t="s">
        <v>437</v>
      </c>
      <c r="J8" s="12"/>
      <c r="K8" s="3"/>
      <c r="L8" s="3"/>
      <c r="M8" s="3"/>
      <c r="N8" s="3"/>
      <c r="O8" s="3"/>
    </row>
    <row r="9" spans="1:16" ht="21.6" customHeight="1">
      <c r="A9" s="39" t="s">
        <v>409</v>
      </c>
      <c r="B9" s="38" t="s">
        <v>323</v>
      </c>
      <c r="C9" s="38"/>
      <c r="D9" s="308"/>
      <c r="E9" s="260"/>
      <c r="F9" s="279">
        <v>28</v>
      </c>
      <c r="G9" s="260"/>
      <c r="H9" s="38">
        <f>H8-F9</f>
        <v>182</v>
      </c>
      <c r="I9" s="162" t="s">
        <v>916</v>
      </c>
      <c r="J9" s="12"/>
      <c r="K9" s="3"/>
      <c r="L9" s="3"/>
      <c r="M9" s="3"/>
      <c r="N9" s="3"/>
      <c r="O9" s="3"/>
    </row>
    <row r="10" spans="1:16" ht="21.6" customHeight="1">
      <c r="A10" s="161" t="s">
        <v>335</v>
      </c>
      <c r="B10" s="38" t="s">
        <v>324</v>
      </c>
      <c r="C10" s="38">
        <v>30</v>
      </c>
      <c r="D10" s="308" t="s">
        <v>915</v>
      </c>
      <c r="E10" s="260"/>
      <c r="F10" s="279"/>
      <c r="G10" s="260"/>
      <c r="H10" s="38">
        <v>212</v>
      </c>
      <c r="I10" s="162" t="s">
        <v>414</v>
      </c>
      <c r="J10" s="12"/>
      <c r="K10" s="3"/>
      <c r="L10" s="3"/>
      <c r="M10" s="3"/>
      <c r="N10" s="3"/>
      <c r="O10" s="3"/>
    </row>
    <row r="11" spans="1:16" ht="21.6" customHeight="1">
      <c r="A11" s="39" t="s">
        <v>524</v>
      </c>
      <c r="B11" s="38" t="s">
        <v>323</v>
      </c>
      <c r="C11" s="38"/>
      <c r="D11" s="308"/>
      <c r="E11" s="260"/>
      <c r="F11" s="279">
        <v>28</v>
      </c>
      <c r="G11" s="260"/>
      <c r="H11" s="38">
        <f>H10-F11</f>
        <v>184</v>
      </c>
      <c r="I11" s="162" t="s">
        <v>414</v>
      </c>
      <c r="J11" s="12"/>
      <c r="K11" s="3"/>
      <c r="L11" s="3"/>
      <c r="M11" s="3"/>
      <c r="N11" s="3"/>
      <c r="O11" s="3"/>
    </row>
    <row r="12" spans="1:16" ht="21.6" customHeight="1">
      <c r="A12" s="161" t="s">
        <v>524</v>
      </c>
      <c r="B12" s="38" t="s">
        <v>324</v>
      </c>
      <c r="C12" s="38">
        <v>180</v>
      </c>
      <c r="D12" s="308" t="s">
        <v>917</v>
      </c>
      <c r="E12" s="260"/>
      <c r="F12" s="279"/>
      <c r="G12" s="260"/>
      <c r="H12" s="38">
        <v>364</v>
      </c>
      <c r="I12" s="162" t="s">
        <v>437</v>
      </c>
      <c r="J12" s="12"/>
      <c r="K12" s="3"/>
      <c r="L12" s="3"/>
      <c r="M12" s="3"/>
      <c r="N12" s="3"/>
      <c r="O12" s="3"/>
    </row>
    <row r="13" spans="1:16" ht="21.6" customHeight="1">
      <c r="A13" s="41" t="s">
        <v>383</v>
      </c>
      <c r="B13" s="38" t="s">
        <v>323</v>
      </c>
      <c r="C13" s="38"/>
      <c r="D13" s="308"/>
      <c r="E13" s="260"/>
      <c r="F13" s="279">
        <v>56</v>
      </c>
      <c r="G13" s="260"/>
      <c r="H13" s="38">
        <f t="shared" ref="H13:H19" si="0">H12-F13</f>
        <v>308</v>
      </c>
      <c r="I13" s="162"/>
      <c r="J13" s="12"/>
      <c r="K13" s="3"/>
      <c r="L13" s="3"/>
      <c r="M13" s="3"/>
      <c r="N13" s="3"/>
      <c r="O13" s="3"/>
    </row>
    <row r="14" spans="1:16" ht="21.6" customHeight="1">
      <c r="A14" s="161" t="s">
        <v>339</v>
      </c>
      <c r="B14" s="38" t="s">
        <v>323</v>
      </c>
      <c r="C14" s="38"/>
      <c r="D14" s="308"/>
      <c r="E14" s="260"/>
      <c r="F14" s="279">
        <v>28</v>
      </c>
      <c r="G14" s="260"/>
      <c r="H14" s="38">
        <f t="shared" si="0"/>
        <v>280</v>
      </c>
      <c r="I14" s="162" t="s">
        <v>608</v>
      </c>
      <c r="J14" s="12"/>
      <c r="K14" s="3"/>
      <c r="L14" s="3"/>
      <c r="M14" s="3"/>
      <c r="N14" s="3"/>
      <c r="O14" s="3"/>
    </row>
    <row r="15" spans="1:16" ht="21.6" customHeight="1">
      <c r="A15" s="39" t="s">
        <v>412</v>
      </c>
      <c r="B15" s="38" t="s">
        <v>323</v>
      </c>
      <c r="C15" s="38"/>
      <c r="D15" s="308"/>
      <c r="E15" s="260"/>
      <c r="F15" s="279">
        <v>28</v>
      </c>
      <c r="G15" s="260"/>
      <c r="H15" s="38">
        <f t="shared" si="0"/>
        <v>252</v>
      </c>
      <c r="I15" s="162"/>
      <c r="J15" s="12"/>
      <c r="K15" s="3"/>
      <c r="L15" s="3"/>
      <c r="M15" s="3"/>
      <c r="N15" s="3"/>
      <c r="O15" s="3"/>
    </row>
    <row r="16" spans="1:16" ht="21.6" customHeight="1">
      <c r="A16" s="161" t="s">
        <v>477</v>
      </c>
      <c r="B16" s="38" t="s">
        <v>323</v>
      </c>
      <c r="C16" s="38"/>
      <c r="D16" s="308"/>
      <c r="E16" s="260"/>
      <c r="F16" s="279">
        <v>84</v>
      </c>
      <c r="G16" s="260"/>
      <c r="H16" s="38">
        <f t="shared" si="0"/>
        <v>168</v>
      </c>
      <c r="I16" s="162"/>
      <c r="J16" s="12"/>
      <c r="K16" s="3"/>
      <c r="L16" s="3"/>
      <c r="M16" s="3"/>
      <c r="N16" s="3"/>
      <c r="O16" s="3"/>
    </row>
    <row r="17" spans="1:10" ht="21.6" customHeight="1">
      <c r="A17" s="39" t="s">
        <v>478</v>
      </c>
      <c r="B17" s="38" t="s">
        <v>323</v>
      </c>
      <c r="C17" s="38"/>
      <c r="D17" s="308"/>
      <c r="E17" s="260"/>
      <c r="F17" s="279">
        <v>56</v>
      </c>
      <c r="G17" s="260"/>
      <c r="H17" s="38">
        <f t="shared" si="0"/>
        <v>112</v>
      </c>
      <c r="I17" s="162"/>
      <c r="J17" s="12"/>
    </row>
    <row r="18" spans="1:10" ht="21.6" customHeight="1">
      <c r="A18" s="39" t="s">
        <v>481</v>
      </c>
      <c r="B18" s="38" t="s">
        <v>323</v>
      </c>
      <c r="C18" s="38"/>
      <c r="D18" s="308"/>
      <c r="E18" s="260"/>
      <c r="F18" s="279">
        <v>28</v>
      </c>
      <c r="G18" s="260"/>
      <c r="H18" s="38">
        <f t="shared" si="0"/>
        <v>84</v>
      </c>
      <c r="I18" s="162" t="s">
        <v>437</v>
      </c>
      <c r="J18" s="12"/>
    </row>
    <row r="19" spans="1:10" ht="21.6" customHeight="1">
      <c r="A19" s="39" t="s">
        <v>580</v>
      </c>
      <c r="B19" s="38" t="s">
        <v>323</v>
      </c>
      <c r="C19" s="38"/>
      <c r="D19" s="308"/>
      <c r="E19" s="260"/>
      <c r="F19" s="279">
        <v>56</v>
      </c>
      <c r="G19" s="260"/>
      <c r="H19" s="38">
        <f t="shared" si="0"/>
        <v>28</v>
      </c>
      <c r="I19" s="162"/>
      <c r="J19" s="12"/>
    </row>
    <row r="20" spans="1:10" ht="21.6" customHeight="1">
      <c r="A20" s="39" t="s">
        <v>490</v>
      </c>
      <c r="B20" s="38" t="s">
        <v>324</v>
      </c>
      <c r="C20" s="38">
        <v>100</v>
      </c>
      <c r="D20" s="308" t="s">
        <v>918</v>
      </c>
      <c r="E20" s="260"/>
      <c r="F20" s="279"/>
      <c r="G20" s="260"/>
      <c r="H20" s="38">
        <v>128</v>
      </c>
      <c r="I20" s="37" t="s">
        <v>437</v>
      </c>
      <c r="J20" s="12"/>
    </row>
    <row r="21" spans="1:10" ht="21.6" customHeight="1">
      <c r="A21" s="161" t="s">
        <v>491</v>
      </c>
      <c r="B21" s="148" t="s">
        <v>323</v>
      </c>
      <c r="C21" s="38"/>
      <c r="D21" s="308"/>
      <c r="E21" s="260"/>
      <c r="F21" s="279">
        <v>30</v>
      </c>
      <c r="G21" s="260"/>
      <c r="H21" s="38">
        <f>H20-F21</f>
        <v>98</v>
      </c>
      <c r="I21" s="162" t="s">
        <v>608</v>
      </c>
      <c r="J21" s="12"/>
    </row>
    <row r="22" spans="1:10" ht="21.6" customHeight="1">
      <c r="A22" s="38" t="s">
        <v>416</v>
      </c>
      <c r="B22" s="38" t="s">
        <v>323</v>
      </c>
      <c r="C22" s="38"/>
      <c r="D22" s="308"/>
      <c r="E22" s="260"/>
      <c r="F22" s="279">
        <v>56</v>
      </c>
      <c r="G22" s="260"/>
      <c r="H22" s="38">
        <f>H21-F22</f>
        <v>42</v>
      </c>
      <c r="I22" s="162"/>
      <c r="J22" s="12"/>
    </row>
    <row r="23" spans="1:10" ht="21.6" customHeight="1">
      <c r="A23" s="237" t="s">
        <v>418</v>
      </c>
      <c r="B23" s="247" t="s">
        <v>324</v>
      </c>
      <c r="C23" s="247">
        <v>100</v>
      </c>
      <c r="D23" t="s">
        <v>918</v>
      </c>
      <c r="F23" s="279"/>
      <c r="G23" s="260"/>
      <c r="H23" s="38">
        <v>142</v>
      </c>
      <c r="I23" s="37" t="s">
        <v>437</v>
      </c>
      <c r="J23" s="12"/>
    </row>
    <row r="24" spans="1:10" ht="21.6" customHeight="1">
      <c r="A24" s="39" t="s">
        <v>394</v>
      </c>
      <c r="B24" s="38" t="s">
        <v>323</v>
      </c>
      <c r="C24" s="38"/>
      <c r="D24" s="308"/>
      <c r="E24" s="260"/>
      <c r="F24" s="279">
        <v>28</v>
      </c>
      <c r="G24" s="260"/>
      <c r="H24" s="38">
        <f>H23-F24</f>
        <v>114</v>
      </c>
      <c r="I24" s="162" t="s">
        <v>608</v>
      </c>
      <c r="J24" s="12"/>
    </row>
    <row r="25" spans="1:10" ht="21.6" customHeight="1">
      <c r="A25" s="161" t="s">
        <v>606</v>
      </c>
      <c r="B25" s="148" t="s">
        <v>323</v>
      </c>
      <c r="C25" s="38"/>
      <c r="D25" s="308"/>
      <c r="E25" s="260"/>
      <c r="F25" s="279">
        <v>30</v>
      </c>
      <c r="G25" s="260"/>
      <c r="H25" s="38">
        <f>H24-F25</f>
        <v>84</v>
      </c>
      <c r="I25" s="162" t="s">
        <v>608</v>
      </c>
      <c r="J25" s="12"/>
    </row>
    <row r="26" spans="1:10" ht="21.6" customHeight="1">
      <c r="A26" s="39" t="s">
        <v>448</v>
      </c>
      <c r="B26" s="247" t="s">
        <v>324</v>
      </c>
      <c r="C26" s="38">
        <v>120</v>
      </c>
      <c r="D26" s="308" t="s">
        <v>919</v>
      </c>
      <c r="E26" s="260"/>
      <c r="F26" s="279"/>
      <c r="G26" s="260"/>
      <c r="H26" s="38">
        <v>204</v>
      </c>
      <c r="I26" s="162" t="s">
        <v>608</v>
      </c>
      <c r="J26" s="12"/>
    </row>
    <row r="27" spans="1:10" ht="21.6" customHeight="1">
      <c r="A27" s="39" t="s">
        <v>448</v>
      </c>
      <c r="B27" s="38" t="s">
        <v>324</v>
      </c>
      <c r="C27" s="38">
        <v>120</v>
      </c>
      <c r="D27" s="308" t="s">
        <v>918</v>
      </c>
      <c r="E27" s="260"/>
      <c r="F27" s="279"/>
      <c r="G27" s="260"/>
      <c r="H27" s="38">
        <v>324</v>
      </c>
      <c r="I27" s="37" t="s">
        <v>437</v>
      </c>
      <c r="J27" s="12"/>
    </row>
    <row r="28" spans="1:10" ht="21.6" customHeight="1">
      <c r="A28" s="39" t="s">
        <v>548</v>
      </c>
      <c r="B28" s="38" t="s">
        <v>323</v>
      </c>
      <c r="C28" s="38"/>
      <c r="D28" s="308"/>
      <c r="E28" s="260"/>
      <c r="F28" s="279">
        <v>56</v>
      </c>
      <c r="G28" s="260"/>
      <c r="H28" s="38">
        <f>H27-F28</f>
        <v>268</v>
      </c>
      <c r="I28" s="162"/>
      <c r="J28" s="12"/>
    </row>
    <row r="29" spans="1:10" ht="21.6" customHeight="1">
      <c r="A29" s="161" t="s">
        <v>396</v>
      </c>
      <c r="B29" s="148" t="s">
        <v>323</v>
      </c>
      <c r="C29" s="38"/>
      <c r="D29" s="308"/>
      <c r="E29" s="260"/>
      <c r="F29" s="279">
        <v>28</v>
      </c>
      <c r="G29" s="260"/>
      <c r="H29" s="38">
        <f>H28-F29</f>
        <v>240</v>
      </c>
      <c r="I29" s="37" t="s">
        <v>608</v>
      </c>
      <c r="J29" s="12"/>
    </row>
    <row r="30" spans="1:10" ht="21.6" customHeight="1">
      <c r="A30" s="38" t="s">
        <v>511</v>
      </c>
      <c r="B30" s="38" t="s">
        <v>323</v>
      </c>
      <c r="C30" s="38"/>
      <c r="D30" s="308"/>
      <c r="E30" s="260"/>
      <c r="F30" s="279">
        <v>56</v>
      </c>
      <c r="G30" s="260"/>
      <c r="H30" s="38">
        <f>H29-F30</f>
        <v>184</v>
      </c>
      <c r="I30" s="37"/>
      <c r="J30" s="12"/>
    </row>
    <row r="31" spans="1:10" ht="21.6" customHeight="1">
      <c r="A31" s="161" t="s">
        <v>367</v>
      </c>
      <c r="B31" s="148" t="s">
        <v>323</v>
      </c>
      <c r="C31" s="38"/>
      <c r="D31" s="308"/>
      <c r="E31" s="260"/>
      <c r="F31" s="279">
        <v>30</v>
      </c>
      <c r="G31" s="260"/>
      <c r="H31" s="38">
        <f>H30-F31</f>
        <v>154</v>
      </c>
      <c r="I31" s="37" t="s">
        <v>437</v>
      </c>
      <c r="J31" s="12"/>
    </row>
    <row r="32" spans="1:10" ht="21.6" customHeight="1">
      <c r="A32" s="161" t="s">
        <v>370</v>
      </c>
      <c r="B32" s="38" t="s">
        <v>323</v>
      </c>
      <c r="C32" s="38"/>
      <c r="D32" s="308"/>
      <c r="E32" s="260"/>
      <c r="F32" s="279">
        <v>56</v>
      </c>
      <c r="G32" s="260"/>
      <c r="H32" s="38">
        <f>H31-F32</f>
        <v>98</v>
      </c>
      <c r="I32" s="37"/>
      <c r="J32" s="3"/>
    </row>
    <row r="33" spans="1:9" ht="21.6" customHeight="1">
      <c r="A33" s="39"/>
      <c r="B33" s="38"/>
      <c r="C33" s="38"/>
      <c r="D33" s="308"/>
      <c r="E33" s="260"/>
      <c r="F33" s="279"/>
      <c r="G33" s="260"/>
      <c r="H33" s="38"/>
      <c r="I33" s="37"/>
    </row>
    <row r="34" spans="1:9" ht="21.6" customHeight="1">
      <c r="A34" s="39"/>
      <c r="B34" s="38"/>
      <c r="C34" s="38"/>
      <c r="D34" s="308"/>
      <c r="E34" s="260"/>
      <c r="F34" s="279"/>
      <c r="G34" s="260"/>
      <c r="H34" s="38"/>
      <c r="I34" s="37"/>
    </row>
    <row r="35" spans="1:9" ht="21.6" customHeight="1">
      <c r="A35" s="42"/>
      <c r="B35" s="38"/>
      <c r="C35" s="38"/>
      <c r="D35" s="308"/>
      <c r="E35" s="260"/>
      <c r="F35" s="279"/>
      <c r="G35" s="260"/>
      <c r="H35" s="38"/>
      <c r="I35" s="114"/>
    </row>
    <row r="36" spans="1:9" ht="21.6" customHeight="1">
      <c r="A36" s="147"/>
      <c r="B36" s="38"/>
      <c r="C36" s="38"/>
      <c r="D36" s="308"/>
      <c r="E36" s="260"/>
      <c r="F36" s="279"/>
      <c r="G36" s="260"/>
      <c r="H36" s="38"/>
      <c r="I36" s="37"/>
    </row>
    <row r="37" spans="1:9" ht="21.6" customHeight="1">
      <c r="A37" s="41"/>
      <c r="B37" s="38"/>
      <c r="C37" s="38"/>
      <c r="D37" s="308"/>
      <c r="E37" s="260"/>
      <c r="F37" s="279"/>
      <c r="G37" s="260"/>
      <c r="H37" s="38"/>
      <c r="I37" s="37"/>
    </row>
    <row r="38" spans="1:9" ht="21.6" customHeight="1">
      <c r="A38" s="39"/>
      <c r="B38" s="38"/>
      <c r="C38" s="38"/>
      <c r="D38" s="308"/>
      <c r="E38" s="260"/>
      <c r="F38" s="279"/>
      <c r="G38" s="260"/>
      <c r="H38" s="38"/>
      <c r="I38" s="37"/>
    </row>
    <row r="39" spans="1:9" ht="21.6" customHeight="1">
      <c r="A39" s="39"/>
      <c r="B39" s="38"/>
      <c r="C39" s="38"/>
      <c r="D39" s="308"/>
      <c r="E39" s="260"/>
      <c r="F39" s="279"/>
      <c r="G39" s="260"/>
      <c r="H39" s="38"/>
      <c r="I39" s="37"/>
    </row>
    <row r="40" spans="1:9" ht="21.6" customHeight="1">
      <c r="A40" s="161"/>
      <c r="B40" s="38"/>
      <c r="C40" s="38"/>
      <c r="D40" s="308"/>
      <c r="E40" s="260"/>
      <c r="F40" s="279"/>
      <c r="G40" s="260"/>
      <c r="H40" s="38"/>
      <c r="I40" s="37"/>
    </row>
    <row r="41" spans="1:9" ht="21.6" customHeight="1">
      <c r="A41" s="161"/>
      <c r="B41" s="38"/>
      <c r="C41" s="38"/>
      <c r="D41" s="308"/>
      <c r="E41" s="260"/>
      <c r="F41" s="279"/>
      <c r="G41" s="260"/>
      <c r="H41" s="38"/>
      <c r="I41" s="37"/>
    </row>
    <row r="42" spans="1:9" ht="21.6" customHeight="1">
      <c r="A42" s="161"/>
      <c r="B42" s="38"/>
      <c r="C42" s="38"/>
      <c r="D42" s="308"/>
      <c r="E42" s="260"/>
      <c r="F42" s="279"/>
      <c r="G42" s="260"/>
      <c r="H42" s="38"/>
      <c r="I42" s="37"/>
    </row>
    <row r="43" spans="1:9" ht="21.6" customHeight="1">
      <c r="A43" s="161"/>
      <c r="B43" s="38"/>
      <c r="C43" s="38"/>
      <c r="D43" s="308"/>
      <c r="E43" s="260"/>
      <c r="F43" s="279"/>
      <c r="G43" s="260"/>
      <c r="H43" s="38"/>
      <c r="I43" s="37"/>
    </row>
    <row r="44" spans="1:9" ht="21.6" customHeight="1">
      <c r="A44" s="161"/>
      <c r="B44" s="38"/>
      <c r="C44" s="38"/>
      <c r="D44" s="308"/>
      <c r="E44" s="260"/>
      <c r="F44" s="279"/>
      <c r="G44" s="260"/>
      <c r="H44" s="38"/>
      <c r="I44" s="37"/>
    </row>
    <row r="45" spans="1:9" ht="21.6" customHeight="1">
      <c r="A45" s="39"/>
      <c r="B45" s="38"/>
      <c r="C45" s="38"/>
      <c r="D45" s="308"/>
      <c r="E45" s="260"/>
      <c r="F45" s="279"/>
      <c r="G45" s="260"/>
      <c r="H45" s="38"/>
      <c r="I45" s="37"/>
    </row>
    <row r="46" spans="1:9" ht="21.6" customHeight="1">
      <c r="A46" s="39"/>
      <c r="B46" s="38"/>
      <c r="C46" s="38"/>
      <c r="D46" s="308"/>
      <c r="E46" s="260"/>
      <c r="F46" s="279"/>
      <c r="G46" s="260"/>
      <c r="H46" s="38"/>
      <c r="I46" s="37"/>
    </row>
    <row r="47" spans="1:9" ht="21.6" customHeight="1">
      <c r="A47" s="39"/>
      <c r="B47" s="38"/>
      <c r="C47" s="38"/>
      <c r="D47" s="308"/>
      <c r="E47" s="260"/>
      <c r="F47" s="279"/>
      <c r="G47" s="260"/>
      <c r="H47" s="38"/>
      <c r="I47" s="37"/>
    </row>
    <row r="48" spans="1:9" ht="21.6" customHeight="1">
      <c r="A48" s="178"/>
      <c r="B48" s="155"/>
      <c r="C48" s="56"/>
      <c r="D48" s="279"/>
      <c r="E48" s="260"/>
      <c r="F48" s="279"/>
      <c r="G48" s="260"/>
      <c r="H48" s="38"/>
      <c r="I48" s="7"/>
    </row>
    <row r="49" spans="1:9" ht="21.6" customHeight="1">
      <c r="A49" s="161"/>
      <c r="B49" s="38"/>
      <c r="C49" s="38"/>
      <c r="D49" s="308"/>
      <c r="E49" s="260"/>
      <c r="F49" s="279"/>
      <c r="G49" s="260"/>
      <c r="H49" s="38"/>
      <c r="I49" s="114"/>
    </row>
    <row r="50" spans="1:9" ht="21.6" customHeight="1">
      <c r="A50" s="39"/>
      <c r="B50" s="38"/>
      <c r="C50" s="38"/>
      <c r="D50" s="308"/>
      <c r="E50" s="260"/>
      <c r="F50" s="279"/>
      <c r="G50" s="260"/>
      <c r="H50" s="38"/>
      <c r="I50" s="37"/>
    </row>
    <row r="51" spans="1:9" ht="21.6" customHeight="1">
      <c r="A51" s="161"/>
      <c r="B51" s="38"/>
      <c r="C51" s="38"/>
      <c r="D51" s="308"/>
      <c r="E51" s="260"/>
      <c r="F51" s="279"/>
      <c r="G51" s="260"/>
      <c r="H51" s="38"/>
      <c r="I51" s="37"/>
    </row>
    <row r="52" spans="1:9" ht="21.6" customHeight="1">
      <c r="A52" s="178"/>
      <c r="B52" s="38"/>
      <c r="C52" s="38"/>
      <c r="D52" s="308"/>
      <c r="E52" s="260"/>
      <c r="F52" s="279"/>
      <c r="G52" s="260"/>
      <c r="H52" s="38"/>
      <c r="I52" s="37"/>
    </row>
    <row r="53" spans="1:9" ht="21.6" customHeight="1">
      <c r="A53" s="147"/>
      <c r="B53" s="38"/>
      <c r="C53" s="38"/>
      <c r="D53" s="308"/>
      <c r="E53" s="260"/>
      <c r="F53" s="279"/>
      <c r="G53" s="260"/>
      <c r="H53" s="38"/>
      <c r="I53" s="37"/>
    </row>
    <row r="54" spans="1:9" ht="21.6" customHeight="1">
      <c r="A54" s="147"/>
      <c r="B54" s="38"/>
      <c r="C54" s="38"/>
      <c r="D54" s="308"/>
      <c r="E54" s="260"/>
      <c r="F54" s="279"/>
      <c r="G54" s="260"/>
      <c r="H54" s="38"/>
      <c r="I54" s="37"/>
    </row>
    <row r="55" spans="1:9" ht="21.6" customHeight="1">
      <c r="A55" s="42"/>
      <c r="B55" s="38"/>
      <c r="C55" s="38"/>
      <c r="D55" s="308"/>
      <c r="E55" s="260"/>
      <c r="F55" s="279"/>
      <c r="G55" s="260"/>
      <c r="H55" s="38"/>
      <c r="I55" s="37"/>
    </row>
    <row r="56" spans="1:9" ht="21.6" customHeight="1">
      <c r="A56" s="39"/>
      <c r="B56" s="38"/>
      <c r="C56" s="38"/>
      <c r="D56" s="308"/>
      <c r="E56" s="260"/>
      <c r="F56" s="279"/>
      <c r="G56" s="260"/>
      <c r="H56" s="38"/>
      <c r="I56" s="37"/>
    </row>
    <row r="57" spans="1:9" ht="21.6" customHeight="1">
      <c r="A57" s="39"/>
      <c r="B57" s="38"/>
      <c r="C57" s="38"/>
      <c r="D57" s="308"/>
      <c r="E57" s="260"/>
      <c r="F57" s="279"/>
      <c r="G57" s="260"/>
      <c r="H57" s="38"/>
      <c r="I57" s="37"/>
    </row>
    <row r="58" spans="1:9" ht="21.6" customHeight="1">
      <c r="A58" s="42"/>
      <c r="B58" s="38"/>
      <c r="C58" s="38"/>
      <c r="D58" s="308"/>
      <c r="E58" s="260"/>
      <c r="F58" s="279"/>
      <c r="G58" s="260"/>
      <c r="H58" s="38"/>
      <c r="I58" s="37"/>
    </row>
    <row r="59" spans="1:9" ht="21.6" customHeight="1">
      <c r="A59" s="42"/>
      <c r="B59" s="38"/>
      <c r="C59" s="38"/>
      <c r="D59" s="308"/>
      <c r="E59" s="260"/>
      <c r="F59" s="279"/>
      <c r="G59" s="260"/>
      <c r="H59" s="38"/>
      <c r="I59" s="37"/>
    </row>
    <row r="60" spans="1:9" ht="21.6" customHeight="1">
      <c r="A60" s="42"/>
      <c r="B60" s="38"/>
      <c r="C60" s="38"/>
      <c r="D60" s="308"/>
      <c r="E60" s="260"/>
      <c r="F60" s="279"/>
      <c r="G60" s="260"/>
      <c r="H60" s="38"/>
      <c r="I60" s="37"/>
    </row>
    <row r="61" spans="1:9" ht="21.6" customHeight="1">
      <c r="A61" s="42"/>
      <c r="B61" s="38"/>
      <c r="C61" s="38"/>
      <c r="D61" s="308"/>
      <c r="E61" s="260"/>
      <c r="F61" s="279"/>
      <c r="G61" s="260"/>
      <c r="H61" s="38"/>
      <c r="I61" s="37"/>
    </row>
    <row r="62" spans="1:9" ht="21.6" customHeight="1">
      <c r="A62" s="42"/>
      <c r="B62" s="38"/>
      <c r="C62" s="38"/>
      <c r="D62" s="308"/>
      <c r="E62" s="260"/>
      <c r="F62" s="279"/>
      <c r="G62" s="260"/>
      <c r="H62" s="38"/>
      <c r="I62" s="37"/>
    </row>
    <row r="63" spans="1:9" ht="21.6" customHeight="1">
      <c r="A63" s="42"/>
      <c r="B63" s="38"/>
      <c r="C63" s="38"/>
      <c r="D63" s="308"/>
      <c r="E63" s="260"/>
      <c r="F63" s="279"/>
      <c r="G63" s="260"/>
      <c r="H63" s="38"/>
      <c r="I63" s="37"/>
    </row>
    <row r="64" spans="1:9" ht="21.6" customHeight="1">
      <c r="A64" s="42"/>
      <c r="B64" s="38"/>
      <c r="C64" s="38"/>
      <c r="D64" s="308"/>
      <c r="E64" s="260"/>
      <c r="F64" s="279"/>
      <c r="G64" s="260"/>
      <c r="H64" s="38"/>
      <c r="I64" s="37"/>
    </row>
    <row r="65" spans="1:9" ht="21.6" customHeight="1">
      <c r="A65" s="42"/>
      <c r="B65" s="38"/>
      <c r="C65" s="38"/>
      <c r="D65" s="308"/>
      <c r="E65" s="260"/>
      <c r="F65" s="279"/>
      <c r="G65" s="260"/>
      <c r="H65" s="38"/>
      <c r="I65" s="37"/>
    </row>
    <row r="66" spans="1:9" ht="21.6" customHeight="1">
      <c r="A66" s="42"/>
      <c r="B66" s="38"/>
      <c r="C66" s="38"/>
      <c r="D66" s="308"/>
      <c r="E66" s="260"/>
      <c r="F66" s="279"/>
      <c r="G66" s="260"/>
      <c r="H66" s="38"/>
      <c r="I66" s="37"/>
    </row>
    <row r="67" spans="1:9" ht="21.6" customHeight="1">
      <c r="A67" s="42"/>
      <c r="B67" s="38"/>
      <c r="C67" s="38"/>
      <c r="D67" s="308"/>
      <c r="E67" s="260"/>
      <c r="F67" s="279"/>
      <c r="G67" s="260"/>
      <c r="H67" s="38"/>
      <c r="I67" s="37"/>
    </row>
    <row r="68" spans="1:9" ht="21.6" customHeight="1">
      <c r="A68" s="42"/>
      <c r="B68" s="38"/>
      <c r="C68" s="38"/>
      <c r="D68" s="308"/>
      <c r="E68" s="260"/>
      <c r="F68" s="279"/>
      <c r="G68" s="260"/>
      <c r="H68" s="38"/>
      <c r="I68" s="37"/>
    </row>
    <row r="69" spans="1:9" ht="21.6" customHeight="1">
      <c r="A69" s="42"/>
      <c r="B69" s="38"/>
      <c r="C69" s="38"/>
      <c r="D69" s="308"/>
      <c r="E69" s="260"/>
      <c r="F69" s="279"/>
      <c r="G69" s="260"/>
      <c r="H69" s="38"/>
      <c r="I69" s="37"/>
    </row>
    <row r="70" spans="1:9" ht="21.6" customHeight="1">
      <c r="A70" s="42"/>
      <c r="B70" s="38"/>
      <c r="C70" s="38"/>
      <c r="D70" s="308"/>
      <c r="E70" s="260"/>
      <c r="F70" s="279"/>
      <c r="G70" s="260"/>
      <c r="H70" s="38"/>
      <c r="I70" s="37"/>
    </row>
    <row r="71" spans="1:9" ht="21.6" customHeight="1">
      <c r="A71" s="42"/>
      <c r="B71" s="38"/>
      <c r="C71" s="38"/>
      <c r="D71" s="308"/>
      <c r="E71" s="260"/>
      <c r="F71" s="279"/>
      <c r="G71" s="260"/>
      <c r="H71" s="38"/>
      <c r="I71" s="37"/>
    </row>
    <row r="72" spans="1:9" ht="21.6" customHeight="1">
      <c r="A72" s="42"/>
      <c r="B72" s="38"/>
      <c r="C72" s="38"/>
      <c r="D72" s="308"/>
      <c r="E72" s="260"/>
      <c r="F72" s="279"/>
      <c r="G72" s="260"/>
      <c r="H72" s="38"/>
      <c r="I72" s="37"/>
    </row>
    <row r="73" spans="1:9" ht="21.6" customHeight="1">
      <c r="A73" s="42"/>
      <c r="B73" s="38"/>
      <c r="C73" s="38"/>
      <c r="D73" s="308"/>
      <c r="E73" s="260"/>
      <c r="F73" s="279"/>
      <c r="G73" s="260"/>
      <c r="H73" s="38"/>
      <c r="I73" s="37"/>
    </row>
    <row r="74" spans="1:9" ht="21.6" customHeight="1">
      <c r="A74" s="42"/>
      <c r="B74" s="38"/>
      <c r="C74" s="38"/>
      <c r="D74" s="308"/>
      <c r="E74" s="260"/>
      <c r="F74" s="279"/>
      <c r="G74" s="260"/>
      <c r="H74" s="38"/>
      <c r="I74" s="37"/>
    </row>
    <row r="75" spans="1:9" ht="21.6" customHeight="1">
      <c r="A75" s="42"/>
      <c r="B75" s="38"/>
      <c r="C75" s="38"/>
      <c r="D75" s="308"/>
      <c r="E75" s="260"/>
      <c r="F75" s="279"/>
      <c r="G75" s="260"/>
      <c r="H75" s="38"/>
      <c r="I75" s="37"/>
    </row>
    <row r="76" spans="1:9" ht="21.6" customHeight="1">
      <c r="A76" s="42"/>
      <c r="B76" s="38"/>
      <c r="C76" s="38"/>
      <c r="D76" s="308"/>
      <c r="E76" s="260"/>
      <c r="F76" s="279"/>
      <c r="G76" s="260"/>
      <c r="H76" s="38"/>
      <c r="I76" s="37"/>
    </row>
    <row r="77" spans="1:9" ht="21.6" customHeight="1">
      <c r="A77" s="42"/>
      <c r="B77" s="38"/>
      <c r="C77" s="38"/>
      <c r="D77" s="308"/>
      <c r="E77" s="260"/>
      <c r="F77" s="279"/>
      <c r="G77" s="260"/>
      <c r="H77" s="38"/>
      <c r="I77" s="37"/>
    </row>
    <row r="78" spans="1:9" ht="21.6" customHeight="1">
      <c r="A78" s="42"/>
      <c r="B78" s="38"/>
      <c r="C78" s="38"/>
      <c r="D78" s="308"/>
      <c r="E78" s="260"/>
      <c r="F78" s="279"/>
      <c r="G78" s="260"/>
      <c r="H78" s="38"/>
      <c r="I78" s="37"/>
    </row>
    <row r="79" spans="1:9" ht="21.6" customHeight="1">
      <c r="A79" s="42"/>
      <c r="B79" s="38"/>
      <c r="C79" s="38"/>
      <c r="D79" s="308"/>
      <c r="E79" s="260"/>
      <c r="F79" s="279"/>
      <c r="G79" s="260"/>
      <c r="H79" s="38"/>
      <c r="I79" s="37"/>
    </row>
    <row r="80" spans="1:9" ht="21.6" customHeight="1">
      <c r="A80" s="42"/>
      <c r="B80" s="38"/>
      <c r="C80" s="38"/>
      <c r="D80" s="308"/>
      <c r="E80" s="260"/>
      <c r="F80" s="279"/>
      <c r="G80" s="260"/>
      <c r="H80" s="38"/>
      <c r="I80" s="37"/>
    </row>
    <row r="81" spans="1:9" ht="21.6" customHeight="1">
      <c r="A81" s="42"/>
      <c r="B81" s="38"/>
      <c r="C81" s="38"/>
      <c r="D81" s="308"/>
      <c r="E81" s="260"/>
      <c r="F81" s="279"/>
      <c r="G81" s="260"/>
      <c r="H81" s="38"/>
      <c r="I81" s="37"/>
    </row>
    <row r="82" spans="1:9" ht="21.6" customHeight="1">
      <c r="A82" s="42"/>
      <c r="B82" s="38"/>
      <c r="C82" s="38"/>
      <c r="D82" s="308"/>
      <c r="E82" s="260"/>
      <c r="F82" s="279"/>
      <c r="G82" s="260"/>
      <c r="H82" s="38"/>
      <c r="I82" s="37"/>
    </row>
    <row r="83" spans="1:9" ht="21.6" customHeight="1">
      <c r="A83" s="42"/>
      <c r="B83" s="38"/>
      <c r="C83" s="38"/>
      <c r="D83" s="308"/>
      <c r="E83" s="260"/>
      <c r="F83" s="279"/>
      <c r="G83" s="260"/>
      <c r="H83" s="38"/>
      <c r="I83" s="37"/>
    </row>
    <row r="84" spans="1:9" ht="21.6" customHeight="1">
      <c r="A84" s="42"/>
      <c r="B84" s="38"/>
      <c r="C84" s="38"/>
      <c r="D84" s="308"/>
      <c r="E84" s="260"/>
      <c r="F84" s="279"/>
      <c r="G84" s="260"/>
      <c r="H84" s="38"/>
      <c r="I84" s="37"/>
    </row>
    <row r="85" spans="1:9" ht="21.6" customHeight="1">
      <c r="A85" s="42"/>
      <c r="B85" s="38"/>
      <c r="C85" s="38"/>
      <c r="D85" s="308"/>
      <c r="E85" s="260"/>
      <c r="F85" s="279"/>
      <c r="G85" s="260"/>
      <c r="H85" s="38"/>
      <c r="I85" s="37"/>
    </row>
    <row r="86" spans="1:9" ht="21.6" customHeight="1">
      <c r="A86" s="42"/>
      <c r="B86" s="38"/>
      <c r="C86" s="38"/>
      <c r="D86" s="308"/>
      <c r="E86" s="260"/>
      <c r="F86" s="279"/>
      <c r="G86" s="260"/>
      <c r="H86" s="38"/>
      <c r="I86" s="37"/>
    </row>
    <row r="87" spans="1:9" ht="21.6" customHeight="1">
      <c r="A87" s="42"/>
      <c r="B87" s="38"/>
      <c r="C87" s="38"/>
      <c r="D87" s="308"/>
      <c r="E87" s="260"/>
      <c r="F87" s="279"/>
      <c r="G87" s="260"/>
      <c r="H87" s="38"/>
      <c r="I87" s="37"/>
    </row>
    <row r="88" spans="1:9" ht="21.6" customHeight="1">
      <c r="A88" s="42"/>
      <c r="B88" s="38"/>
      <c r="C88" s="38"/>
      <c r="D88" s="308"/>
      <c r="E88" s="260"/>
      <c r="F88" s="279"/>
      <c r="G88" s="260"/>
      <c r="H88" s="38"/>
      <c r="I88" s="37"/>
    </row>
    <row r="89" spans="1:9" ht="21.6" customHeight="1">
      <c r="A89" s="42"/>
      <c r="B89" s="38"/>
      <c r="C89" s="38"/>
      <c r="D89" s="308"/>
      <c r="E89" s="260"/>
      <c r="F89" s="279"/>
      <c r="G89" s="260"/>
      <c r="H89" s="38"/>
      <c r="I89" s="37"/>
    </row>
    <row r="90" spans="1:9" ht="21.6" customHeight="1">
      <c r="A90" s="42"/>
      <c r="B90" s="38"/>
      <c r="C90" s="38"/>
      <c r="D90" s="308"/>
      <c r="E90" s="260"/>
      <c r="F90" s="279"/>
      <c r="G90" s="260"/>
      <c r="H90" s="38"/>
      <c r="I90" s="37"/>
    </row>
    <row r="91" spans="1:9" ht="21.6" customHeight="1">
      <c r="A91" s="42"/>
      <c r="B91" s="38"/>
      <c r="C91" s="38"/>
      <c r="D91" s="308"/>
      <c r="E91" s="260"/>
      <c r="F91" s="279"/>
      <c r="G91" s="260"/>
      <c r="H91" s="38"/>
      <c r="I91" s="37"/>
    </row>
    <row r="92" spans="1:9" ht="21.6" customHeight="1">
      <c r="A92" s="42"/>
      <c r="B92" s="38"/>
      <c r="C92" s="38"/>
      <c r="D92" s="308"/>
      <c r="E92" s="260"/>
      <c r="F92" s="279"/>
      <c r="G92" s="260"/>
      <c r="H92" s="38"/>
      <c r="I92" s="37"/>
    </row>
    <row r="93" spans="1:9" ht="21.6" customHeight="1">
      <c r="A93" s="42"/>
      <c r="B93" s="38"/>
      <c r="C93" s="38"/>
      <c r="D93" s="308"/>
      <c r="E93" s="260"/>
      <c r="F93" s="279"/>
      <c r="G93" s="260"/>
      <c r="H93" s="38"/>
      <c r="I93" s="37"/>
    </row>
    <row r="94" spans="1:9" ht="21.6" customHeight="1">
      <c r="A94" s="42"/>
      <c r="B94" s="38"/>
      <c r="C94" s="38"/>
      <c r="D94" s="308"/>
      <c r="E94" s="260"/>
      <c r="F94" s="279"/>
      <c r="G94" s="260"/>
      <c r="H94" s="38"/>
      <c r="I94" s="37"/>
    </row>
    <row r="95" spans="1:9" ht="21.6" customHeight="1">
      <c r="A95" s="42"/>
      <c r="B95" s="38"/>
      <c r="C95" s="38"/>
      <c r="D95" s="308"/>
      <c r="E95" s="260"/>
      <c r="F95" s="279"/>
      <c r="G95" s="260"/>
      <c r="H95" s="38"/>
      <c r="I95" s="37"/>
    </row>
    <row r="96" spans="1:9" ht="21.6" customHeight="1">
      <c r="A96" s="42"/>
      <c r="B96" s="38"/>
      <c r="C96" s="38"/>
      <c r="D96" s="308"/>
      <c r="E96" s="260"/>
      <c r="F96" s="279"/>
      <c r="G96" s="260"/>
      <c r="H96" s="38"/>
      <c r="I96" s="37"/>
    </row>
    <row r="97" spans="1:9" ht="21.6" customHeight="1">
      <c r="A97" s="42"/>
      <c r="B97" s="38"/>
      <c r="C97" s="38"/>
      <c r="D97" s="308"/>
      <c r="E97" s="260"/>
      <c r="F97" s="279"/>
      <c r="G97" s="260"/>
      <c r="H97" s="38"/>
      <c r="I97" s="37"/>
    </row>
    <row r="98" spans="1:9" ht="21.6" customHeight="1">
      <c r="A98" s="42"/>
      <c r="B98" s="38"/>
      <c r="C98" s="38"/>
      <c r="D98" s="308"/>
      <c r="E98" s="260"/>
      <c r="F98" s="279"/>
      <c r="G98" s="260"/>
      <c r="H98" s="38"/>
      <c r="I98" s="37"/>
    </row>
    <row r="99" spans="1:9" ht="21.6" customHeight="1">
      <c r="A99" s="14"/>
      <c r="B99" s="6"/>
      <c r="C99" s="3"/>
      <c r="D99" s="259"/>
      <c r="E99" s="260"/>
      <c r="F99" s="261"/>
      <c r="G99" s="260"/>
      <c r="H99" s="38"/>
      <c r="I99" s="7"/>
    </row>
    <row r="100" spans="1:9" ht="21.6" customHeight="1">
      <c r="A100" s="14"/>
      <c r="B100" s="6"/>
      <c r="C100" s="3"/>
      <c r="D100" s="259"/>
      <c r="E100" s="260"/>
      <c r="F100" s="261"/>
      <c r="G100" s="260"/>
      <c r="H100" s="38"/>
      <c r="I100" s="7"/>
    </row>
    <row r="101" spans="1:9" ht="21.6" customHeight="1">
      <c r="A101" s="14"/>
      <c r="B101" s="6"/>
      <c r="C101" s="3"/>
      <c r="D101" s="259"/>
      <c r="E101" s="260"/>
      <c r="F101" s="261"/>
      <c r="G101" s="260"/>
      <c r="H101" s="38"/>
      <c r="I101" s="7"/>
    </row>
    <row r="102" spans="1:9" ht="21.6" customHeight="1">
      <c r="A102" s="14"/>
      <c r="B102" s="6"/>
      <c r="C102" s="3"/>
      <c r="D102" s="259"/>
      <c r="E102" s="260"/>
      <c r="F102" s="261"/>
      <c r="G102" s="260"/>
      <c r="H102" s="38"/>
      <c r="I102" s="7"/>
    </row>
    <row r="103" spans="1:9" ht="21.6" customHeight="1">
      <c r="A103" s="14"/>
      <c r="B103" s="6"/>
      <c r="C103" s="9"/>
      <c r="D103" s="259"/>
      <c r="E103" s="260"/>
      <c r="F103" s="261"/>
      <c r="G103" s="260"/>
      <c r="H103" s="38"/>
      <c r="I103" s="7"/>
    </row>
    <row r="104" spans="1:9" ht="21.6" customHeight="1">
      <c r="A104" s="14"/>
      <c r="B104" s="6"/>
      <c r="C104" s="3"/>
      <c r="D104" s="259"/>
      <c r="E104" s="260"/>
      <c r="F104" s="261"/>
      <c r="G104" s="260"/>
      <c r="H104" s="38"/>
      <c r="I104" s="7"/>
    </row>
  </sheetData>
  <mergeCells count="207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D57:E57"/>
    <mergeCell ref="F51:G51"/>
    <mergeCell ref="B2:I2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18:E18"/>
    <mergeCell ref="D94:E94"/>
    <mergeCell ref="D69:E69"/>
    <mergeCell ref="F69:G69"/>
    <mergeCell ref="F11:G11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12:E12"/>
    <mergeCell ref="D99:E99"/>
    <mergeCell ref="F63:G63"/>
    <mergeCell ref="F99:G99"/>
    <mergeCell ref="F6:G6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B4:D4"/>
    <mergeCell ref="F81:G81"/>
    <mergeCell ref="F23:G23"/>
    <mergeCell ref="D62:E62"/>
    <mergeCell ref="D56:E56"/>
    <mergeCell ref="D71:E71"/>
    <mergeCell ref="F13:G13"/>
    <mergeCell ref="D10:E10"/>
    <mergeCell ref="F10:G10"/>
    <mergeCell ref="D19:E19"/>
    <mergeCell ref="F19:G19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A1:O104"/>
  <sheetViews>
    <sheetView topLeftCell="C1" workbookViewId="0">
      <selection activeCell="O4" sqref="O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920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921</v>
      </c>
      <c r="C3" s="263"/>
      <c r="D3" s="260"/>
      <c r="E3" s="266" t="s">
        <v>11</v>
      </c>
      <c r="F3" s="263"/>
      <c r="G3" s="260"/>
      <c r="H3" s="268" t="s">
        <v>922</v>
      </c>
      <c r="I3" s="269"/>
      <c r="J3" s="19" t="str">
        <f>B3</f>
        <v>Sotalon 10mg</v>
      </c>
      <c r="K3" s="34" t="s">
        <v>923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924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925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>
    <tabColor theme="2" tint="-0.499984740745262"/>
  </sheetPr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926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927</v>
      </c>
      <c r="C3" s="263"/>
      <c r="D3" s="260"/>
      <c r="E3" s="266" t="s">
        <v>11</v>
      </c>
      <c r="F3" s="263"/>
      <c r="G3" s="260"/>
      <c r="H3" s="268" t="s">
        <v>928</v>
      </c>
      <c r="I3" s="269"/>
      <c r="J3" s="19" t="str">
        <f>B3</f>
        <v>Ritalin 10mg</v>
      </c>
      <c r="K3" s="34" t="s">
        <v>929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930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931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A1:O66"/>
  <sheetViews>
    <sheetView workbookViewId="0">
      <pane ySplit="6" topLeftCell="A7" activePane="bottomLeft" state="frozen"/>
      <selection pane="bottomLeft"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932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933</v>
      </c>
      <c r="C3" s="263"/>
      <c r="D3" s="260"/>
      <c r="E3" s="266" t="s">
        <v>11</v>
      </c>
      <c r="F3" s="263"/>
      <c r="G3" s="260"/>
      <c r="H3" s="268" t="s">
        <v>712</v>
      </c>
      <c r="I3" s="269"/>
      <c r="J3" s="19" t="str">
        <f>B3</f>
        <v>Zolon 7.5mg</v>
      </c>
      <c r="K3" s="34" t="s">
        <v>934</v>
      </c>
      <c r="L3" s="5">
        <f>H7</f>
        <v>113</v>
      </c>
      <c r="M3" s="3">
        <f>SUM(C$8:C$1048576)</f>
        <v>300</v>
      </c>
      <c r="N3" s="3">
        <f>SUM(F:F)</f>
        <v>187</v>
      </c>
      <c r="O3" s="3">
        <f>L3+M3-N3</f>
        <v>226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602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935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113</v>
      </c>
      <c r="D7" s="280"/>
      <c r="E7" s="260"/>
      <c r="F7" s="280"/>
      <c r="G7" s="260"/>
      <c r="H7" s="155">
        <v>113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647</v>
      </c>
      <c r="B8" s="38" t="s">
        <v>323</v>
      </c>
      <c r="C8" s="38"/>
      <c r="D8" s="279"/>
      <c r="E8" s="260"/>
      <c r="F8" s="279">
        <v>30</v>
      </c>
      <c r="G8" s="260"/>
      <c r="H8" s="38">
        <f>H7-F8</f>
        <v>83</v>
      </c>
      <c r="I8" s="35"/>
    </row>
    <row r="9" spans="1:15" ht="26.7" customHeight="1">
      <c r="A9" s="39" t="s">
        <v>573</v>
      </c>
      <c r="B9" s="38" t="s">
        <v>324</v>
      </c>
      <c r="C9" s="38">
        <v>300</v>
      </c>
      <c r="D9" s="279" t="s">
        <v>936</v>
      </c>
      <c r="E9" s="260"/>
      <c r="F9" s="279"/>
      <c r="G9" s="260"/>
      <c r="H9" s="38">
        <v>383</v>
      </c>
      <c r="I9" s="114" t="s">
        <v>437</v>
      </c>
    </row>
    <row r="10" spans="1:15" ht="26.7" customHeight="1">
      <c r="A10" s="39" t="s">
        <v>475</v>
      </c>
      <c r="B10" s="38" t="s">
        <v>323</v>
      </c>
      <c r="C10" s="38"/>
      <c r="D10" s="279"/>
      <c r="E10" s="260"/>
      <c r="F10" s="279">
        <v>30</v>
      </c>
      <c r="G10" s="260"/>
      <c r="H10" s="38">
        <f t="shared" ref="H10:H15" si="0">H9-F10</f>
        <v>353</v>
      </c>
      <c r="I10" s="35"/>
    </row>
    <row r="11" spans="1:15" ht="26.7" customHeight="1">
      <c r="A11" s="39" t="s">
        <v>483</v>
      </c>
      <c r="B11" s="38" t="s">
        <v>323</v>
      </c>
      <c r="C11" s="38"/>
      <c r="D11" s="279"/>
      <c r="E11" s="260"/>
      <c r="F11" s="279">
        <v>30</v>
      </c>
      <c r="G11" s="260"/>
      <c r="H11" s="38">
        <f t="shared" si="0"/>
        <v>323</v>
      </c>
      <c r="I11" s="35"/>
    </row>
    <row r="12" spans="1:15" ht="26.7" customHeight="1">
      <c r="A12" s="39" t="s">
        <v>492</v>
      </c>
      <c r="B12" s="38" t="s">
        <v>323</v>
      </c>
      <c r="C12" s="38"/>
      <c r="D12" s="279"/>
      <c r="E12" s="260"/>
      <c r="F12" s="279">
        <v>30</v>
      </c>
      <c r="G12" s="260"/>
      <c r="H12" s="38">
        <f t="shared" si="0"/>
        <v>293</v>
      </c>
      <c r="I12" s="114" t="s">
        <v>608</v>
      </c>
    </row>
    <row r="13" spans="1:15" ht="26.7" customHeight="1">
      <c r="A13" s="39" t="s">
        <v>500</v>
      </c>
      <c r="B13" s="38" t="s">
        <v>323</v>
      </c>
      <c r="C13" s="38"/>
      <c r="D13" s="279"/>
      <c r="E13" s="260"/>
      <c r="F13" s="279">
        <v>7</v>
      </c>
      <c r="G13" s="260"/>
      <c r="H13" s="38">
        <f t="shared" si="0"/>
        <v>286</v>
      </c>
      <c r="I13" s="35"/>
    </row>
    <row r="14" spans="1:15" ht="26.7" customHeight="1">
      <c r="A14" s="39" t="s">
        <v>504</v>
      </c>
      <c r="B14" s="38" t="s">
        <v>323</v>
      </c>
      <c r="C14" s="38"/>
      <c r="D14" s="279"/>
      <c r="E14" s="260"/>
      <c r="F14" s="279">
        <v>30</v>
      </c>
      <c r="G14" s="260"/>
      <c r="H14" s="38">
        <f t="shared" si="0"/>
        <v>256</v>
      </c>
      <c r="I14" s="35"/>
    </row>
    <row r="15" spans="1:15" ht="26.7" customHeight="1">
      <c r="A15" s="39" t="s">
        <v>367</v>
      </c>
      <c r="B15" s="38" t="s">
        <v>323</v>
      </c>
      <c r="C15" s="38"/>
      <c r="D15" s="279"/>
      <c r="E15" s="260"/>
      <c r="F15" s="279">
        <v>30</v>
      </c>
      <c r="G15" s="260"/>
      <c r="H15" s="38">
        <f t="shared" si="0"/>
        <v>226</v>
      </c>
      <c r="I15" s="35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35"/>
    </row>
    <row r="17" spans="1:9" ht="26.7" customHeight="1">
      <c r="A17" s="39"/>
      <c r="B17" s="38"/>
      <c r="C17" s="38"/>
      <c r="D17" s="279"/>
      <c r="E17" s="260"/>
      <c r="F17" s="279"/>
      <c r="G17" s="260"/>
      <c r="H17" s="38"/>
      <c r="I17" s="35"/>
    </row>
    <row r="18" spans="1:9" ht="26.7" customHeight="1">
      <c r="A18" s="39"/>
      <c r="B18" s="38"/>
      <c r="C18" s="38"/>
      <c r="D18" s="279"/>
      <c r="E18" s="260"/>
      <c r="F18" s="279"/>
      <c r="G18" s="260"/>
      <c r="H18" s="38"/>
      <c r="I18" s="35"/>
    </row>
    <row r="19" spans="1:9" ht="26.7" customHeight="1">
      <c r="A19" s="39"/>
      <c r="B19" s="38"/>
      <c r="C19" s="38"/>
      <c r="D19" s="279"/>
      <c r="E19" s="260"/>
      <c r="F19" s="279"/>
      <c r="G19" s="260"/>
      <c r="H19" s="38"/>
      <c r="I19" s="35"/>
    </row>
    <row r="20" spans="1:9" ht="26.7" customHeight="1">
      <c r="A20" s="39"/>
      <c r="B20" s="38"/>
      <c r="C20" s="38"/>
      <c r="D20" s="279"/>
      <c r="E20" s="260"/>
      <c r="F20" s="279"/>
      <c r="G20" s="260"/>
      <c r="H20" s="38"/>
      <c r="I20" s="35"/>
    </row>
    <row r="21" spans="1:9" ht="26.7" customHeight="1">
      <c r="A21" s="39"/>
      <c r="B21" s="38"/>
      <c r="C21" s="38"/>
      <c r="D21" s="279"/>
      <c r="E21" s="260"/>
      <c r="F21" s="279"/>
      <c r="G21" s="260"/>
      <c r="H21" s="38"/>
      <c r="I21" s="35"/>
    </row>
    <row r="22" spans="1:9" ht="26.7" customHeight="1">
      <c r="A22" s="39"/>
      <c r="B22" s="38"/>
      <c r="C22" s="38"/>
      <c r="D22" s="279"/>
      <c r="E22" s="260"/>
      <c r="F22" s="279"/>
      <c r="G22" s="260"/>
      <c r="H22" s="38"/>
      <c r="I22" s="35"/>
    </row>
    <row r="23" spans="1:9" ht="26.7" customHeight="1">
      <c r="A23" s="39"/>
      <c r="B23" s="38"/>
      <c r="C23" s="38"/>
      <c r="D23" s="279"/>
      <c r="E23" s="260"/>
      <c r="F23" s="279"/>
      <c r="G23" s="260"/>
      <c r="H23" s="38"/>
      <c r="I23" s="35"/>
    </row>
    <row r="24" spans="1:9" ht="26.7" customHeight="1">
      <c r="A24" s="39"/>
      <c r="B24" s="38"/>
      <c r="C24" s="38"/>
      <c r="D24" s="279"/>
      <c r="E24" s="260"/>
      <c r="F24" s="279"/>
      <c r="G24" s="260"/>
      <c r="H24" s="38"/>
      <c r="I24" s="35"/>
    </row>
    <row r="25" spans="1:9" ht="26.7" customHeight="1">
      <c r="A25" s="39"/>
      <c r="B25" s="38"/>
      <c r="C25" s="38"/>
      <c r="D25" s="279"/>
      <c r="E25" s="260"/>
      <c r="F25" s="279"/>
      <c r="G25" s="260"/>
      <c r="H25" s="38"/>
      <c r="I25" s="35"/>
    </row>
    <row r="26" spans="1:9" ht="26.7" customHeight="1">
      <c r="A26" s="39"/>
      <c r="B26" s="38"/>
      <c r="C26" s="38"/>
      <c r="D26" s="279"/>
      <c r="E26" s="260"/>
      <c r="F26" s="279"/>
      <c r="G26" s="260"/>
      <c r="H26" s="38"/>
      <c r="I26" s="35"/>
    </row>
    <row r="27" spans="1:9" ht="26.7" customHeight="1">
      <c r="A27" s="39"/>
      <c r="B27" s="38"/>
      <c r="C27" s="38"/>
      <c r="D27" s="279"/>
      <c r="E27" s="260"/>
      <c r="F27" s="279"/>
      <c r="G27" s="260"/>
      <c r="H27" s="38"/>
      <c r="I27" s="35"/>
    </row>
    <row r="28" spans="1:9" ht="26.7" customHeight="1">
      <c r="A28" s="39"/>
      <c r="B28" s="38"/>
      <c r="C28" s="38"/>
      <c r="D28" s="279"/>
      <c r="E28" s="260"/>
      <c r="F28" s="279"/>
      <c r="G28" s="260"/>
      <c r="H28" s="38"/>
      <c r="I28" s="35"/>
    </row>
    <row r="29" spans="1:9" ht="26.7" customHeight="1">
      <c r="A29" s="39"/>
      <c r="B29" s="38"/>
      <c r="C29" s="38"/>
      <c r="D29" s="279"/>
      <c r="E29" s="260"/>
      <c r="F29" s="279"/>
      <c r="G29" s="260"/>
      <c r="H29" s="38"/>
      <c r="I29" s="35"/>
    </row>
    <row r="30" spans="1:9" ht="26.7" customHeight="1">
      <c r="A30" s="39"/>
      <c r="B30" s="38"/>
      <c r="C30" s="38"/>
      <c r="D30" s="279"/>
      <c r="E30" s="260"/>
      <c r="F30" s="279"/>
      <c r="G30" s="260"/>
      <c r="H30" s="38"/>
      <c r="I30" s="35"/>
    </row>
    <row r="31" spans="1:9" ht="26.7" customHeight="1">
      <c r="A31" s="39"/>
      <c r="B31" s="38"/>
      <c r="C31" s="38"/>
      <c r="D31" s="279"/>
      <c r="E31" s="260"/>
      <c r="F31" s="279"/>
      <c r="G31" s="260"/>
      <c r="H31" s="38"/>
      <c r="I31" s="35"/>
    </row>
    <row r="32" spans="1:9" ht="26.7" customHeight="1">
      <c r="A32" s="39"/>
      <c r="B32" s="38"/>
      <c r="C32" s="38"/>
      <c r="D32" s="279"/>
      <c r="E32" s="260"/>
      <c r="F32" s="279"/>
      <c r="G32" s="260"/>
      <c r="H32" s="38"/>
      <c r="I32" s="35"/>
    </row>
    <row r="33" spans="1:9" ht="26.7" customHeight="1">
      <c r="A33" s="39"/>
      <c r="B33" s="38"/>
      <c r="C33" s="38"/>
      <c r="D33" s="279"/>
      <c r="E33" s="260"/>
      <c r="F33" s="279"/>
      <c r="G33" s="260"/>
      <c r="H33" s="38"/>
      <c r="I33" s="35"/>
    </row>
    <row r="34" spans="1:9" ht="26.7" customHeight="1">
      <c r="A34" s="39"/>
      <c r="B34" s="38"/>
      <c r="C34" s="38"/>
      <c r="D34" s="279"/>
      <c r="E34" s="260"/>
      <c r="F34" s="279"/>
      <c r="G34" s="260"/>
      <c r="H34" s="38"/>
      <c r="I34" s="35"/>
    </row>
    <row r="35" spans="1:9" ht="26.7" customHeight="1">
      <c r="A35" s="39"/>
      <c r="B35" s="38"/>
      <c r="C35" s="38"/>
      <c r="D35" s="279"/>
      <c r="E35" s="260"/>
      <c r="F35" s="279"/>
      <c r="G35" s="260"/>
      <c r="H35" s="38"/>
      <c r="I35" s="35"/>
    </row>
    <row r="36" spans="1:9" ht="26.7" customHeight="1">
      <c r="A36" s="39"/>
      <c r="B36" s="38"/>
      <c r="C36" s="38"/>
      <c r="D36" s="279"/>
      <c r="E36" s="260"/>
      <c r="F36" s="279"/>
      <c r="G36" s="260"/>
      <c r="H36" s="38"/>
      <c r="I36" s="35"/>
    </row>
    <row r="37" spans="1:9" ht="26.7" customHeight="1">
      <c r="A37" s="39"/>
      <c r="B37" s="38"/>
      <c r="C37" s="38"/>
      <c r="D37" s="279"/>
      <c r="E37" s="260"/>
      <c r="F37" s="279"/>
      <c r="G37" s="260"/>
      <c r="H37" s="38"/>
      <c r="I37" s="35"/>
    </row>
    <row r="38" spans="1:9" ht="26.7" customHeight="1">
      <c r="A38" s="39"/>
      <c r="B38" s="38"/>
      <c r="C38" s="38"/>
      <c r="D38" s="279"/>
      <c r="E38" s="260"/>
      <c r="F38" s="279"/>
      <c r="G38" s="260"/>
      <c r="H38" s="38"/>
      <c r="I38" s="35"/>
    </row>
    <row r="39" spans="1:9" ht="26.7" customHeight="1">
      <c r="A39" s="39"/>
      <c r="B39" s="38"/>
      <c r="C39" s="38"/>
      <c r="D39" s="279"/>
      <c r="E39" s="260"/>
      <c r="F39" s="279"/>
      <c r="G39" s="260"/>
      <c r="H39" s="38"/>
      <c r="I39" s="35"/>
    </row>
    <row r="40" spans="1:9" ht="26.7" customHeight="1">
      <c r="A40" s="14"/>
      <c r="B40" s="6"/>
      <c r="C40" s="3"/>
      <c r="D40" s="259"/>
      <c r="E40" s="260"/>
      <c r="F40" s="261"/>
      <c r="G40" s="260"/>
      <c r="H40" s="38"/>
      <c r="I40" s="7"/>
    </row>
    <row r="41" spans="1:9" ht="26.7" customHeight="1">
      <c r="A41" s="15"/>
      <c r="B41" s="6"/>
      <c r="C41" s="3"/>
      <c r="D41" s="259"/>
      <c r="E41" s="260"/>
      <c r="F41" s="261"/>
      <c r="G41" s="260"/>
      <c r="H41" s="38"/>
      <c r="I41" s="7"/>
    </row>
    <row r="42" spans="1:9" ht="26.7" customHeight="1">
      <c r="A42" s="15"/>
      <c r="B42" s="6"/>
      <c r="C42" s="3"/>
      <c r="D42" s="259"/>
      <c r="E42" s="260"/>
      <c r="F42" s="261"/>
      <c r="G42" s="260"/>
      <c r="H42" s="38"/>
      <c r="I42" s="7"/>
    </row>
    <row r="43" spans="1:9" ht="26.7" customHeight="1">
      <c r="A43" s="14"/>
      <c r="B43" s="6"/>
      <c r="C43" s="3"/>
      <c r="D43" s="259"/>
      <c r="E43" s="260"/>
      <c r="F43" s="261"/>
      <c r="G43" s="260"/>
      <c r="H43" s="38"/>
      <c r="I43" s="7"/>
    </row>
    <row r="44" spans="1:9" ht="26.7" customHeight="1">
      <c r="A44" s="15"/>
      <c r="B44" s="6"/>
      <c r="C44" s="3"/>
      <c r="D44" s="259"/>
      <c r="E44" s="260"/>
      <c r="F44" s="261"/>
      <c r="G44" s="260"/>
      <c r="H44" s="38"/>
      <c r="I44" s="7"/>
    </row>
    <row r="45" spans="1:9" ht="26.7" customHeight="1">
      <c r="A45" s="15"/>
      <c r="B45" s="6"/>
      <c r="C45" s="3"/>
      <c r="D45" s="259"/>
      <c r="E45" s="260"/>
      <c r="F45" s="261"/>
      <c r="G45" s="260"/>
      <c r="H45" s="38"/>
      <c r="I45" s="7"/>
    </row>
    <row r="46" spans="1:9" ht="26.7" customHeight="1">
      <c r="A46" s="15"/>
      <c r="B46" s="6"/>
      <c r="C46" s="3"/>
      <c r="D46" s="259"/>
      <c r="E46" s="260"/>
      <c r="F46" s="261"/>
      <c r="G46" s="260"/>
      <c r="H46" s="38"/>
      <c r="I46" s="7"/>
    </row>
    <row r="47" spans="1:9" ht="26.7" customHeight="1">
      <c r="A47" s="14"/>
      <c r="B47" s="6"/>
      <c r="C47" s="3"/>
      <c r="D47" s="259"/>
      <c r="E47" s="260"/>
      <c r="F47" s="261"/>
      <c r="G47" s="260"/>
      <c r="H47" s="38"/>
      <c r="I47" s="7"/>
    </row>
    <row r="48" spans="1:9" ht="26.7" customHeight="1">
      <c r="A48" s="14"/>
      <c r="B48" s="6"/>
      <c r="C48" s="3"/>
      <c r="D48" s="259"/>
      <c r="E48" s="260"/>
      <c r="F48" s="261"/>
      <c r="G48" s="260"/>
      <c r="H48" s="38"/>
      <c r="I48" s="7"/>
    </row>
    <row r="49" spans="1:9" ht="26.7" customHeight="1">
      <c r="A49" s="14"/>
      <c r="B49" s="6"/>
      <c r="C49" s="3"/>
      <c r="D49" s="259"/>
      <c r="E49" s="260"/>
      <c r="F49" s="261"/>
      <c r="G49" s="260"/>
      <c r="H49" s="38"/>
      <c r="I49" s="7"/>
    </row>
    <row r="50" spans="1:9" ht="26.7" customHeight="1">
      <c r="A50" s="14"/>
      <c r="B50" s="6"/>
      <c r="C50" s="3"/>
      <c r="D50" s="259"/>
      <c r="E50" s="260"/>
      <c r="F50" s="261"/>
      <c r="G50" s="260"/>
      <c r="H50" s="38"/>
      <c r="I50" s="7"/>
    </row>
    <row r="51" spans="1:9" ht="26.7" customHeight="1">
      <c r="A51" s="14"/>
      <c r="B51" s="6"/>
      <c r="C51" s="3"/>
      <c r="D51" s="259"/>
      <c r="E51" s="260"/>
      <c r="F51" s="261"/>
      <c r="G51" s="260"/>
      <c r="H51" s="38"/>
      <c r="I51" s="7"/>
    </row>
    <row r="52" spans="1:9" ht="26.7" customHeight="1">
      <c r="A52" s="14"/>
      <c r="B52" s="6"/>
      <c r="C52" s="3"/>
      <c r="D52" s="259"/>
      <c r="E52" s="260"/>
      <c r="F52" s="261"/>
      <c r="G52" s="260"/>
      <c r="H52" s="38"/>
      <c r="I52" s="7"/>
    </row>
    <row r="53" spans="1:9" ht="26.7" customHeight="1">
      <c r="A53" s="14"/>
      <c r="B53" s="6"/>
      <c r="C53" s="3"/>
      <c r="D53" s="259"/>
      <c r="E53" s="260"/>
      <c r="F53" s="261"/>
      <c r="G53" s="260"/>
      <c r="H53" s="38"/>
      <c r="I53" s="7"/>
    </row>
    <row r="54" spans="1:9" ht="26.7" customHeight="1">
      <c r="A54" s="14"/>
      <c r="B54" s="6"/>
      <c r="C54" s="3"/>
      <c r="D54" s="259"/>
      <c r="E54" s="260"/>
      <c r="F54" s="261"/>
      <c r="G54" s="260"/>
      <c r="H54" s="38"/>
      <c r="I54" s="7"/>
    </row>
    <row r="55" spans="1:9" ht="26.7" customHeight="1">
      <c r="A55" s="14"/>
      <c r="B55" s="6"/>
      <c r="C55" s="3"/>
      <c r="D55" s="259"/>
      <c r="E55" s="260"/>
      <c r="F55" s="261"/>
      <c r="G55" s="260"/>
      <c r="H55" s="38"/>
      <c r="I55" s="7"/>
    </row>
    <row r="56" spans="1:9" ht="26.7" customHeight="1">
      <c r="A56" s="14"/>
      <c r="B56" s="6"/>
      <c r="C56" s="9"/>
      <c r="D56" s="259"/>
      <c r="E56" s="260"/>
      <c r="F56" s="261"/>
      <c r="G56" s="260"/>
      <c r="H56" s="38"/>
      <c r="I56" s="7"/>
    </row>
    <row r="57" spans="1:9" ht="26.7" customHeight="1">
      <c r="A57" s="14"/>
      <c r="B57" s="6"/>
      <c r="C57" s="3"/>
      <c r="D57" s="259"/>
      <c r="E57" s="260"/>
      <c r="F57" s="261"/>
      <c r="G57" s="260"/>
      <c r="H57" s="38"/>
      <c r="I57" s="7"/>
    </row>
    <row r="58" spans="1:9" ht="26.7" customHeight="1"/>
    <row r="59" spans="1:9" ht="26.7" customHeight="1"/>
    <row r="60" spans="1:9" ht="26.7" customHeight="1"/>
    <row r="61" spans="1:9" ht="26.7" customHeight="1"/>
    <row r="62" spans="1:9" ht="26.7" customHeight="1"/>
    <row r="63" spans="1:9" ht="26.7" customHeight="1"/>
    <row r="64" spans="1:9" ht="26.7" customHeight="1"/>
    <row r="65" ht="26.7" customHeight="1"/>
    <row r="66" ht="26.7" customHeight="1"/>
  </sheetData>
  <mergeCells count="114">
    <mergeCell ref="B3:D3"/>
    <mergeCell ref="D42:E42"/>
    <mergeCell ref="D50:E50"/>
    <mergeCell ref="D44:E44"/>
    <mergeCell ref="F53:G53"/>
    <mergeCell ref="H4:I4"/>
    <mergeCell ref="D40:E40"/>
    <mergeCell ref="F40:G40"/>
    <mergeCell ref="D21:E21"/>
    <mergeCell ref="F55:G55"/>
    <mergeCell ref="F12:G12"/>
    <mergeCell ref="F24:G24"/>
    <mergeCell ref="D57:E57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F52:G52"/>
    <mergeCell ref="D8:E8"/>
    <mergeCell ref="H3:I3"/>
    <mergeCell ref="D39:E39"/>
    <mergeCell ref="F39:G39"/>
    <mergeCell ref="F48:G48"/>
    <mergeCell ref="D15:E15"/>
    <mergeCell ref="D29:E29"/>
    <mergeCell ref="D23:E23"/>
    <mergeCell ref="A1:I1"/>
    <mergeCell ref="D38:E38"/>
    <mergeCell ref="F44:G44"/>
    <mergeCell ref="F7:G7"/>
    <mergeCell ref="F21:G21"/>
    <mergeCell ref="D27:E27"/>
    <mergeCell ref="F36:G36"/>
    <mergeCell ref="D17:E17"/>
    <mergeCell ref="F8:G8"/>
    <mergeCell ref="A5:B5"/>
    <mergeCell ref="D28:E28"/>
    <mergeCell ref="F22:G22"/>
    <mergeCell ref="D12:E12"/>
    <mergeCell ref="D25:E25"/>
    <mergeCell ref="D30:E30"/>
    <mergeCell ref="D14:E14"/>
    <mergeCell ref="E4:G4"/>
    <mergeCell ref="F57:G57"/>
    <mergeCell ref="D35:E35"/>
    <mergeCell ref="D10:E10"/>
    <mergeCell ref="F54:G54"/>
    <mergeCell ref="D19:E19"/>
    <mergeCell ref="D34:E34"/>
    <mergeCell ref="F10:G10"/>
    <mergeCell ref="F19:G19"/>
    <mergeCell ref="F34:G34"/>
    <mergeCell ref="F30:G30"/>
    <mergeCell ref="D11:E11"/>
    <mergeCell ref="F20:G20"/>
    <mergeCell ref="F18:G18"/>
    <mergeCell ref="F33:G33"/>
    <mergeCell ref="F45:G45"/>
    <mergeCell ref="F42:G42"/>
    <mergeCell ref="F17:G17"/>
    <mergeCell ref="D53:E53"/>
    <mergeCell ref="D47:E47"/>
    <mergeCell ref="F47:G47"/>
    <mergeCell ref="D37:E37"/>
    <mergeCell ref="F31:G31"/>
    <mergeCell ref="F46:G46"/>
    <mergeCell ref="F28:G28"/>
    <mergeCell ref="D48:E48"/>
    <mergeCell ref="D7:E7"/>
    <mergeCell ref="F23:G23"/>
    <mergeCell ref="B4:D4"/>
    <mergeCell ref="F13:G13"/>
    <mergeCell ref="D56:E56"/>
    <mergeCell ref="F56:G56"/>
    <mergeCell ref="F43:G43"/>
    <mergeCell ref="D24:E24"/>
    <mergeCell ref="D33:E33"/>
    <mergeCell ref="D51:E51"/>
    <mergeCell ref="D26:E26"/>
    <mergeCell ref="F6:G6"/>
    <mergeCell ref="D9:E9"/>
    <mergeCell ref="F9:G9"/>
    <mergeCell ref="D52:E52"/>
    <mergeCell ref="D49:E49"/>
    <mergeCell ref="F50:G50"/>
    <mergeCell ref="D55:E55"/>
    <mergeCell ref="F49:G49"/>
    <mergeCell ref="F14:G14"/>
    <mergeCell ref="D54:E54"/>
    <mergeCell ref="F11:G11"/>
    <mergeCell ref="D46:E46"/>
    <mergeCell ref="D20:E20"/>
    <mergeCell ref="F29:G29"/>
    <mergeCell ref="F16:G16"/>
    <mergeCell ref="F25:G25"/>
    <mergeCell ref="C5:G5"/>
    <mergeCell ref="D22:E22"/>
    <mergeCell ref="D36:E36"/>
    <mergeCell ref="D31:E31"/>
    <mergeCell ref="D45:E45"/>
    <mergeCell ref="D6:E6"/>
    <mergeCell ref="F15:G15"/>
    <mergeCell ref="D13:E13"/>
    <mergeCell ref="F37:G3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A1:O174"/>
  <sheetViews>
    <sheetView zoomScaleNormal="100" workbookViewId="0">
      <pane ySplit="6" topLeftCell="A29" activePane="bottomLeft" state="frozen"/>
      <selection pane="bottomLeft" activeCell="H38" sqref="H38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937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938</v>
      </c>
      <c r="C3" s="263"/>
      <c r="D3" s="260"/>
      <c r="E3" s="266" t="s">
        <v>11</v>
      </c>
      <c r="F3" s="263"/>
      <c r="G3" s="260"/>
      <c r="H3" s="268" t="s">
        <v>939</v>
      </c>
      <c r="I3" s="269"/>
      <c r="J3" s="19" t="str">
        <f>B3</f>
        <v>Silence 1mg</v>
      </c>
      <c r="K3" s="34" t="s">
        <v>940</v>
      </c>
      <c r="L3" s="5">
        <f>H7</f>
        <v>574</v>
      </c>
      <c r="M3" s="3">
        <f>SUM(C$8:C$1048576)</f>
        <v>2030</v>
      </c>
      <c r="N3" s="3">
        <f>SUM(F:F)</f>
        <v>898</v>
      </c>
      <c r="O3" s="3">
        <f>L3+M3-N3</f>
        <v>1706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519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941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8.5" customHeight="1">
      <c r="A7" s="196" t="s">
        <v>29</v>
      </c>
      <c r="B7" s="155" t="s">
        <v>5</v>
      </c>
      <c r="C7" s="155">
        <v>574</v>
      </c>
      <c r="D7" s="280"/>
      <c r="E7" s="260"/>
      <c r="F7" s="280"/>
      <c r="G7" s="260"/>
      <c r="H7" s="155">
        <v>574</v>
      </c>
      <c r="I7" s="210" t="s">
        <v>571</v>
      </c>
      <c r="J7" s="12"/>
      <c r="K7" s="3"/>
      <c r="L7" s="3"/>
      <c r="M7" s="3"/>
      <c r="N7" s="3"/>
      <c r="O7" s="3"/>
    </row>
    <row r="8" spans="1:15" ht="21" customHeight="1">
      <c r="A8" s="39" t="s">
        <v>333</v>
      </c>
      <c r="B8" s="38" t="s">
        <v>323</v>
      </c>
      <c r="C8" s="3"/>
      <c r="D8" s="259"/>
      <c r="E8" s="260"/>
      <c r="F8" s="279">
        <v>30</v>
      </c>
      <c r="G8" s="260"/>
      <c r="H8" s="155">
        <f t="shared" ref="H8:H31" si="0">H7-F8</f>
        <v>544</v>
      </c>
      <c r="I8" s="7"/>
    </row>
    <row r="9" spans="1:15" ht="18.45" customHeight="1">
      <c r="A9" s="39" t="s">
        <v>465</v>
      </c>
      <c r="B9" s="38" t="s">
        <v>323</v>
      </c>
      <c r="C9" s="38"/>
      <c r="D9" s="279"/>
      <c r="E9" s="260"/>
      <c r="F9" s="279">
        <v>7</v>
      </c>
      <c r="G9" s="260"/>
      <c r="H9" s="38">
        <f t="shared" si="0"/>
        <v>537</v>
      </c>
      <c r="I9" s="77"/>
      <c r="J9" s="12"/>
      <c r="K9" s="3"/>
      <c r="L9" s="3"/>
      <c r="M9" s="3"/>
      <c r="N9" s="3"/>
      <c r="O9" s="3"/>
    </row>
    <row r="10" spans="1:15" ht="21" customHeight="1">
      <c r="A10" s="39" t="s">
        <v>466</v>
      </c>
      <c r="B10" s="38" t="s">
        <v>323</v>
      </c>
      <c r="C10" s="7"/>
      <c r="D10" s="259"/>
      <c r="E10" s="260"/>
      <c r="F10" s="279">
        <v>56</v>
      </c>
      <c r="G10" s="260"/>
      <c r="H10" s="38">
        <f t="shared" si="0"/>
        <v>481</v>
      </c>
      <c r="I10" s="108" t="s">
        <v>540</v>
      </c>
      <c r="J10" s="12"/>
      <c r="K10" s="3"/>
      <c r="L10" s="3"/>
      <c r="M10" s="3"/>
      <c r="N10" s="3"/>
      <c r="O10" s="3"/>
    </row>
    <row r="11" spans="1:15" ht="21" customHeight="1">
      <c r="A11" s="39" t="s">
        <v>573</v>
      </c>
      <c r="B11" s="38" t="s">
        <v>323</v>
      </c>
      <c r="C11" s="7"/>
      <c r="D11" s="259"/>
      <c r="E11" s="260"/>
      <c r="F11" s="279">
        <v>30</v>
      </c>
      <c r="G11" s="260"/>
      <c r="H11" s="38">
        <f t="shared" si="0"/>
        <v>451</v>
      </c>
      <c r="I11" s="26"/>
      <c r="J11" s="12"/>
      <c r="K11" s="3"/>
      <c r="L11" s="3"/>
      <c r="M11" s="3"/>
      <c r="N11" s="3"/>
      <c r="O11" s="3"/>
    </row>
    <row r="12" spans="1:15" ht="26.7" customHeight="1">
      <c r="A12" s="39" t="s">
        <v>336</v>
      </c>
      <c r="B12" s="38" t="s">
        <v>323</v>
      </c>
      <c r="C12" s="7"/>
      <c r="D12" s="259"/>
      <c r="E12" s="260"/>
      <c r="F12" s="279">
        <v>14</v>
      </c>
      <c r="G12" s="260"/>
      <c r="H12" s="38">
        <f t="shared" si="0"/>
        <v>437</v>
      </c>
      <c r="I12" s="26"/>
      <c r="J12" s="12"/>
      <c r="K12" s="3"/>
      <c r="L12" s="3"/>
      <c r="M12" s="3"/>
      <c r="N12" s="3"/>
      <c r="O12" s="3"/>
    </row>
    <row r="13" spans="1:15" ht="26.7" customHeight="1">
      <c r="A13" s="39" t="s">
        <v>472</v>
      </c>
      <c r="B13" s="38" t="s">
        <v>323</v>
      </c>
      <c r="C13" s="7"/>
      <c r="D13" s="259"/>
      <c r="E13" s="260"/>
      <c r="F13" s="279">
        <v>44</v>
      </c>
      <c r="G13" s="260"/>
      <c r="H13" s="38">
        <f t="shared" si="0"/>
        <v>393</v>
      </c>
      <c r="I13" s="27"/>
      <c r="J13" s="12"/>
      <c r="K13" s="3"/>
      <c r="L13" s="3"/>
      <c r="M13" s="3"/>
      <c r="N13" s="3"/>
      <c r="O13" s="3"/>
    </row>
    <row r="14" spans="1:15" ht="26.7" customHeight="1">
      <c r="A14" s="39" t="s">
        <v>338</v>
      </c>
      <c r="B14" s="38" t="s">
        <v>323</v>
      </c>
      <c r="C14" s="7"/>
      <c r="D14" s="259"/>
      <c r="E14" s="260"/>
      <c r="F14" s="279">
        <v>7</v>
      </c>
      <c r="G14" s="260"/>
      <c r="H14" s="38">
        <f t="shared" si="0"/>
        <v>386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339</v>
      </c>
      <c r="B15" s="38" t="s">
        <v>323</v>
      </c>
      <c r="C15" s="7"/>
      <c r="D15" s="259"/>
      <c r="E15" s="260"/>
      <c r="F15" s="279">
        <v>30</v>
      </c>
      <c r="G15" s="260"/>
      <c r="H15" s="38">
        <f t="shared" si="0"/>
        <v>356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39" t="s">
        <v>436</v>
      </c>
      <c r="B16" s="38" t="s">
        <v>323</v>
      </c>
      <c r="C16" s="7"/>
      <c r="D16" s="259"/>
      <c r="E16" s="260"/>
      <c r="F16" s="279">
        <v>14</v>
      </c>
      <c r="G16" s="260"/>
      <c r="H16" s="38">
        <f t="shared" si="0"/>
        <v>342</v>
      </c>
      <c r="I16" s="26"/>
      <c r="J16" s="12"/>
      <c r="K16" s="3"/>
      <c r="L16" s="3"/>
      <c r="M16" s="3"/>
      <c r="N16" s="3"/>
      <c r="O16" s="3"/>
    </row>
    <row r="17" spans="1:15" ht="26.7" customHeight="1">
      <c r="A17" s="39" t="s">
        <v>526</v>
      </c>
      <c r="B17" s="38" t="s">
        <v>323</v>
      </c>
      <c r="C17" s="91"/>
      <c r="D17" s="287"/>
      <c r="E17" s="260"/>
      <c r="F17" s="279">
        <v>14</v>
      </c>
      <c r="G17" s="260"/>
      <c r="H17" s="38">
        <f t="shared" si="0"/>
        <v>328</v>
      </c>
      <c r="I17" s="108"/>
      <c r="J17" s="12"/>
      <c r="K17" s="3"/>
      <c r="L17" s="3"/>
      <c r="M17" s="3"/>
      <c r="N17" s="3"/>
      <c r="O17" s="3"/>
    </row>
    <row r="18" spans="1:15" ht="26.7" customHeight="1">
      <c r="A18" s="41" t="s">
        <v>475</v>
      </c>
      <c r="B18" s="38" t="s">
        <v>323</v>
      </c>
      <c r="C18" s="91"/>
      <c r="D18" s="287"/>
      <c r="E18" s="260"/>
      <c r="F18" s="279">
        <v>30</v>
      </c>
      <c r="G18" s="260"/>
      <c r="H18" s="38">
        <f t="shared" si="0"/>
        <v>298</v>
      </c>
      <c r="I18" s="108"/>
      <c r="J18" s="12"/>
      <c r="K18" s="3"/>
      <c r="L18" s="3"/>
      <c r="M18" s="3"/>
      <c r="N18" s="3"/>
      <c r="O18" s="3"/>
    </row>
    <row r="19" spans="1:15" ht="26.7" customHeight="1">
      <c r="A19" s="39" t="s">
        <v>476</v>
      </c>
      <c r="B19" s="38" t="s">
        <v>323</v>
      </c>
      <c r="C19" s="7"/>
      <c r="D19" s="259"/>
      <c r="E19" s="260"/>
      <c r="F19" s="279">
        <v>30</v>
      </c>
      <c r="G19" s="260"/>
      <c r="H19" s="38">
        <f t="shared" si="0"/>
        <v>268</v>
      </c>
      <c r="I19" s="26"/>
      <c r="J19" s="12"/>
    </row>
    <row r="20" spans="1:15" ht="26.7" customHeight="1">
      <c r="A20" s="39" t="s">
        <v>604</v>
      </c>
      <c r="B20" s="38" t="s">
        <v>323</v>
      </c>
      <c r="C20" s="7"/>
      <c r="D20" s="259"/>
      <c r="E20" s="260"/>
      <c r="F20" s="279">
        <v>28</v>
      </c>
      <c r="G20" s="260"/>
      <c r="H20" s="38">
        <f t="shared" si="0"/>
        <v>240</v>
      </c>
      <c r="I20" s="26"/>
      <c r="J20" s="12"/>
    </row>
    <row r="21" spans="1:15" ht="26.7" customHeight="1">
      <c r="A21" s="39" t="s">
        <v>342</v>
      </c>
      <c r="B21" s="38" t="s">
        <v>323</v>
      </c>
      <c r="C21" s="7"/>
      <c r="D21" s="259"/>
      <c r="E21" s="260"/>
      <c r="F21" s="279">
        <v>14</v>
      </c>
      <c r="G21" s="260"/>
      <c r="H21" s="38">
        <f t="shared" si="0"/>
        <v>226</v>
      </c>
      <c r="I21" s="26"/>
      <c r="J21" s="12"/>
    </row>
    <row r="22" spans="1:15" ht="26.7" customHeight="1">
      <c r="A22" s="39" t="s">
        <v>478</v>
      </c>
      <c r="B22" s="38" t="s">
        <v>323</v>
      </c>
      <c r="C22" s="7"/>
      <c r="D22" s="259"/>
      <c r="E22" s="260"/>
      <c r="F22" s="279">
        <v>14</v>
      </c>
      <c r="G22" s="260"/>
      <c r="H22" s="38">
        <f t="shared" si="0"/>
        <v>212</v>
      </c>
      <c r="I22" s="26"/>
      <c r="J22" s="12"/>
    </row>
    <row r="23" spans="1:15" ht="26.7" customHeight="1">
      <c r="A23" s="39" t="s">
        <v>346</v>
      </c>
      <c r="B23" s="38" t="s">
        <v>323</v>
      </c>
      <c r="C23" s="7"/>
      <c r="D23" s="259"/>
      <c r="E23" s="260"/>
      <c r="F23" s="279">
        <v>30</v>
      </c>
      <c r="G23" s="260"/>
      <c r="H23" s="38">
        <f t="shared" si="0"/>
        <v>182</v>
      </c>
      <c r="I23" s="26"/>
      <c r="J23" s="12"/>
    </row>
    <row r="24" spans="1:15" ht="26.7" customHeight="1">
      <c r="A24" s="39" t="s">
        <v>527</v>
      </c>
      <c r="B24" s="38" t="s">
        <v>323</v>
      </c>
      <c r="C24" s="7"/>
      <c r="D24" s="259"/>
      <c r="E24" s="260"/>
      <c r="F24" s="279">
        <v>60</v>
      </c>
      <c r="G24" s="260"/>
      <c r="H24" s="38">
        <f t="shared" si="0"/>
        <v>122</v>
      </c>
      <c r="I24" s="26"/>
      <c r="J24" s="12"/>
    </row>
    <row r="25" spans="1:15" ht="26.7" customHeight="1">
      <c r="A25" s="39" t="s">
        <v>530</v>
      </c>
      <c r="B25" s="38" t="s">
        <v>323</v>
      </c>
      <c r="C25" s="7"/>
      <c r="D25" s="259"/>
      <c r="E25" s="260"/>
      <c r="F25" s="279">
        <v>14</v>
      </c>
      <c r="G25" s="260"/>
      <c r="H25" s="38">
        <f t="shared" si="0"/>
        <v>108</v>
      </c>
      <c r="I25" s="26"/>
      <c r="J25" s="12"/>
    </row>
    <row r="26" spans="1:15" ht="26.7" customHeight="1">
      <c r="A26" s="39" t="s">
        <v>349</v>
      </c>
      <c r="B26" s="38" t="s">
        <v>323</v>
      </c>
      <c r="C26" s="7"/>
      <c r="D26" s="259"/>
      <c r="E26" s="260"/>
      <c r="F26" s="279">
        <v>28</v>
      </c>
      <c r="G26" s="260"/>
      <c r="H26" s="38">
        <f t="shared" si="0"/>
        <v>80</v>
      </c>
      <c r="I26" s="26"/>
      <c r="J26" s="12"/>
    </row>
    <row r="27" spans="1:15" ht="26.7" customHeight="1">
      <c r="A27" s="39" t="s">
        <v>531</v>
      </c>
      <c r="B27" s="38" t="s">
        <v>323</v>
      </c>
      <c r="C27" s="7"/>
      <c r="D27" s="259"/>
      <c r="E27" s="260"/>
      <c r="F27" s="279">
        <v>30</v>
      </c>
      <c r="G27" s="260"/>
      <c r="H27" s="38">
        <f t="shared" si="0"/>
        <v>50</v>
      </c>
      <c r="I27" s="28"/>
      <c r="J27" s="12"/>
    </row>
    <row r="28" spans="1:15" ht="26.7" customHeight="1">
      <c r="A28" s="39" t="s">
        <v>388</v>
      </c>
      <c r="B28" s="38" t="s">
        <v>323</v>
      </c>
      <c r="C28" s="7"/>
      <c r="D28" s="259"/>
      <c r="E28" s="260"/>
      <c r="F28" s="279">
        <v>30</v>
      </c>
      <c r="G28" s="260"/>
      <c r="H28" s="38">
        <f t="shared" si="0"/>
        <v>20</v>
      </c>
      <c r="I28" s="26"/>
      <c r="J28" s="12"/>
    </row>
    <row r="29" spans="1:15" ht="26.7" customHeight="1">
      <c r="A29" s="39" t="s">
        <v>532</v>
      </c>
      <c r="B29" s="38" t="s">
        <v>323</v>
      </c>
      <c r="C29" s="7"/>
      <c r="D29" s="259"/>
      <c r="E29" s="260"/>
      <c r="F29" s="279">
        <v>14</v>
      </c>
      <c r="G29" s="260"/>
      <c r="H29" s="38">
        <f t="shared" si="0"/>
        <v>6</v>
      </c>
      <c r="I29" s="26"/>
      <c r="J29" s="12"/>
    </row>
    <row r="30" spans="1:15" ht="26.7" customHeight="1">
      <c r="A30" s="39" t="s">
        <v>441</v>
      </c>
      <c r="B30" s="38" t="s">
        <v>323</v>
      </c>
      <c r="C30" s="7"/>
      <c r="D30" s="259"/>
      <c r="E30" s="260"/>
      <c r="F30" s="279">
        <v>6</v>
      </c>
      <c r="G30" s="260"/>
      <c r="H30" s="38">
        <f t="shared" si="0"/>
        <v>0</v>
      </c>
      <c r="I30" s="26"/>
      <c r="J30" s="12"/>
    </row>
    <row r="31" spans="1:15" ht="26.7" customHeight="1">
      <c r="A31" s="58" t="s">
        <v>416</v>
      </c>
      <c r="B31" s="38" t="s">
        <v>323</v>
      </c>
      <c r="C31" s="7"/>
      <c r="D31" s="259"/>
      <c r="E31" s="260"/>
      <c r="F31" s="279">
        <v>30</v>
      </c>
      <c r="G31" s="260"/>
      <c r="H31" s="38">
        <f t="shared" si="0"/>
        <v>-30</v>
      </c>
      <c r="I31" s="26"/>
      <c r="J31" s="12"/>
    </row>
    <row r="32" spans="1:15" ht="26.7" customHeight="1">
      <c r="A32" s="39" t="s">
        <v>418</v>
      </c>
      <c r="B32" s="38" t="s">
        <v>324</v>
      </c>
      <c r="C32" s="7">
        <v>30</v>
      </c>
      <c r="D32" s="259" t="s">
        <v>942</v>
      </c>
      <c r="E32" s="260"/>
      <c r="F32" s="279"/>
      <c r="G32" s="260"/>
      <c r="H32" s="38">
        <v>0</v>
      </c>
      <c r="I32" s="26" t="s">
        <v>414</v>
      </c>
      <c r="J32" s="12"/>
    </row>
    <row r="33" spans="1:10" ht="26.7" customHeight="1" thickBot="1">
      <c r="A33" s="39" t="s">
        <v>418</v>
      </c>
      <c r="B33" s="38" t="s">
        <v>324</v>
      </c>
      <c r="C33" s="31">
        <v>2000</v>
      </c>
      <c r="D33" s="264" t="s">
        <v>943</v>
      </c>
      <c r="E33" s="265"/>
      <c r="F33" s="279"/>
      <c r="G33" s="260"/>
      <c r="H33" s="38">
        <v>2000</v>
      </c>
      <c r="I33" s="134" t="s">
        <v>540</v>
      </c>
      <c r="J33" s="12"/>
    </row>
    <row r="34" spans="1:10" ht="21" customHeight="1">
      <c r="A34" s="39" t="s">
        <v>446</v>
      </c>
      <c r="B34" s="38" t="s">
        <v>323</v>
      </c>
      <c r="C34" s="22"/>
      <c r="D34" s="276"/>
      <c r="E34" s="277"/>
      <c r="F34" s="279">
        <v>30</v>
      </c>
      <c r="G34" s="260"/>
      <c r="H34" s="38">
        <f t="shared" ref="H34:H44" si="1">H33-F34</f>
        <v>1970</v>
      </c>
      <c r="I34" s="22"/>
      <c r="J34" s="3"/>
    </row>
    <row r="35" spans="1:10" ht="21" customHeight="1">
      <c r="A35" s="39" t="s">
        <v>584</v>
      </c>
      <c r="B35" s="38" t="s">
        <v>323</v>
      </c>
      <c r="C35" s="7"/>
      <c r="D35" s="259"/>
      <c r="E35" s="260"/>
      <c r="F35" s="279">
        <v>28</v>
      </c>
      <c r="G35" s="260"/>
      <c r="H35" s="38">
        <f t="shared" si="1"/>
        <v>1942</v>
      </c>
      <c r="I35" s="7"/>
    </row>
    <row r="36" spans="1:10" ht="21" customHeight="1">
      <c r="A36" s="39" t="s">
        <v>449</v>
      </c>
      <c r="B36" s="38" t="s">
        <v>323</v>
      </c>
      <c r="C36" s="7"/>
      <c r="D36" s="259"/>
      <c r="E36" s="260"/>
      <c r="F36" s="279">
        <v>30</v>
      </c>
      <c r="G36" s="260"/>
      <c r="H36" s="38">
        <f t="shared" si="1"/>
        <v>1912</v>
      </c>
      <c r="I36" s="16"/>
      <c r="J36" t="s">
        <v>944</v>
      </c>
    </row>
    <row r="37" spans="1:10" ht="21" customHeight="1">
      <c r="A37" s="39" t="s">
        <v>502</v>
      </c>
      <c r="B37" s="38" t="s">
        <v>323</v>
      </c>
      <c r="C37" s="7"/>
      <c r="D37" s="259"/>
      <c r="E37" s="260"/>
      <c r="F37" s="279">
        <v>30</v>
      </c>
      <c r="G37" s="260"/>
      <c r="H37" s="38">
        <f t="shared" si="1"/>
        <v>1882</v>
      </c>
      <c r="I37" s="7"/>
    </row>
    <row r="38" spans="1:10" ht="21" customHeight="1">
      <c r="A38" s="39" t="s">
        <v>503</v>
      </c>
      <c r="B38" s="38" t="s">
        <v>323</v>
      </c>
      <c r="C38" s="7"/>
      <c r="D38" s="259"/>
      <c r="E38" s="260"/>
      <c r="F38" s="279">
        <v>14</v>
      </c>
      <c r="G38" s="260"/>
      <c r="H38" s="38">
        <f t="shared" si="1"/>
        <v>1868</v>
      </c>
      <c r="I38" s="7"/>
    </row>
    <row r="39" spans="1:10" ht="21" customHeight="1">
      <c r="A39" s="39" t="s">
        <v>553</v>
      </c>
      <c r="B39" s="38" t="s">
        <v>323</v>
      </c>
      <c r="C39" s="3"/>
      <c r="D39" s="259"/>
      <c r="E39" s="260"/>
      <c r="F39" s="279">
        <v>30</v>
      </c>
      <c r="G39" s="260"/>
      <c r="H39" s="38">
        <f t="shared" si="1"/>
        <v>1838</v>
      </c>
      <c r="I39" s="16"/>
    </row>
    <row r="40" spans="1:10" ht="21" customHeight="1">
      <c r="A40" s="39" t="s">
        <v>586</v>
      </c>
      <c r="B40" s="38" t="s">
        <v>323</v>
      </c>
      <c r="C40" s="3"/>
      <c r="D40" s="259"/>
      <c r="E40" s="260"/>
      <c r="F40" s="279">
        <v>28</v>
      </c>
      <c r="G40" s="260"/>
      <c r="H40" s="38">
        <f t="shared" si="1"/>
        <v>1810</v>
      </c>
      <c r="I40" s="7"/>
    </row>
    <row r="41" spans="1:10" ht="21" customHeight="1">
      <c r="A41" s="39" t="s">
        <v>365</v>
      </c>
      <c r="B41" s="38" t="s">
        <v>323</v>
      </c>
      <c r="C41" s="3"/>
      <c r="D41" s="259"/>
      <c r="E41" s="260"/>
      <c r="F41" s="279">
        <v>30</v>
      </c>
      <c r="G41" s="260"/>
      <c r="H41" s="38">
        <f t="shared" si="1"/>
        <v>1780</v>
      </c>
      <c r="I41" s="7"/>
    </row>
    <row r="42" spans="1:10" ht="21" customHeight="1">
      <c r="A42" s="39" t="s">
        <v>399</v>
      </c>
      <c r="B42" s="38" t="s">
        <v>323</v>
      </c>
      <c r="C42" s="3"/>
      <c r="D42" s="259"/>
      <c r="E42" s="260"/>
      <c r="F42" s="279">
        <v>30</v>
      </c>
      <c r="G42" s="260"/>
      <c r="H42" s="38">
        <f t="shared" si="1"/>
        <v>1750</v>
      </c>
      <c r="I42" s="7"/>
    </row>
    <row r="43" spans="1:10" ht="21" customHeight="1">
      <c r="A43" s="39" t="s">
        <v>368</v>
      </c>
      <c r="B43" s="38" t="s">
        <v>323</v>
      </c>
      <c r="C43" s="3"/>
      <c r="D43" s="259"/>
      <c r="E43" s="260"/>
      <c r="F43" s="279">
        <v>14</v>
      </c>
      <c r="G43" s="260"/>
      <c r="H43" s="38">
        <f t="shared" si="1"/>
        <v>1736</v>
      </c>
      <c r="I43" s="7"/>
    </row>
    <row r="44" spans="1:10" ht="21" customHeight="1">
      <c r="A44" s="39" t="s">
        <v>421</v>
      </c>
      <c r="B44" s="38" t="s">
        <v>323</v>
      </c>
      <c r="C44" s="3"/>
      <c r="D44" s="259"/>
      <c r="E44" s="260"/>
      <c r="F44" s="279">
        <v>30</v>
      </c>
      <c r="G44" s="260"/>
      <c r="H44" s="38">
        <f t="shared" si="1"/>
        <v>1706</v>
      </c>
      <c r="I44" s="7"/>
    </row>
    <row r="45" spans="1:10" ht="21" customHeight="1">
      <c r="A45" s="39"/>
      <c r="B45" s="38"/>
      <c r="C45" s="3"/>
      <c r="D45" s="259"/>
      <c r="E45" s="260"/>
      <c r="F45" s="279"/>
      <c r="G45" s="260"/>
      <c r="H45" s="38"/>
      <c r="I45" s="7"/>
    </row>
    <row r="46" spans="1:10" ht="21" customHeight="1">
      <c r="A46" s="39"/>
      <c r="B46" s="38"/>
      <c r="C46" s="3"/>
      <c r="D46" s="259"/>
      <c r="E46" s="260"/>
      <c r="F46" s="279"/>
      <c r="G46" s="260"/>
      <c r="H46" s="38"/>
      <c r="I46" s="7"/>
    </row>
    <row r="47" spans="1:10" ht="21" customHeight="1">
      <c r="A47" s="39"/>
      <c r="B47" s="38"/>
      <c r="C47" s="3"/>
      <c r="D47" s="259"/>
      <c r="E47" s="260"/>
      <c r="F47" s="279"/>
      <c r="G47" s="260"/>
      <c r="H47" s="38"/>
      <c r="I47" s="7"/>
    </row>
    <row r="48" spans="1:10" ht="21" customHeight="1">
      <c r="A48" s="39"/>
      <c r="B48" s="38"/>
      <c r="C48" s="3"/>
      <c r="D48" s="259"/>
      <c r="E48" s="260"/>
      <c r="F48" s="279"/>
      <c r="G48" s="260"/>
      <c r="H48" s="38"/>
      <c r="I48" s="7"/>
    </row>
    <row r="49" spans="1:9" ht="21" customHeight="1">
      <c r="A49" s="39"/>
      <c r="B49" s="38"/>
      <c r="C49" s="3"/>
      <c r="D49" s="259"/>
      <c r="E49" s="260"/>
      <c r="F49" s="279"/>
      <c r="G49" s="260"/>
      <c r="H49" s="38"/>
      <c r="I49" s="7"/>
    </row>
    <row r="50" spans="1:9" ht="21" customHeight="1">
      <c r="A50" s="39"/>
      <c r="B50" s="38"/>
      <c r="C50" s="10"/>
      <c r="D50" s="259"/>
      <c r="E50" s="260"/>
      <c r="F50" s="279"/>
      <c r="G50" s="260"/>
      <c r="H50" s="38"/>
      <c r="I50" s="7"/>
    </row>
    <row r="51" spans="1:9" ht="21" customHeight="1">
      <c r="A51" s="39"/>
      <c r="B51" s="38"/>
      <c r="C51" s="10"/>
      <c r="D51" s="259"/>
      <c r="E51" s="260"/>
      <c r="F51" s="279"/>
      <c r="G51" s="260"/>
      <c r="H51" s="38"/>
      <c r="I51" s="11"/>
    </row>
    <row r="52" spans="1:9" ht="21" customHeight="1">
      <c r="A52" s="39"/>
      <c r="B52" s="38"/>
      <c r="C52" s="9"/>
      <c r="D52" s="259"/>
      <c r="E52" s="260"/>
      <c r="F52" s="279"/>
      <c r="G52" s="260"/>
      <c r="H52" s="38"/>
      <c r="I52" s="7"/>
    </row>
    <row r="53" spans="1:9" ht="21" customHeight="1">
      <c r="A53" s="39"/>
      <c r="B53" s="38"/>
      <c r="C53" s="3"/>
      <c r="D53" s="259"/>
      <c r="E53" s="260"/>
      <c r="F53" s="279"/>
      <c r="G53" s="260"/>
      <c r="H53" s="38"/>
      <c r="I53" s="7"/>
    </row>
    <row r="54" spans="1:9" ht="21" customHeight="1">
      <c r="A54" s="39"/>
      <c r="B54" s="38"/>
      <c r="C54" s="3"/>
      <c r="D54" s="259"/>
      <c r="E54" s="260"/>
      <c r="F54" s="279"/>
      <c r="G54" s="260"/>
      <c r="H54" s="38"/>
      <c r="I54" s="7"/>
    </row>
    <row r="55" spans="1:9" ht="21" customHeight="1">
      <c r="A55" s="39"/>
      <c r="B55" s="38"/>
      <c r="C55" s="3"/>
      <c r="D55" s="259"/>
      <c r="E55" s="260"/>
      <c r="F55" s="279"/>
      <c r="G55" s="260"/>
      <c r="H55" s="38"/>
      <c r="I55" s="7"/>
    </row>
    <row r="56" spans="1:9" ht="21" customHeight="1">
      <c r="A56" s="39"/>
      <c r="B56" s="38"/>
      <c r="C56" s="3"/>
      <c r="D56" s="259"/>
      <c r="E56" s="260"/>
      <c r="F56" s="279"/>
      <c r="G56" s="260"/>
      <c r="H56" s="38"/>
      <c r="I56" s="7"/>
    </row>
    <row r="57" spans="1:9" ht="21" customHeight="1">
      <c r="A57" s="39"/>
      <c r="B57" s="38"/>
      <c r="C57" s="3"/>
      <c r="D57" s="259"/>
      <c r="E57" s="260"/>
      <c r="F57" s="279"/>
      <c r="G57" s="260"/>
      <c r="H57" s="38"/>
      <c r="I57" s="7"/>
    </row>
    <row r="58" spans="1:9" ht="21" customHeight="1">
      <c r="A58" s="39"/>
      <c r="B58" s="38"/>
      <c r="C58" s="3"/>
      <c r="D58" s="259"/>
      <c r="E58" s="260"/>
      <c r="F58" s="279"/>
      <c r="G58" s="260"/>
      <c r="H58" s="38"/>
      <c r="I58" s="16"/>
    </row>
    <row r="59" spans="1:9" ht="21" customHeight="1">
      <c r="A59" s="39"/>
      <c r="B59" s="38"/>
      <c r="C59" s="3"/>
      <c r="D59" s="259"/>
      <c r="E59" s="260"/>
      <c r="F59" s="279"/>
      <c r="G59" s="260"/>
      <c r="H59" s="38"/>
      <c r="I59" s="7"/>
    </row>
    <row r="60" spans="1:9" ht="21" customHeight="1">
      <c r="A60" s="39"/>
      <c r="B60" s="38"/>
      <c r="C60" s="3"/>
      <c r="D60" s="259"/>
      <c r="E60" s="260"/>
      <c r="F60" s="279"/>
      <c r="G60" s="260"/>
      <c r="H60" s="38"/>
      <c r="I60" s="7"/>
    </row>
    <row r="61" spans="1:9" ht="21" customHeight="1">
      <c r="A61" s="39"/>
      <c r="B61" s="38"/>
      <c r="C61" s="3"/>
      <c r="D61" s="259"/>
      <c r="E61" s="260"/>
      <c r="F61" s="279"/>
      <c r="G61" s="260"/>
      <c r="H61" s="38"/>
      <c r="I61" s="7"/>
    </row>
    <row r="62" spans="1:9" ht="21" customHeight="1">
      <c r="A62" s="39"/>
      <c r="B62" s="38"/>
      <c r="C62" s="3"/>
      <c r="D62" s="259"/>
      <c r="E62" s="260"/>
      <c r="F62" s="279"/>
      <c r="G62" s="260"/>
      <c r="H62" s="38"/>
      <c r="I62" s="7"/>
    </row>
    <row r="63" spans="1:9" ht="21" customHeight="1">
      <c r="A63" s="39"/>
      <c r="B63" s="38"/>
      <c r="C63" s="9"/>
      <c r="D63" s="259"/>
      <c r="E63" s="260"/>
      <c r="F63" s="279"/>
      <c r="G63" s="260"/>
      <c r="H63" s="38"/>
      <c r="I63" s="7"/>
    </row>
    <row r="64" spans="1:9" ht="21" customHeight="1">
      <c r="A64" s="39"/>
      <c r="B64" s="38"/>
      <c r="C64" s="3"/>
      <c r="D64" s="259"/>
      <c r="E64" s="260"/>
      <c r="F64" s="279"/>
      <c r="G64" s="260"/>
      <c r="H64" s="38"/>
      <c r="I64" s="7"/>
    </row>
    <row r="65" spans="1:9" ht="21" customHeight="1">
      <c r="A65" s="39"/>
      <c r="B65" s="38"/>
      <c r="C65" s="3"/>
      <c r="D65" s="259"/>
      <c r="E65" s="260"/>
      <c r="F65" s="279"/>
      <c r="G65" s="260"/>
      <c r="H65" s="38"/>
      <c r="I65" s="7"/>
    </row>
    <row r="66" spans="1:9" ht="21" customHeight="1">
      <c r="A66" s="41"/>
      <c r="B66" s="38"/>
      <c r="C66" s="3"/>
      <c r="D66" s="259"/>
      <c r="E66" s="260"/>
      <c r="F66" s="279"/>
      <c r="G66" s="260"/>
      <c r="H66" s="38"/>
      <c r="I66" s="7"/>
    </row>
    <row r="67" spans="1:9" ht="21" customHeight="1">
      <c r="A67" s="39"/>
      <c r="B67" s="38"/>
      <c r="C67" s="3"/>
      <c r="D67" s="259"/>
      <c r="E67" s="260"/>
      <c r="F67" s="279"/>
      <c r="G67" s="260"/>
      <c r="H67" s="38"/>
      <c r="I67" s="7"/>
    </row>
    <row r="68" spans="1:9" ht="21" customHeight="1">
      <c r="A68" s="39"/>
      <c r="B68" s="38"/>
      <c r="C68" s="3"/>
      <c r="D68" s="259"/>
      <c r="E68" s="260"/>
      <c r="F68" s="279"/>
      <c r="G68" s="260"/>
      <c r="H68" s="38"/>
      <c r="I68" s="7"/>
    </row>
    <row r="69" spans="1:9" ht="21" customHeight="1">
      <c r="A69" s="39"/>
      <c r="B69" s="38"/>
      <c r="C69" s="3"/>
      <c r="D69" s="259"/>
      <c r="E69" s="260"/>
      <c r="F69" s="279"/>
      <c r="G69" s="260"/>
      <c r="H69" s="38"/>
      <c r="I69" s="7"/>
    </row>
    <row r="70" spans="1:9" ht="21" customHeight="1">
      <c r="A70" s="39"/>
      <c r="B70" s="38"/>
      <c r="C70" s="3"/>
      <c r="D70" s="259"/>
      <c r="E70" s="260"/>
      <c r="F70" s="279"/>
      <c r="G70" s="260"/>
      <c r="H70" s="38"/>
      <c r="I70" s="7"/>
    </row>
    <row r="71" spans="1:9" ht="21" customHeight="1">
      <c r="A71" s="39"/>
      <c r="B71" s="38"/>
      <c r="C71" s="3"/>
      <c r="D71" s="259"/>
      <c r="E71" s="260"/>
      <c r="F71" s="279"/>
      <c r="G71" s="260"/>
      <c r="H71" s="38"/>
      <c r="I71" s="7"/>
    </row>
    <row r="72" spans="1:9" ht="21" customHeight="1">
      <c r="A72" s="39"/>
      <c r="B72" s="38"/>
      <c r="C72" s="3"/>
      <c r="D72" s="259"/>
      <c r="E72" s="260"/>
      <c r="F72" s="279"/>
      <c r="G72" s="260"/>
      <c r="H72" s="38"/>
      <c r="I72" s="7"/>
    </row>
    <row r="73" spans="1:9" ht="21" customHeight="1">
      <c r="A73" s="39"/>
      <c r="B73" s="38"/>
      <c r="C73" s="3"/>
      <c r="D73" s="259"/>
      <c r="E73" s="260"/>
      <c r="F73" s="279"/>
      <c r="G73" s="260"/>
      <c r="H73" s="38"/>
      <c r="I73" s="7"/>
    </row>
    <row r="74" spans="1:9" ht="21" customHeight="1">
      <c r="A74" s="39"/>
      <c r="B74" s="38"/>
      <c r="C74" s="3"/>
      <c r="D74" s="259"/>
      <c r="E74" s="260"/>
      <c r="F74" s="279"/>
      <c r="G74" s="260"/>
      <c r="H74" s="38"/>
      <c r="I74" s="7"/>
    </row>
    <row r="75" spans="1:9" ht="21" customHeight="1">
      <c r="A75" s="39"/>
      <c r="B75" s="38"/>
      <c r="C75" s="3"/>
      <c r="D75" s="259"/>
      <c r="E75" s="260"/>
      <c r="F75" s="279"/>
      <c r="G75" s="260"/>
      <c r="H75" s="38"/>
      <c r="I75" s="7"/>
    </row>
    <row r="76" spans="1:9" ht="21" customHeight="1">
      <c r="A76" s="39"/>
      <c r="B76" s="38"/>
      <c r="C76" s="3"/>
      <c r="D76" s="259"/>
      <c r="E76" s="260"/>
      <c r="F76" s="279"/>
      <c r="G76" s="260"/>
      <c r="H76" s="38"/>
      <c r="I76" s="7"/>
    </row>
    <row r="77" spans="1:9" ht="21" customHeight="1">
      <c r="A77" s="39"/>
      <c r="B77" s="38"/>
      <c r="C77" s="3"/>
      <c r="D77" s="259"/>
      <c r="E77" s="260"/>
      <c r="F77" s="279"/>
      <c r="G77" s="260"/>
      <c r="H77" s="38"/>
      <c r="I77" s="7"/>
    </row>
    <row r="78" spans="1:9" ht="21" customHeight="1">
      <c r="A78" s="39"/>
      <c r="B78" s="38"/>
      <c r="C78" s="3"/>
      <c r="D78" s="259"/>
      <c r="E78" s="260"/>
      <c r="F78" s="279"/>
      <c r="G78" s="260"/>
      <c r="H78" s="38"/>
      <c r="I78" s="7"/>
    </row>
    <row r="79" spans="1:9" ht="21" customHeight="1">
      <c r="A79" s="39"/>
      <c r="B79" s="38"/>
      <c r="C79" s="3"/>
      <c r="D79" s="259"/>
      <c r="E79" s="260"/>
      <c r="F79" s="279"/>
      <c r="G79" s="260"/>
      <c r="H79" s="38"/>
      <c r="I79" s="7"/>
    </row>
    <row r="80" spans="1:9" ht="21" customHeight="1">
      <c r="A80" s="39"/>
      <c r="B80" s="38"/>
      <c r="C80" s="3"/>
      <c r="D80" s="259"/>
      <c r="E80" s="260"/>
      <c r="F80" s="279"/>
      <c r="G80" s="260"/>
      <c r="H80" s="38"/>
      <c r="I80" s="7"/>
    </row>
    <row r="81" spans="1:9" ht="21" customHeight="1">
      <c r="A81" s="39"/>
      <c r="B81" s="38"/>
      <c r="C81" s="3"/>
      <c r="D81" s="259"/>
      <c r="E81" s="260"/>
      <c r="F81" s="279"/>
      <c r="G81" s="260"/>
      <c r="H81" s="38"/>
      <c r="I81" s="7"/>
    </row>
    <row r="82" spans="1:9" ht="21" customHeight="1">
      <c r="A82" s="39"/>
      <c r="B82" s="38"/>
      <c r="C82" s="3"/>
      <c r="D82" s="259"/>
      <c r="E82" s="260"/>
      <c r="F82" s="279"/>
      <c r="G82" s="260"/>
      <c r="H82" s="38"/>
      <c r="I82" s="7"/>
    </row>
    <row r="83" spans="1:9" ht="21" customHeight="1">
      <c r="A83" s="39"/>
      <c r="B83" s="38"/>
      <c r="C83" s="3"/>
      <c r="D83" s="259"/>
      <c r="E83" s="260"/>
      <c r="F83" s="279"/>
      <c r="G83" s="260"/>
      <c r="H83" s="38"/>
      <c r="I83" s="7"/>
    </row>
    <row r="84" spans="1:9" ht="21" customHeight="1">
      <c r="A84" s="39"/>
      <c r="B84" s="38"/>
      <c r="C84" s="9"/>
      <c r="D84" s="259"/>
      <c r="E84" s="260"/>
      <c r="F84" s="279"/>
      <c r="G84" s="260"/>
      <c r="H84" s="38"/>
      <c r="I84" s="7"/>
    </row>
    <row r="85" spans="1:9" ht="21" customHeight="1">
      <c r="A85" s="39"/>
      <c r="B85" s="38"/>
      <c r="C85" s="3"/>
      <c r="D85" s="259"/>
      <c r="E85" s="260"/>
      <c r="F85" s="279"/>
      <c r="G85" s="260"/>
      <c r="H85" s="38"/>
      <c r="I85" s="7"/>
    </row>
    <row r="86" spans="1:9" ht="21" customHeight="1">
      <c r="A86" s="41"/>
      <c r="B86" s="38"/>
      <c r="C86" s="9"/>
      <c r="D86" s="259"/>
      <c r="E86" s="260"/>
      <c r="F86" s="279"/>
      <c r="G86" s="260"/>
      <c r="H86" s="38"/>
      <c r="I86" s="11"/>
    </row>
    <row r="87" spans="1:9" ht="21" customHeight="1">
      <c r="A87" s="39"/>
      <c r="B87" s="38"/>
      <c r="C87" s="3"/>
      <c r="D87" s="259"/>
      <c r="E87" s="260"/>
      <c r="F87" s="279"/>
      <c r="G87" s="260"/>
      <c r="H87" s="38"/>
      <c r="I87" s="7"/>
    </row>
    <row r="88" spans="1:9" ht="21" customHeight="1">
      <c r="A88" s="39"/>
      <c r="B88" s="38"/>
      <c r="C88" s="9"/>
      <c r="D88" s="259"/>
      <c r="E88" s="260"/>
      <c r="F88" s="279"/>
      <c r="G88" s="260"/>
      <c r="H88" s="38"/>
      <c r="I88" s="7"/>
    </row>
    <row r="89" spans="1:9" ht="21" customHeight="1">
      <c r="A89" s="39"/>
      <c r="B89" s="38"/>
      <c r="C89" s="3"/>
      <c r="D89" s="259"/>
      <c r="E89" s="260"/>
      <c r="F89" s="279"/>
      <c r="G89" s="260"/>
      <c r="H89" s="38"/>
      <c r="I89" s="7"/>
    </row>
    <row r="90" spans="1:9" ht="21" customHeight="1">
      <c r="A90" s="39"/>
      <c r="B90" s="38"/>
      <c r="C90" s="3"/>
      <c r="D90" s="259"/>
      <c r="E90" s="260"/>
      <c r="F90" s="279"/>
      <c r="G90" s="260"/>
      <c r="H90" s="38"/>
      <c r="I90" s="7"/>
    </row>
    <row r="91" spans="1:9" ht="21" customHeight="1">
      <c r="A91" s="39"/>
      <c r="B91" s="38"/>
      <c r="C91" s="3"/>
      <c r="D91" s="259"/>
      <c r="E91" s="260"/>
      <c r="F91" s="279"/>
      <c r="G91" s="260"/>
      <c r="H91" s="38"/>
      <c r="I91" s="7"/>
    </row>
    <row r="92" spans="1:9" ht="21" customHeight="1">
      <c r="A92" s="39"/>
      <c r="B92" s="38"/>
      <c r="C92" s="3"/>
      <c r="D92" s="259"/>
      <c r="E92" s="260"/>
      <c r="F92" s="279"/>
      <c r="G92" s="260"/>
      <c r="H92" s="38"/>
      <c r="I92" s="7"/>
    </row>
    <row r="93" spans="1:9" ht="21" customHeight="1">
      <c r="A93" s="39"/>
      <c r="B93" s="38"/>
      <c r="C93" s="3"/>
      <c r="D93" s="259"/>
      <c r="E93" s="260"/>
      <c r="F93" s="279"/>
      <c r="G93" s="260"/>
      <c r="H93" s="38"/>
      <c r="I93" s="7"/>
    </row>
    <row r="94" spans="1:9" ht="21" customHeight="1">
      <c r="A94" s="39"/>
      <c r="B94" s="38"/>
      <c r="C94" s="3"/>
      <c r="D94" s="259"/>
      <c r="E94" s="260"/>
      <c r="F94" s="279"/>
      <c r="G94" s="260"/>
      <c r="H94" s="38"/>
      <c r="I94" s="7"/>
    </row>
    <row r="95" spans="1:9" ht="21" customHeight="1">
      <c r="A95" s="39"/>
      <c r="B95" s="38"/>
      <c r="C95" s="3"/>
      <c r="D95" s="259"/>
      <c r="E95" s="260"/>
      <c r="F95" s="279"/>
      <c r="G95" s="260"/>
      <c r="H95" s="38"/>
      <c r="I95" s="7"/>
    </row>
    <row r="96" spans="1:9" ht="21" customHeight="1">
      <c r="A96" s="39"/>
      <c r="B96" s="38"/>
      <c r="C96" s="3"/>
      <c r="D96" s="259"/>
      <c r="E96" s="260"/>
      <c r="F96" s="279"/>
      <c r="G96" s="260"/>
      <c r="H96" s="38"/>
      <c r="I96" s="7"/>
    </row>
    <row r="97" spans="1:9" ht="21" customHeight="1">
      <c r="A97" s="39"/>
      <c r="B97" s="38"/>
      <c r="C97" s="3"/>
      <c r="D97" s="259"/>
      <c r="E97" s="260"/>
      <c r="F97" s="279"/>
      <c r="G97" s="260"/>
      <c r="H97" s="38"/>
      <c r="I97" s="7"/>
    </row>
    <row r="98" spans="1:9" ht="21" customHeight="1">
      <c r="A98" s="39"/>
      <c r="B98" s="38"/>
      <c r="C98" s="3"/>
      <c r="D98" s="259"/>
      <c r="E98" s="260"/>
      <c r="F98" s="279"/>
      <c r="G98" s="260"/>
      <c r="H98" s="38"/>
      <c r="I98" s="7"/>
    </row>
    <row r="99" spans="1:9" ht="21" customHeight="1">
      <c r="A99" s="39"/>
      <c r="B99" s="38"/>
      <c r="C99" s="3"/>
      <c r="D99" s="259"/>
      <c r="E99" s="260"/>
      <c r="F99" s="279"/>
      <c r="G99" s="260"/>
      <c r="H99" s="38"/>
      <c r="I99" s="7"/>
    </row>
    <row r="100" spans="1:9" ht="21" customHeight="1">
      <c r="A100" s="39"/>
      <c r="B100" s="38"/>
      <c r="C100" s="3"/>
      <c r="D100" s="259"/>
      <c r="E100" s="260"/>
      <c r="F100" s="279"/>
      <c r="G100" s="260"/>
      <c r="H100" s="38"/>
      <c r="I100" s="7"/>
    </row>
    <row r="101" spans="1:9" ht="21" customHeight="1">
      <c r="A101" s="39"/>
      <c r="B101" s="38"/>
      <c r="C101" s="3"/>
      <c r="D101" s="259"/>
      <c r="E101" s="260"/>
      <c r="F101" s="279"/>
      <c r="G101" s="260"/>
      <c r="H101" s="38"/>
      <c r="I101" s="7"/>
    </row>
    <row r="102" spans="1:9" ht="21" customHeight="1">
      <c r="A102" s="39"/>
      <c r="B102" s="38"/>
      <c r="C102" s="3"/>
      <c r="D102" s="259"/>
      <c r="E102" s="260"/>
      <c r="F102" s="279"/>
      <c r="G102" s="260"/>
      <c r="H102" s="38"/>
      <c r="I102" s="7"/>
    </row>
    <row r="103" spans="1:9" ht="21" customHeight="1">
      <c r="A103" s="39"/>
      <c r="B103" s="38"/>
      <c r="C103" s="3"/>
      <c r="D103" s="259"/>
      <c r="E103" s="260"/>
      <c r="F103" s="279"/>
      <c r="G103" s="260"/>
      <c r="H103" s="38"/>
      <c r="I103" s="7"/>
    </row>
    <row r="104" spans="1:9" ht="21" customHeight="1">
      <c r="A104" s="39"/>
      <c r="B104" s="38"/>
      <c r="C104" s="3"/>
      <c r="D104" s="259"/>
      <c r="E104" s="260"/>
      <c r="F104" s="279"/>
      <c r="G104" s="260"/>
      <c r="H104" s="38"/>
      <c r="I104" s="7"/>
    </row>
    <row r="105" spans="1:9" ht="21" customHeight="1">
      <c r="A105" s="39"/>
      <c r="B105" s="38"/>
      <c r="C105" s="3"/>
      <c r="D105" s="259"/>
      <c r="E105" s="260"/>
      <c r="F105" s="279"/>
      <c r="G105" s="260"/>
      <c r="H105" s="38"/>
      <c r="I105" s="7"/>
    </row>
    <row r="106" spans="1:9" ht="21" customHeight="1">
      <c r="A106" s="39"/>
      <c r="B106" s="38"/>
      <c r="C106" s="3"/>
      <c r="D106" s="259"/>
      <c r="E106" s="260"/>
      <c r="F106" s="279"/>
      <c r="G106" s="260"/>
      <c r="H106" s="38"/>
      <c r="I106" s="7"/>
    </row>
    <row r="107" spans="1:9" ht="21" customHeight="1">
      <c r="A107" s="39"/>
      <c r="B107" s="38"/>
      <c r="C107" s="3"/>
      <c r="D107" s="259"/>
      <c r="E107" s="260"/>
      <c r="F107" s="279"/>
      <c r="G107" s="260"/>
      <c r="H107" s="38"/>
      <c r="I107" s="7"/>
    </row>
    <row r="108" spans="1:9" ht="21" customHeight="1">
      <c r="A108" s="39"/>
      <c r="B108" s="38"/>
      <c r="C108" s="3"/>
      <c r="D108" s="259"/>
      <c r="E108" s="260"/>
      <c r="F108" s="279"/>
      <c r="G108" s="260"/>
      <c r="H108" s="38"/>
      <c r="I108" s="7"/>
    </row>
    <row r="109" spans="1:9" ht="21" customHeight="1">
      <c r="A109" s="39"/>
      <c r="B109" s="38"/>
      <c r="C109" s="3"/>
      <c r="D109" s="259"/>
      <c r="E109" s="260"/>
      <c r="F109" s="279"/>
      <c r="G109" s="260"/>
      <c r="H109" s="38"/>
      <c r="I109" s="7"/>
    </row>
    <row r="110" spans="1:9" ht="21" customHeight="1">
      <c r="A110" s="39"/>
      <c r="B110" s="38"/>
      <c r="C110" s="3"/>
      <c r="D110" s="259"/>
      <c r="E110" s="260"/>
      <c r="F110" s="279"/>
      <c r="G110" s="260"/>
      <c r="H110" s="38"/>
      <c r="I110" s="7"/>
    </row>
    <row r="111" spans="1:9" ht="21" customHeight="1">
      <c r="A111" s="39"/>
      <c r="B111" s="38"/>
      <c r="C111" s="3"/>
      <c r="D111" s="259"/>
      <c r="E111" s="260"/>
      <c r="F111" s="279"/>
      <c r="G111" s="260"/>
      <c r="H111" s="38"/>
      <c r="I111" s="7"/>
    </row>
    <row r="112" spans="1:9" ht="21" customHeight="1">
      <c r="A112" s="39"/>
      <c r="B112" s="38"/>
      <c r="C112" s="3"/>
      <c r="D112" s="259"/>
      <c r="E112" s="260"/>
      <c r="F112" s="279"/>
      <c r="G112" s="260"/>
      <c r="H112" s="38"/>
      <c r="I112" s="7"/>
    </row>
    <row r="113" spans="1:9" ht="21" customHeight="1">
      <c r="A113" s="39"/>
      <c r="B113" s="38"/>
      <c r="C113" s="3"/>
      <c r="D113" s="259"/>
      <c r="E113" s="260"/>
      <c r="F113" s="279"/>
      <c r="G113" s="260"/>
      <c r="H113" s="38"/>
      <c r="I113" s="7"/>
    </row>
    <row r="114" spans="1:9" ht="21" customHeight="1">
      <c r="A114" s="39"/>
      <c r="B114" s="38"/>
      <c r="C114" s="3"/>
      <c r="D114" s="259"/>
      <c r="E114" s="260"/>
      <c r="F114" s="279"/>
      <c r="G114" s="260"/>
      <c r="H114" s="38"/>
      <c r="I114" s="7"/>
    </row>
    <row r="115" spans="1:9" ht="21" customHeight="1">
      <c r="A115" s="39"/>
      <c r="B115" s="38"/>
      <c r="C115" s="3"/>
      <c r="D115" s="259"/>
      <c r="E115" s="260"/>
      <c r="F115" s="279"/>
      <c r="G115" s="260"/>
      <c r="H115" s="38"/>
      <c r="I115" s="7"/>
    </row>
    <row r="116" spans="1:9" ht="21" customHeight="1">
      <c r="A116" s="39"/>
      <c r="B116" s="38"/>
      <c r="C116" s="3"/>
      <c r="D116" s="259"/>
      <c r="E116" s="260"/>
      <c r="F116" s="279"/>
      <c r="G116" s="260"/>
      <c r="H116" s="38"/>
      <c r="I116" s="7"/>
    </row>
    <row r="117" spans="1:9" ht="21" customHeight="1">
      <c r="A117" s="39"/>
      <c r="B117" s="38"/>
      <c r="C117" s="3"/>
      <c r="D117" s="259"/>
      <c r="E117" s="260"/>
      <c r="F117" s="279"/>
      <c r="G117" s="260"/>
      <c r="H117" s="38"/>
      <c r="I117" s="7"/>
    </row>
    <row r="118" spans="1:9" ht="21" customHeight="1">
      <c r="A118" s="39"/>
      <c r="B118" s="38"/>
      <c r="C118" s="3"/>
      <c r="D118" s="259"/>
      <c r="E118" s="260"/>
      <c r="F118" s="279"/>
      <c r="G118" s="260"/>
      <c r="H118" s="38"/>
      <c r="I118" s="7"/>
    </row>
    <row r="119" spans="1:9" ht="21" customHeight="1">
      <c r="A119" s="39"/>
      <c r="B119" s="38"/>
      <c r="C119" s="3"/>
      <c r="D119" s="259"/>
      <c r="E119" s="260"/>
      <c r="F119" s="279"/>
      <c r="G119" s="260"/>
      <c r="H119" s="38"/>
      <c r="I119" s="7"/>
    </row>
    <row r="120" spans="1:9" ht="21" customHeight="1">
      <c r="A120" s="39"/>
      <c r="B120" s="38"/>
      <c r="C120" s="3"/>
      <c r="D120" s="259"/>
      <c r="E120" s="260"/>
      <c r="F120" s="279"/>
      <c r="G120" s="260"/>
      <c r="H120" s="38"/>
      <c r="I120" s="7"/>
    </row>
    <row r="121" spans="1:9" ht="21" customHeight="1">
      <c r="A121" s="39"/>
      <c r="B121" s="38"/>
      <c r="C121" s="3"/>
      <c r="D121" s="259"/>
      <c r="E121" s="260"/>
      <c r="F121" s="279"/>
      <c r="G121" s="260"/>
      <c r="H121" s="38"/>
      <c r="I121" s="7"/>
    </row>
    <row r="122" spans="1:9" ht="21" customHeight="1">
      <c r="A122" s="39"/>
      <c r="B122" s="38"/>
      <c r="C122" s="3"/>
      <c r="D122" s="259"/>
      <c r="E122" s="260"/>
      <c r="F122" s="279"/>
      <c r="G122" s="260"/>
      <c r="H122" s="38"/>
      <c r="I122" s="7"/>
    </row>
    <row r="123" spans="1:9" ht="21" customHeight="1">
      <c r="A123" s="39"/>
      <c r="B123" s="38"/>
      <c r="C123" s="3"/>
      <c r="D123" s="259"/>
      <c r="E123" s="260"/>
      <c r="F123" s="279"/>
      <c r="G123" s="260"/>
      <c r="H123" s="38"/>
      <c r="I123" s="7"/>
    </row>
    <row r="124" spans="1:9" ht="21" customHeight="1">
      <c r="A124" s="39"/>
      <c r="B124" s="38"/>
      <c r="C124" s="3"/>
      <c r="D124" s="259"/>
      <c r="E124" s="260"/>
      <c r="F124" s="279"/>
      <c r="G124" s="260"/>
      <c r="H124" s="38"/>
      <c r="I124" s="7"/>
    </row>
    <row r="125" spans="1:9" ht="21" customHeight="1">
      <c r="A125" s="39"/>
      <c r="B125" s="38"/>
      <c r="C125" s="3"/>
      <c r="D125" s="259"/>
      <c r="E125" s="260"/>
      <c r="F125" s="279"/>
      <c r="G125" s="260"/>
      <c r="H125" s="38"/>
      <c r="I125" s="7"/>
    </row>
    <row r="126" spans="1:9" ht="21" customHeight="1">
      <c r="A126" s="39"/>
      <c r="B126" s="38"/>
      <c r="C126" s="3"/>
      <c r="D126" s="259"/>
      <c r="E126" s="260"/>
      <c r="F126" s="279"/>
      <c r="G126" s="260"/>
      <c r="H126" s="38"/>
      <c r="I126" s="7"/>
    </row>
    <row r="127" spans="1:9" ht="21" customHeight="1">
      <c r="A127" s="39"/>
      <c r="B127" s="38"/>
      <c r="C127" s="3"/>
      <c r="D127" s="259"/>
      <c r="E127" s="260"/>
      <c r="F127" s="279"/>
      <c r="G127" s="260"/>
      <c r="H127" s="38"/>
      <c r="I127" s="7"/>
    </row>
    <row r="128" spans="1:9" ht="21" customHeight="1">
      <c r="A128" s="39"/>
      <c r="B128" s="38"/>
      <c r="C128" s="3"/>
      <c r="D128" s="259"/>
      <c r="E128" s="260"/>
      <c r="F128" s="279"/>
      <c r="G128" s="260"/>
      <c r="H128" s="38"/>
      <c r="I128" s="7"/>
    </row>
    <row r="129" spans="1:9" ht="21" customHeight="1">
      <c r="A129" s="39"/>
      <c r="B129" s="38"/>
      <c r="C129" s="3"/>
      <c r="D129" s="259"/>
      <c r="E129" s="260"/>
      <c r="F129" s="279"/>
      <c r="G129" s="260"/>
      <c r="H129" s="38"/>
      <c r="I129" s="7"/>
    </row>
    <row r="130" spans="1:9" ht="21" customHeight="1">
      <c r="A130" s="39"/>
      <c r="B130" s="38"/>
      <c r="C130" s="3"/>
      <c r="D130" s="259"/>
      <c r="E130" s="260"/>
      <c r="F130" s="279"/>
      <c r="G130" s="260"/>
      <c r="H130" s="38"/>
      <c r="I130" s="7"/>
    </row>
    <row r="131" spans="1:9" ht="21" customHeight="1">
      <c r="A131" s="39"/>
      <c r="B131" s="38"/>
      <c r="C131" s="3"/>
      <c r="D131" s="259"/>
      <c r="E131" s="260"/>
      <c r="F131" s="279"/>
      <c r="G131" s="260"/>
      <c r="H131" s="38"/>
      <c r="I131" s="7"/>
    </row>
    <row r="132" spans="1:9" ht="21" customHeight="1">
      <c r="A132" s="39"/>
      <c r="B132" s="38"/>
      <c r="C132" s="3"/>
      <c r="D132" s="259"/>
      <c r="E132" s="260"/>
      <c r="F132" s="279"/>
      <c r="G132" s="260"/>
      <c r="H132" s="38"/>
      <c r="I132" s="7"/>
    </row>
    <row r="133" spans="1:9" ht="21" customHeight="1">
      <c r="A133" s="39"/>
      <c r="B133" s="38"/>
      <c r="C133" s="3"/>
      <c r="D133" s="259"/>
      <c r="E133" s="260"/>
      <c r="F133" s="279"/>
      <c r="G133" s="260"/>
      <c r="H133" s="38"/>
      <c r="I133" s="7"/>
    </row>
    <row r="134" spans="1:9" ht="21" customHeight="1">
      <c r="A134" s="39"/>
      <c r="B134" s="38"/>
      <c r="C134" s="3"/>
      <c r="D134" s="259"/>
      <c r="E134" s="260"/>
      <c r="F134" s="279"/>
      <c r="G134" s="260"/>
      <c r="H134" s="38"/>
      <c r="I134" s="7"/>
    </row>
    <row r="135" spans="1:9" ht="21" customHeight="1">
      <c r="A135" s="39"/>
      <c r="B135" s="38"/>
      <c r="C135" s="3"/>
      <c r="D135" s="259"/>
      <c r="E135" s="260"/>
      <c r="F135" s="279"/>
      <c r="G135" s="260"/>
      <c r="H135" s="38"/>
      <c r="I135" s="7"/>
    </row>
    <row r="136" spans="1:9" ht="21" customHeight="1">
      <c r="A136" s="39"/>
      <c r="B136" s="38"/>
      <c r="C136" s="3"/>
      <c r="D136" s="259"/>
      <c r="E136" s="260"/>
      <c r="F136" s="279"/>
      <c r="G136" s="260"/>
      <c r="H136" s="38"/>
      <c r="I136" s="7"/>
    </row>
    <row r="137" spans="1:9" ht="21" customHeight="1">
      <c r="A137" s="39"/>
      <c r="B137" s="38"/>
      <c r="C137" s="3"/>
      <c r="D137" s="259"/>
      <c r="E137" s="260"/>
      <c r="F137" s="279"/>
      <c r="G137" s="260"/>
      <c r="H137" s="38"/>
      <c r="I137" s="7"/>
    </row>
    <row r="138" spans="1:9" ht="21" customHeight="1">
      <c r="A138" s="39"/>
      <c r="B138" s="38"/>
      <c r="C138" s="3"/>
      <c r="D138" s="259"/>
      <c r="E138" s="260"/>
      <c r="F138" s="279"/>
      <c r="G138" s="260"/>
      <c r="H138" s="38"/>
      <c r="I138" s="7"/>
    </row>
    <row r="139" spans="1:9" ht="21" customHeight="1">
      <c r="A139" s="39"/>
      <c r="B139" s="38"/>
      <c r="C139" s="3"/>
      <c r="D139" s="259"/>
      <c r="E139" s="260"/>
      <c r="F139" s="279"/>
      <c r="G139" s="260"/>
      <c r="H139" s="38"/>
      <c r="I139" s="7"/>
    </row>
    <row r="140" spans="1:9" ht="21" customHeight="1">
      <c r="A140" s="39"/>
      <c r="B140" s="38"/>
      <c r="C140" s="3"/>
      <c r="D140" s="259"/>
      <c r="E140" s="260"/>
      <c r="F140" s="279"/>
      <c r="G140" s="260"/>
      <c r="H140" s="38"/>
      <c r="I140" s="7"/>
    </row>
    <row r="141" spans="1:9" ht="21" customHeight="1">
      <c r="A141" s="39"/>
      <c r="B141" s="38"/>
      <c r="C141" s="3"/>
      <c r="D141" s="259"/>
      <c r="E141" s="260"/>
      <c r="F141" s="279"/>
      <c r="G141" s="260"/>
      <c r="H141" s="38"/>
      <c r="I141" s="7"/>
    </row>
    <row r="142" spans="1:9" ht="21" customHeight="1">
      <c r="A142" s="39"/>
      <c r="B142" s="38"/>
      <c r="C142" s="3"/>
      <c r="D142" s="259"/>
      <c r="E142" s="260"/>
      <c r="F142" s="279"/>
      <c r="G142" s="260"/>
      <c r="H142" s="38"/>
      <c r="I142" s="7"/>
    </row>
    <row r="143" spans="1:9" ht="21" customHeight="1">
      <c r="A143" s="39"/>
      <c r="B143" s="38"/>
      <c r="C143" s="3"/>
      <c r="D143" s="259"/>
      <c r="E143" s="260"/>
      <c r="F143" s="279"/>
      <c r="G143" s="260"/>
      <c r="H143" s="38"/>
      <c r="I143" s="7"/>
    </row>
    <row r="144" spans="1:9" ht="21" customHeight="1">
      <c r="A144" s="39"/>
      <c r="B144" s="38"/>
      <c r="C144" s="3"/>
      <c r="D144" s="259"/>
      <c r="E144" s="260"/>
      <c r="F144" s="279"/>
      <c r="G144" s="260"/>
      <c r="H144" s="38"/>
      <c r="I144" s="7"/>
    </row>
    <row r="145" spans="1:9" ht="21" customHeight="1">
      <c r="A145" s="39"/>
      <c r="B145" s="38"/>
      <c r="C145" s="3"/>
      <c r="D145" s="259"/>
      <c r="E145" s="260"/>
      <c r="F145" s="279"/>
      <c r="G145" s="260"/>
      <c r="H145" s="38"/>
      <c r="I145" s="7"/>
    </row>
    <row r="146" spans="1:9" ht="21" customHeight="1">
      <c r="A146" s="39"/>
      <c r="B146" s="38"/>
      <c r="C146" s="3"/>
      <c r="D146" s="259"/>
      <c r="E146" s="260"/>
      <c r="F146" s="279"/>
      <c r="G146" s="260"/>
      <c r="H146" s="38"/>
      <c r="I146" s="7"/>
    </row>
    <row r="147" spans="1:9" ht="21" customHeight="1">
      <c r="A147" s="39"/>
      <c r="B147" s="38"/>
      <c r="C147" s="3"/>
      <c r="D147" s="259"/>
      <c r="E147" s="260"/>
      <c r="F147" s="279"/>
      <c r="G147" s="260"/>
      <c r="H147" s="38"/>
      <c r="I147" s="7"/>
    </row>
    <row r="148" spans="1:9" ht="21" customHeight="1">
      <c r="A148" s="39"/>
      <c r="B148" s="38"/>
      <c r="C148" s="3"/>
      <c r="D148" s="259"/>
      <c r="E148" s="260"/>
      <c r="F148" s="279"/>
      <c r="G148" s="260"/>
      <c r="H148" s="38"/>
      <c r="I148" s="7"/>
    </row>
    <row r="149" spans="1:9" ht="21" customHeight="1">
      <c r="A149" s="39"/>
      <c r="B149" s="38"/>
      <c r="C149" s="3"/>
      <c r="D149" s="259"/>
      <c r="E149" s="260"/>
      <c r="F149" s="279"/>
      <c r="G149" s="260"/>
      <c r="H149" s="38"/>
      <c r="I149" s="7"/>
    </row>
    <row r="150" spans="1:9" ht="21" customHeight="1">
      <c r="A150" s="39"/>
      <c r="B150" s="38"/>
      <c r="C150" s="3"/>
      <c r="D150" s="259"/>
      <c r="E150" s="260"/>
      <c r="F150" s="279"/>
      <c r="G150" s="260"/>
      <c r="H150" s="38"/>
      <c r="I150" s="7"/>
    </row>
    <row r="151" spans="1:9" ht="21" customHeight="1">
      <c r="A151" s="39"/>
      <c r="B151" s="38"/>
      <c r="C151" s="3"/>
      <c r="D151" s="259"/>
      <c r="E151" s="260"/>
      <c r="F151" s="279"/>
      <c r="G151" s="260"/>
      <c r="H151" s="38"/>
      <c r="I151" s="7"/>
    </row>
    <row r="152" spans="1:9" ht="21" customHeight="1">
      <c r="A152" s="39"/>
      <c r="B152" s="38"/>
      <c r="C152" s="3"/>
      <c r="D152" s="259"/>
      <c r="E152" s="260"/>
      <c r="F152" s="279"/>
      <c r="G152" s="260"/>
      <c r="H152" s="38"/>
      <c r="I152" s="7"/>
    </row>
    <row r="153" spans="1:9" ht="21" customHeight="1">
      <c r="A153" s="39"/>
      <c r="B153" s="38"/>
      <c r="C153" s="3"/>
      <c r="D153" s="259"/>
      <c r="E153" s="260"/>
      <c r="F153" s="279"/>
      <c r="G153" s="260"/>
      <c r="H153" s="38"/>
      <c r="I153" s="7"/>
    </row>
    <row r="154" spans="1:9" ht="21" customHeight="1">
      <c r="A154" s="39"/>
      <c r="B154" s="38"/>
      <c r="C154" s="3"/>
      <c r="D154" s="259"/>
      <c r="E154" s="260"/>
      <c r="F154" s="279"/>
      <c r="G154" s="260"/>
      <c r="H154" s="38"/>
      <c r="I154" s="7"/>
    </row>
    <row r="155" spans="1:9" ht="21" customHeight="1">
      <c r="A155" s="39"/>
      <c r="B155" s="38"/>
      <c r="C155" s="3"/>
      <c r="D155" s="259"/>
      <c r="E155" s="260"/>
      <c r="F155" s="279"/>
      <c r="G155" s="260"/>
      <c r="H155" s="38"/>
      <c r="I155" s="7"/>
    </row>
    <row r="156" spans="1:9" ht="21" customHeight="1">
      <c r="A156" s="39"/>
      <c r="B156" s="38"/>
      <c r="C156" s="3"/>
      <c r="D156" s="259"/>
      <c r="E156" s="260"/>
      <c r="F156" s="279"/>
      <c r="G156" s="260"/>
      <c r="H156" s="38"/>
      <c r="I156" s="7"/>
    </row>
    <row r="157" spans="1:9" ht="21" customHeight="1">
      <c r="A157" s="39"/>
      <c r="B157" s="38"/>
      <c r="C157" s="3"/>
      <c r="D157" s="259"/>
      <c r="E157" s="260"/>
      <c r="F157" s="279"/>
      <c r="G157" s="260"/>
      <c r="H157" s="38"/>
      <c r="I157" s="7"/>
    </row>
    <row r="158" spans="1:9" ht="21" customHeight="1">
      <c r="A158" s="39"/>
      <c r="B158" s="38"/>
      <c r="C158" s="3"/>
      <c r="D158" s="259"/>
      <c r="E158" s="260"/>
      <c r="F158" s="279"/>
      <c r="G158" s="260"/>
      <c r="H158" s="38"/>
      <c r="I158" s="7"/>
    </row>
    <row r="159" spans="1:9" ht="21" customHeight="1">
      <c r="A159" s="39"/>
      <c r="B159" s="38"/>
      <c r="C159" s="3"/>
      <c r="D159" s="259"/>
      <c r="E159" s="260"/>
      <c r="F159" s="279"/>
      <c r="G159" s="260"/>
      <c r="H159" s="38"/>
      <c r="I159" s="7"/>
    </row>
    <row r="160" spans="1:9" ht="21" customHeight="1">
      <c r="A160" s="39"/>
      <c r="B160" s="38"/>
      <c r="C160" s="3"/>
      <c r="D160" s="259"/>
      <c r="E160" s="260"/>
      <c r="F160" s="279"/>
      <c r="G160" s="260"/>
      <c r="H160" s="38"/>
      <c r="I160" s="7"/>
    </row>
    <row r="161" spans="1:9" ht="21" customHeight="1">
      <c r="A161" s="39"/>
      <c r="B161" s="38"/>
      <c r="C161" s="3"/>
      <c r="D161" s="259"/>
      <c r="E161" s="260"/>
      <c r="F161" s="279"/>
      <c r="G161" s="260"/>
      <c r="H161" s="38"/>
      <c r="I161" s="7"/>
    </row>
    <row r="162" spans="1:9" ht="21" customHeight="1">
      <c r="A162" s="39"/>
      <c r="B162" s="38"/>
      <c r="C162" s="3"/>
      <c r="D162" s="259"/>
      <c r="E162" s="260"/>
      <c r="F162" s="279"/>
      <c r="G162" s="260"/>
      <c r="H162" s="38"/>
      <c r="I162" s="7"/>
    </row>
    <row r="163" spans="1:9" ht="21" customHeight="1">
      <c r="A163" s="39"/>
      <c r="B163" s="38"/>
      <c r="C163" s="3"/>
      <c r="D163" s="259"/>
      <c r="E163" s="260"/>
      <c r="F163" s="279"/>
      <c r="G163" s="260"/>
      <c r="H163" s="38"/>
      <c r="I163" s="7"/>
    </row>
    <row r="164" spans="1:9" ht="21" customHeight="1">
      <c r="A164" s="39"/>
      <c r="B164" s="38"/>
      <c r="C164" s="3"/>
      <c r="D164" s="259"/>
      <c r="E164" s="260"/>
      <c r="F164" s="279"/>
      <c r="G164" s="260"/>
      <c r="H164" s="38"/>
      <c r="I164" s="7"/>
    </row>
    <row r="165" spans="1:9" ht="21" customHeight="1">
      <c r="A165" s="39"/>
      <c r="B165" s="38"/>
      <c r="C165" s="3"/>
      <c r="D165" s="259"/>
      <c r="E165" s="260"/>
      <c r="F165" s="279"/>
      <c r="G165" s="260"/>
      <c r="H165" s="38"/>
      <c r="I165" s="7"/>
    </row>
    <row r="166" spans="1:9" ht="21" customHeight="1">
      <c r="A166" s="39"/>
      <c r="B166" s="38"/>
      <c r="C166" s="3"/>
      <c r="D166" s="259"/>
      <c r="E166" s="260"/>
      <c r="F166" s="279"/>
      <c r="G166" s="260"/>
      <c r="H166" s="38"/>
      <c r="I166" s="7"/>
    </row>
    <row r="167" spans="1:9" ht="21" customHeight="1">
      <c r="A167" s="39"/>
      <c r="B167" s="38"/>
      <c r="C167" s="3"/>
      <c r="D167" s="259"/>
      <c r="E167" s="260"/>
      <c r="F167" s="279"/>
      <c r="G167" s="260"/>
      <c r="H167" s="38"/>
      <c r="I167" s="7"/>
    </row>
    <row r="168" spans="1:9" ht="21" customHeight="1">
      <c r="A168" s="39"/>
      <c r="B168" s="38"/>
      <c r="C168" s="3"/>
      <c r="D168" s="259"/>
      <c r="E168" s="260"/>
      <c r="F168" s="279"/>
      <c r="G168" s="260"/>
      <c r="H168" s="38"/>
      <c r="I168" s="7"/>
    </row>
    <row r="169" spans="1:9" ht="21" customHeight="1">
      <c r="A169" s="39"/>
      <c r="B169" s="38"/>
      <c r="C169" s="3"/>
      <c r="D169" s="259"/>
      <c r="E169" s="260"/>
      <c r="F169" s="279"/>
      <c r="G169" s="260"/>
      <c r="H169" s="38"/>
      <c r="I169" s="7"/>
    </row>
    <row r="170" spans="1:9" ht="21" customHeight="1">
      <c r="A170" s="39"/>
      <c r="B170" s="38"/>
      <c r="C170" s="3"/>
      <c r="D170" s="259"/>
      <c r="E170" s="260"/>
      <c r="F170" s="279"/>
      <c r="G170" s="260"/>
      <c r="H170" s="38"/>
      <c r="I170" s="7"/>
    </row>
    <row r="171" spans="1:9" ht="21" customHeight="1">
      <c r="A171" s="39"/>
      <c r="B171" s="38"/>
      <c r="C171" s="3"/>
      <c r="D171" s="259"/>
      <c r="E171" s="260"/>
      <c r="F171" s="279"/>
      <c r="G171" s="260"/>
      <c r="H171" s="38"/>
      <c r="I171" s="7"/>
    </row>
    <row r="172" spans="1:9" ht="21" customHeight="1">
      <c r="A172" s="39"/>
      <c r="B172" s="38"/>
      <c r="C172" s="3"/>
      <c r="D172" s="259"/>
      <c r="E172" s="260"/>
      <c r="F172" s="279"/>
      <c r="G172" s="260"/>
      <c r="H172" s="38"/>
      <c r="I172" s="7"/>
    </row>
    <row r="173" spans="1:9" ht="21" customHeight="1">
      <c r="A173" s="39"/>
      <c r="B173" s="38"/>
      <c r="C173" s="3"/>
      <c r="D173" s="259"/>
      <c r="E173" s="260"/>
      <c r="F173" s="279"/>
      <c r="G173" s="260"/>
      <c r="H173" s="38"/>
      <c r="I173" s="7"/>
    </row>
    <row r="174" spans="1:9" ht="21" customHeight="1">
      <c r="A174" s="39"/>
      <c r="B174" s="38"/>
      <c r="C174" s="3"/>
      <c r="D174" s="259"/>
      <c r="E174" s="260"/>
      <c r="F174" s="279"/>
      <c r="G174" s="260"/>
      <c r="H174" s="38"/>
      <c r="I174" s="7"/>
    </row>
  </sheetData>
  <mergeCells count="348">
    <mergeCell ref="D173:E173"/>
    <mergeCell ref="D123:E123"/>
    <mergeCell ref="F123:G123"/>
    <mergeCell ref="D50:E50"/>
    <mergeCell ref="D110:E110"/>
    <mergeCell ref="D44:E44"/>
    <mergeCell ref="F44:G44"/>
    <mergeCell ref="B2:I2"/>
    <mergeCell ref="F113:G113"/>
    <mergeCell ref="D32:E32"/>
    <mergeCell ref="F32:G32"/>
    <mergeCell ref="D97:E97"/>
    <mergeCell ref="F26:G26"/>
    <mergeCell ref="F159:G159"/>
    <mergeCell ref="F97:G97"/>
    <mergeCell ref="F90:G90"/>
    <mergeCell ref="E3:G3"/>
    <mergeCell ref="F27:G27"/>
    <mergeCell ref="D121:E121"/>
    <mergeCell ref="D42:E42"/>
    <mergeCell ref="D171:E171"/>
    <mergeCell ref="F100:G100"/>
    <mergeCell ref="F165:G165"/>
    <mergeCell ref="F115:G115"/>
    <mergeCell ref="D102:E102"/>
    <mergeCell ref="F102:G102"/>
    <mergeCell ref="D25:E25"/>
    <mergeCell ref="F77:G77"/>
    <mergeCell ref="F166:G166"/>
    <mergeCell ref="D133:E133"/>
    <mergeCell ref="D54:E54"/>
    <mergeCell ref="F59:G59"/>
    <mergeCell ref="D95:E95"/>
    <mergeCell ref="F95:G95"/>
    <mergeCell ref="D57:E57"/>
    <mergeCell ref="D170:E170"/>
    <mergeCell ref="D49:E49"/>
    <mergeCell ref="D120:E120"/>
    <mergeCell ref="D107:E107"/>
    <mergeCell ref="F36:G36"/>
    <mergeCell ref="D163:E163"/>
    <mergeCell ref="F163:G163"/>
    <mergeCell ref="F101:G101"/>
    <mergeCell ref="F8:G8"/>
    <mergeCell ref="F24:G24"/>
    <mergeCell ref="H3:I3"/>
    <mergeCell ref="D39:E39"/>
    <mergeCell ref="F39:G39"/>
    <mergeCell ref="A1:I1"/>
    <mergeCell ref="D89:E89"/>
    <mergeCell ref="F64:G64"/>
    <mergeCell ref="D153:E153"/>
    <mergeCell ref="D128:E128"/>
    <mergeCell ref="F128:G128"/>
    <mergeCell ref="D65:E65"/>
    <mergeCell ref="F21:G21"/>
    <mergeCell ref="F50:G50"/>
    <mergeCell ref="F110:G110"/>
    <mergeCell ref="D17:E17"/>
    <mergeCell ref="F141:G141"/>
    <mergeCell ref="D146:E146"/>
    <mergeCell ref="D12:E12"/>
    <mergeCell ref="D83:E83"/>
    <mergeCell ref="D143:E143"/>
    <mergeCell ref="F49:G49"/>
    <mergeCell ref="D14:E14"/>
    <mergeCell ref="D85:E85"/>
    <mergeCell ref="F14:G14"/>
    <mergeCell ref="F78:G78"/>
    <mergeCell ref="F171:G171"/>
    <mergeCell ref="D138:E138"/>
    <mergeCell ref="D140:E140"/>
    <mergeCell ref="D11:E11"/>
    <mergeCell ref="F33:G33"/>
    <mergeCell ref="D75:E75"/>
    <mergeCell ref="F75:G75"/>
    <mergeCell ref="F62:G62"/>
    <mergeCell ref="F31:G31"/>
    <mergeCell ref="F28:G28"/>
    <mergeCell ref="F65:G65"/>
    <mergeCell ref="D159:E159"/>
    <mergeCell ref="D80:E80"/>
    <mergeCell ref="F55:G55"/>
    <mergeCell ref="F169:G169"/>
    <mergeCell ref="D136:E136"/>
    <mergeCell ref="D154:E154"/>
    <mergeCell ref="F129:G129"/>
    <mergeCell ref="F131:G131"/>
    <mergeCell ref="D58:E58"/>
    <mergeCell ref="F58:G58"/>
    <mergeCell ref="F52:G52"/>
    <mergeCell ref="F37:G37"/>
    <mergeCell ref="F60:G60"/>
    <mergeCell ref="D172:E172"/>
    <mergeCell ref="F172:G172"/>
    <mergeCell ref="F25:G25"/>
    <mergeCell ref="C5:G5"/>
    <mergeCell ref="D36:E36"/>
    <mergeCell ref="F173:G173"/>
    <mergeCell ref="D61:E61"/>
    <mergeCell ref="D48:E48"/>
    <mergeCell ref="D125:E125"/>
    <mergeCell ref="F125:G125"/>
    <mergeCell ref="D112:E112"/>
    <mergeCell ref="D62:E62"/>
    <mergeCell ref="D56:E56"/>
    <mergeCell ref="F13:G13"/>
    <mergeCell ref="D127:E127"/>
    <mergeCell ref="F56:G56"/>
    <mergeCell ref="F105:G105"/>
    <mergeCell ref="D114:E114"/>
    <mergeCell ref="F43:G43"/>
    <mergeCell ref="F170:G170"/>
    <mergeCell ref="D64:E64"/>
    <mergeCell ref="F120:G120"/>
    <mergeCell ref="D51:E51"/>
    <mergeCell ref="F107:G107"/>
    <mergeCell ref="B3:D3"/>
    <mergeCell ref="D130:E130"/>
    <mergeCell ref="D74:E74"/>
    <mergeCell ref="D68:E68"/>
    <mergeCell ref="F130:G130"/>
    <mergeCell ref="D132:E132"/>
    <mergeCell ref="F157:G157"/>
    <mergeCell ref="F132:G132"/>
    <mergeCell ref="D59:E59"/>
    <mergeCell ref="B4:D4"/>
    <mergeCell ref="F57:G57"/>
    <mergeCell ref="D8:E8"/>
    <mergeCell ref="F53:G53"/>
    <mergeCell ref="D20:E20"/>
    <mergeCell ref="F68:G68"/>
    <mergeCell ref="D84:E84"/>
    <mergeCell ref="D22:E22"/>
    <mergeCell ref="F84:G84"/>
    <mergeCell ref="D155:E155"/>
    <mergeCell ref="D149:E149"/>
    <mergeCell ref="D86:E86"/>
    <mergeCell ref="F15:G15"/>
    <mergeCell ref="F86:G86"/>
    <mergeCell ref="D13:E13"/>
    <mergeCell ref="H4:I4"/>
    <mergeCell ref="D40:E40"/>
    <mergeCell ref="D111:E111"/>
    <mergeCell ref="F40:G40"/>
    <mergeCell ref="F12:G12"/>
    <mergeCell ref="D104:E104"/>
    <mergeCell ref="F104:G104"/>
    <mergeCell ref="D41:E41"/>
    <mergeCell ref="F41:G41"/>
    <mergeCell ref="F35:G35"/>
    <mergeCell ref="F106:G106"/>
    <mergeCell ref="D43:E43"/>
    <mergeCell ref="F80:G80"/>
    <mergeCell ref="F79:G79"/>
    <mergeCell ref="F81:G81"/>
    <mergeCell ref="D33:E33"/>
    <mergeCell ref="D35:E35"/>
    <mergeCell ref="D10:E10"/>
    <mergeCell ref="F10:G10"/>
    <mergeCell ref="D34:E34"/>
    <mergeCell ref="F63:G63"/>
    <mergeCell ref="F34:G34"/>
    <mergeCell ref="D99:E99"/>
    <mergeCell ref="F99:G99"/>
    <mergeCell ref="A5:B5"/>
    <mergeCell ref="D93:E93"/>
    <mergeCell ref="F22:G22"/>
    <mergeCell ref="F155:G155"/>
    <mergeCell ref="F93:G93"/>
    <mergeCell ref="F149:G149"/>
    <mergeCell ref="D157:E157"/>
    <mergeCell ref="F151:G151"/>
    <mergeCell ref="E4:G4"/>
    <mergeCell ref="F11:G11"/>
    <mergeCell ref="D109:E109"/>
    <mergeCell ref="D119:E119"/>
    <mergeCell ref="D46:E46"/>
    <mergeCell ref="D137:E137"/>
    <mergeCell ref="D151:E151"/>
    <mergeCell ref="F142:G142"/>
    <mergeCell ref="D150:E150"/>
    <mergeCell ref="F144:G144"/>
    <mergeCell ref="F74:G74"/>
    <mergeCell ref="D101:E101"/>
    <mergeCell ref="F30:G30"/>
    <mergeCell ref="D76:E76"/>
    <mergeCell ref="F138:G138"/>
    <mergeCell ref="F76:G76"/>
    <mergeCell ref="D169:E169"/>
    <mergeCell ref="D63:E63"/>
    <mergeCell ref="D96:E96"/>
    <mergeCell ref="D52:E52"/>
    <mergeCell ref="D27:E27"/>
    <mergeCell ref="F154:G154"/>
    <mergeCell ref="D116:E116"/>
    <mergeCell ref="D91:E91"/>
    <mergeCell ref="D162:E162"/>
    <mergeCell ref="F91:G91"/>
    <mergeCell ref="D156:E156"/>
    <mergeCell ref="F156:G156"/>
    <mergeCell ref="D106:E106"/>
    <mergeCell ref="D164:E164"/>
    <mergeCell ref="F94:G94"/>
    <mergeCell ref="F150:G150"/>
    <mergeCell ref="D165:E165"/>
    <mergeCell ref="D152:E152"/>
    <mergeCell ref="F152:G152"/>
    <mergeCell ref="D29:E29"/>
    <mergeCell ref="F87:G87"/>
    <mergeCell ref="F147:G147"/>
    <mergeCell ref="F89:G89"/>
    <mergeCell ref="D105:E105"/>
    <mergeCell ref="F6:G6"/>
    <mergeCell ref="F83:G83"/>
    <mergeCell ref="F20:G20"/>
    <mergeCell ref="F85:G85"/>
    <mergeCell ref="D166:E166"/>
    <mergeCell ref="D103:E103"/>
    <mergeCell ref="D37:E37"/>
    <mergeCell ref="D168:E168"/>
    <mergeCell ref="D9:E9"/>
    <mergeCell ref="D118:E118"/>
    <mergeCell ref="F9:G9"/>
    <mergeCell ref="D167:E167"/>
    <mergeCell ref="D161:E161"/>
    <mergeCell ref="F167:G167"/>
    <mergeCell ref="F161:G161"/>
    <mergeCell ref="F136:G136"/>
    <mergeCell ref="D38:E38"/>
    <mergeCell ref="D23:E23"/>
    <mergeCell ref="F7:G7"/>
    <mergeCell ref="D158:E158"/>
    <mergeCell ref="F158:G158"/>
    <mergeCell ref="D6:E6"/>
    <mergeCell ref="D77:E77"/>
    <mergeCell ref="D108:E108"/>
    <mergeCell ref="F133:G133"/>
    <mergeCell ref="D160:E160"/>
    <mergeCell ref="F160:G160"/>
    <mergeCell ref="D141:E141"/>
    <mergeCell ref="D135:E135"/>
    <mergeCell ref="F135:G135"/>
    <mergeCell ref="F122:G122"/>
    <mergeCell ref="F153:G153"/>
    <mergeCell ref="D72:E72"/>
    <mergeCell ref="F72:G72"/>
    <mergeCell ref="D24:E24"/>
    <mergeCell ref="D113:E113"/>
    <mergeCell ref="D88:E88"/>
    <mergeCell ref="D26:E26"/>
    <mergeCell ref="F88:G88"/>
    <mergeCell ref="D148:E148"/>
    <mergeCell ref="F148:G148"/>
    <mergeCell ref="D115:E115"/>
    <mergeCell ref="F54:G54"/>
    <mergeCell ref="F51:G51"/>
    <mergeCell ref="D145:E145"/>
    <mergeCell ref="F145:G145"/>
    <mergeCell ref="D16:E16"/>
    <mergeCell ref="D87:E87"/>
    <mergeCell ref="D147:E147"/>
    <mergeCell ref="F38:G38"/>
    <mergeCell ref="D122:E122"/>
    <mergeCell ref="D18:E18"/>
    <mergeCell ref="F140:G140"/>
    <mergeCell ref="F67:G67"/>
    <mergeCell ref="D82:E82"/>
    <mergeCell ref="F82:G82"/>
    <mergeCell ref="D100:E100"/>
    <mergeCell ref="F29:G29"/>
    <mergeCell ref="D31:E31"/>
    <mergeCell ref="D19:E19"/>
    <mergeCell ref="D90:E90"/>
    <mergeCell ref="F19:G19"/>
    <mergeCell ref="F146:G146"/>
    <mergeCell ref="D15:E15"/>
    <mergeCell ref="D142:E142"/>
    <mergeCell ref="D129:E129"/>
    <mergeCell ref="D79:E79"/>
    <mergeCell ref="D144:E144"/>
    <mergeCell ref="F73:G73"/>
    <mergeCell ref="D81:E81"/>
    <mergeCell ref="F137:G137"/>
    <mergeCell ref="F124:G124"/>
    <mergeCell ref="D139:E139"/>
    <mergeCell ref="F139:G139"/>
    <mergeCell ref="F114:G114"/>
    <mergeCell ref="D28:E28"/>
    <mergeCell ref="D117:E117"/>
    <mergeCell ref="D92:E92"/>
    <mergeCell ref="D55:E55"/>
    <mergeCell ref="D30:E30"/>
    <mergeCell ref="F92:G92"/>
    <mergeCell ref="F117:G117"/>
    <mergeCell ref="D67:E67"/>
    <mergeCell ref="D94:E94"/>
    <mergeCell ref="F119:G119"/>
    <mergeCell ref="D69:E69"/>
    <mergeCell ref="F69:G69"/>
    <mergeCell ref="D7:E7"/>
    <mergeCell ref="D78:E78"/>
    <mergeCell ref="D134:E134"/>
    <mergeCell ref="F134:G134"/>
    <mergeCell ref="F23:G23"/>
    <mergeCell ref="F121:G121"/>
    <mergeCell ref="D71:E71"/>
    <mergeCell ref="F96:G96"/>
    <mergeCell ref="F71:G71"/>
    <mergeCell ref="D98:E98"/>
    <mergeCell ref="D73:E73"/>
    <mergeCell ref="F98:G98"/>
    <mergeCell ref="D131:E131"/>
    <mergeCell ref="D124:E124"/>
    <mergeCell ref="F18:G18"/>
    <mergeCell ref="F45:G45"/>
    <mergeCell ref="F42:G42"/>
    <mergeCell ref="D66:E66"/>
    <mergeCell ref="D126:E126"/>
    <mergeCell ref="F66:G66"/>
    <mergeCell ref="F17:G17"/>
    <mergeCell ref="F126:G126"/>
    <mergeCell ref="D53:E53"/>
    <mergeCell ref="D47:E47"/>
    <mergeCell ref="D60:E60"/>
    <mergeCell ref="F116:G116"/>
    <mergeCell ref="F16:G16"/>
    <mergeCell ref="D174:E174"/>
    <mergeCell ref="F103:G103"/>
    <mergeCell ref="F174:G174"/>
    <mergeCell ref="F108:G108"/>
    <mergeCell ref="F168:G168"/>
    <mergeCell ref="F143:G143"/>
    <mergeCell ref="F118:G118"/>
    <mergeCell ref="D45:E45"/>
    <mergeCell ref="D70:E70"/>
    <mergeCell ref="F70:G70"/>
    <mergeCell ref="F162:G162"/>
    <mergeCell ref="F109:G109"/>
    <mergeCell ref="F47:G47"/>
    <mergeCell ref="F46:G46"/>
    <mergeCell ref="F111:G111"/>
    <mergeCell ref="F61:G61"/>
    <mergeCell ref="F48:G48"/>
    <mergeCell ref="F164:G164"/>
    <mergeCell ref="F112:G112"/>
    <mergeCell ref="F127:G127"/>
    <mergeCell ref="D21:E21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A1:O104"/>
  <sheetViews>
    <sheetView topLeftCell="C1" workbookViewId="0">
      <selection activeCell="O3" sqref="O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945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946</v>
      </c>
      <c r="C3" s="263"/>
      <c r="D3" s="260"/>
      <c r="E3" s="266" t="s">
        <v>11</v>
      </c>
      <c r="F3" s="263"/>
      <c r="G3" s="260"/>
      <c r="H3" s="268" t="s">
        <v>947</v>
      </c>
      <c r="I3" s="269"/>
      <c r="J3" s="19" t="str">
        <f>B3</f>
        <v>Elinin 20mg</v>
      </c>
      <c r="K3" s="34" t="s">
        <v>948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949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950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/>
  <dimension ref="A1:O94"/>
  <sheetViews>
    <sheetView workbookViewId="0">
      <selection activeCell="I11" sqref="I1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951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952</v>
      </c>
      <c r="C3" s="263"/>
      <c r="D3" s="260"/>
      <c r="E3" s="266" t="s">
        <v>11</v>
      </c>
      <c r="F3" s="263"/>
      <c r="G3" s="260"/>
      <c r="H3" s="268" t="s">
        <v>327</v>
      </c>
      <c r="I3" s="269"/>
      <c r="J3" s="19" t="str">
        <f>B3</f>
        <v>Lowen 0.5mg</v>
      </c>
      <c r="K3" s="34" t="s">
        <v>953</v>
      </c>
      <c r="L3" s="5">
        <f>H7</f>
        <v>64</v>
      </c>
      <c r="M3" s="3">
        <f>SUM(C$8:C$1048576)</f>
        <v>120</v>
      </c>
      <c r="N3" s="3">
        <f>SUM(F:F)</f>
        <v>168</v>
      </c>
      <c r="O3" s="3">
        <f>L3+M3-N3</f>
        <v>16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954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955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64</v>
      </c>
      <c r="D7" s="280"/>
      <c r="E7" s="260"/>
      <c r="F7" s="280"/>
      <c r="G7" s="260"/>
      <c r="H7" s="155">
        <v>64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432</v>
      </c>
      <c r="B8" s="38" t="s">
        <v>323</v>
      </c>
      <c r="C8" s="38"/>
      <c r="D8" s="279"/>
      <c r="E8" s="260"/>
      <c r="F8" s="279">
        <v>56</v>
      </c>
      <c r="G8" s="260"/>
      <c r="H8" s="38">
        <f>H7-F8</f>
        <v>8</v>
      </c>
      <c r="I8" s="114" t="s">
        <v>916</v>
      </c>
      <c r="J8" s="12"/>
    </row>
    <row r="9" spans="1:15" ht="26.7" customHeight="1">
      <c r="A9" s="39" t="s">
        <v>604</v>
      </c>
      <c r="B9" s="38" t="s">
        <v>324</v>
      </c>
      <c r="C9" s="38">
        <v>60</v>
      </c>
      <c r="D9" s="279" t="s">
        <v>956</v>
      </c>
      <c r="E9" s="260"/>
      <c r="F9" s="279"/>
      <c r="G9" s="260"/>
      <c r="H9" s="38">
        <v>68</v>
      </c>
      <c r="I9" s="37" t="s">
        <v>414</v>
      </c>
      <c r="J9" s="12"/>
    </row>
    <row r="10" spans="1:15" ht="26.7" customHeight="1">
      <c r="A10" s="39" t="s">
        <v>343</v>
      </c>
      <c r="B10" s="38" t="s">
        <v>323</v>
      </c>
      <c r="C10" s="38"/>
      <c r="D10" s="279"/>
      <c r="E10" s="260"/>
      <c r="F10" s="279">
        <v>56</v>
      </c>
      <c r="G10" s="260"/>
      <c r="H10" s="38">
        <f>H9-F10</f>
        <v>12</v>
      </c>
      <c r="I10" s="37" t="s">
        <v>608</v>
      </c>
      <c r="J10" s="12"/>
    </row>
    <row r="11" spans="1:15" ht="26.7" customHeight="1">
      <c r="A11" s="39" t="s">
        <v>490</v>
      </c>
      <c r="B11" s="38" t="s">
        <v>324</v>
      </c>
      <c r="C11" s="38">
        <v>60</v>
      </c>
      <c r="D11" s="279" t="s">
        <v>957</v>
      </c>
      <c r="E11" s="260"/>
      <c r="F11" s="279"/>
      <c r="G11" s="260"/>
      <c r="H11" s="38">
        <v>72</v>
      </c>
      <c r="I11" s="37" t="s">
        <v>414</v>
      </c>
      <c r="J11" s="12"/>
    </row>
    <row r="12" spans="1:15" ht="26.7" customHeight="1">
      <c r="A12" s="39" t="s">
        <v>541</v>
      </c>
      <c r="B12" s="38" t="s">
        <v>323</v>
      </c>
      <c r="C12" s="38"/>
      <c r="D12" s="279"/>
      <c r="E12" s="260"/>
      <c r="F12" s="279">
        <v>56</v>
      </c>
      <c r="G12" s="260"/>
      <c r="H12" s="38">
        <f>H11-F12</f>
        <v>16</v>
      </c>
      <c r="I12" s="37" t="s">
        <v>414</v>
      </c>
      <c r="J12" s="12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37"/>
      <c r="J13" s="12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37" t="s">
        <v>437</v>
      </c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37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37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37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37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37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37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37"/>
      <c r="J21" s="12"/>
    </row>
    <row r="22" spans="1:10">
      <c r="A22" s="39"/>
      <c r="B22" s="38"/>
      <c r="C22" s="38"/>
      <c r="D22" s="279"/>
      <c r="E22" s="260"/>
      <c r="F22" s="279"/>
      <c r="G22" s="260"/>
      <c r="H22" s="38"/>
      <c r="I22" s="37"/>
      <c r="J22" s="3"/>
    </row>
    <row r="23" spans="1:10">
      <c r="A23" s="39"/>
      <c r="B23" s="38"/>
      <c r="C23" s="38"/>
      <c r="D23" s="279"/>
      <c r="E23" s="260"/>
      <c r="F23" s="279"/>
      <c r="G23" s="260"/>
      <c r="H23" s="38"/>
      <c r="I23" s="37"/>
    </row>
    <row r="24" spans="1:10">
      <c r="A24" s="39"/>
      <c r="B24" s="38"/>
      <c r="C24" s="38"/>
      <c r="D24" s="279"/>
      <c r="E24" s="260"/>
      <c r="F24" s="279"/>
      <c r="G24" s="260"/>
      <c r="H24" s="38"/>
      <c r="I24" s="37"/>
    </row>
    <row r="25" spans="1:10">
      <c r="A25" s="39"/>
      <c r="B25" s="38"/>
      <c r="C25" s="38"/>
      <c r="D25" s="279"/>
      <c r="E25" s="260"/>
      <c r="F25" s="279"/>
      <c r="G25" s="260"/>
      <c r="H25" s="38"/>
      <c r="I25" s="37"/>
    </row>
    <row r="26" spans="1:10">
      <c r="A26" s="39"/>
      <c r="B26" s="38"/>
      <c r="C26" s="38"/>
      <c r="D26" s="279"/>
      <c r="E26" s="260"/>
      <c r="F26" s="279"/>
      <c r="G26" s="260"/>
      <c r="H26" s="38"/>
      <c r="I26" s="37"/>
    </row>
    <row r="27" spans="1:10">
      <c r="A27" s="39"/>
      <c r="B27" s="38"/>
      <c r="C27" s="38"/>
      <c r="D27" s="279"/>
      <c r="E27" s="260"/>
      <c r="F27" s="279"/>
      <c r="G27" s="260"/>
      <c r="H27" s="38"/>
      <c r="I27" s="37"/>
    </row>
    <row r="28" spans="1:10">
      <c r="A28" s="39"/>
      <c r="B28" s="38"/>
      <c r="C28" s="38"/>
      <c r="D28" s="279"/>
      <c r="E28" s="260"/>
      <c r="F28" s="279"/>
      <c r="G28" s="260"/>
      <c r="H28" s="38"/>
      <c r="I28" s="37"/>
    </row>
    <row r="29" spans="1:10">
      <c r="A29" s="39"/>
      <c r="B29" s="38"/>
      <c r="C29" s="38"/>
      <c r="D29" s="279"/>
      <c r="E29" s="260"/>
      <c r="F29" s="279"/>
      <c r="G29" s="260"/>
      <c r="H29" s="38"/>
      <c r="I29" s="37"/>
    </row>
    <row r="30" spans="1:10">
      <c r="A30" s="39"/>
      <c r="B30" s="38"/>
      <c r="C30" s="38"/>
      <c r="D30" s="279"/>
      <c r="E30" s="260"/>
      <c r="F30" s="279"/>
      <c r="G30" s="260"/>
      <c r="H30" s="38"/>
      <c r="I30" s="37"/>
    </row>
    <row r="31" spans="1:10">
      <c r="A31" s="39"/>
      <c r="B31" s="38"/>
      <c r="C31" s="38"/>
      <c r="D31" s="279"/>
      <c r="E31" s="260"/>
      <c r="F31" s="279"/>
      <c r="G31" s="260"/>
      <c r="H31" s="38"/>
      <c r="I31" s="37"/>
    </row>
    <row r="32" spans="1:10">
      <c r="A32" s="39"/>
      <c r="B32" s="38"/>
      <c r="C32" s="38"/>
      <c r="D32" s="279"/>
      <c r="E32" s="260"/>
      <c r="F32" s="279"/>
      <c r="G32" s="260"/>
      <c r="H32" s="38"/>
      <c r="I32" s="37"/>
    </row>
    <row r="33" spans="1:9">
      <c r="A33" s="39"/>
      <c r="B33" s="38"/>
      <c r="C33" s="38"/>
      <c r="D33" s="279"/>
      <c r="E33" s="260"/>
      <c r="F33" s="279"/>
      <c r="G33" s="260"/>
      <c r="H33" s="38"/>
      <c r="I33" s="37"/>
    </row>
    <row r="34" spans="1:9">
      <c r="A34" s="39"/>
      <c r="B34" s="38"/>
      <c r="C34" s="38"/>
      <c r="D34" s="279"/>
      <c r="E34" s="260"/>
      <c r="F34" s="279"/>
      <c r="G34" s="260"/>
      <c r="H34" s="38"/>
      <c r="I34" s="37"/>
    </row>
    <row r="35" spans="1:9">
      <c r="A35" s="39"/>
      <c r="B35" s="38"/>
      <c r="C35" s="38"/>
      <c r="D35" s="279"/>
      <c r="E35" s="260"/>
      <c r="F35" s="279"/>
      <c r="G35" s="260"/>
      <c r="H35" s="38"/>
      <c r="I35" s="37"/>
    </row>
    <row r="36" spans="1:9">
      <c r="A36" s="39"/>
      <c r="B36" s="38"/>
      <c r="C36" s="38"/>
      <c r="D36" s="279"/>
      <c r="E36" s="260"/>
      <c r="F36" s="279"/>
      <c r="G36" s="260"/>
      <c r="H36" s="38"/>
      <c r="I36" s="37"/>
    </row>
    <row r="37" spans="1:9">
      <c r="A37" s="39"/>
      <c r="B37" s="38"/>
      <c r="C37" s="38"/>
      <c r="D37" s="279"/>
      <c r="E37" s="260"/>
      <c r="F37" s="279"/>
      <c r="G37" s="260"/>
      <c r="H37" s="38"/>
      <c r="I37" s="37"/>
    </row>
    <row r="38" spans="1:9">
      <c r="A38" s="39"/>
      <c r="B38" s="38"/>
      <c r="C38" s="38"/>
      <c r="D38" s="279"/>
      <c r="E38" s="260"/>
      <c r="F38" s="279"/>
      <c r="G38" s="260"/>
      <c r="H38" s="38"/>
      <c r="I38" s="37"/>
    </row>
    <row r="39" spans="1:9">
      <c r="A39" s="39"/>
      <c r="B39" s="38"/>
      <c r="C39" s="38"/>
      <c r="D39" s="279"/>
      <c r="E39" s="260"/>
      <c r="F39" s="279"/>
      <c r="G39" s="260"/>
      <c r="H39" s="38"/>
      <c r="I39" s="37"/>
    </row>
    <row r="40" spans="1:9">
      <c r="A40" s="39"/>
      <c r="B40" s="38"/>
      <c r="C40" s="38"/>
      <c r="D40" s="279"/>
      <c r="E40" s="260"/>
      <c r="F40" s="279"/>
      <c r="G40" s="260"/>
      <c r="H40" s="38"/>
      <c r="I40" s="37"/>
    </row>
    <row r="41" spans="1:9">
      <c r="A41" s="39"/>
      <c r="B41" s="38"/>
      <c r="C41" s="38"/>
      <c r="D41" s="279"/>
      <c r="E41" s="260"/>
      <c r="F41" s="279"/>
      <c r="G41" s="260"/>
      <c r="H41" s="38"/>
      <c r="I41" s="37"/>
    </row>
    <row r="42" spans="1:9">
      <c r="A42" s="39"/>
      <c r="B42" s="38"/>
      <c r="C42" s="38"/>
      <c r="D42" s="279"/>
      <c r="E42" s="260"/>
      <c r="F42" s="279"/>
      <c r="G42" s="260"/>
      <c r="H42" s="38"/>
      <c r="I42" s="37"/>
    </row>
    <row r="43" spans="1:9">
      <c r="A43" s="39"/>
      <c r="B43" s="38"/>
      <c r="C43" s="38"/>
      <c r="D43" s="279"/>
      <c r="E43" s="260"/>
      <c r="F43" s="279"/>
      <c r="G43" s="260"/>
      <c r="H43" s="38"/>
      <c r="I43" s="37"/>
    </row>
    <row r="44" spans="1:9">
      <c r="A44" s="39"/>
      <c r="B44" s="38"/>
      <c r="C44" s="38"/>
      <c r="D44" s="279"/>
      <c r="E44" s="260"/>
      <c r="F44" s="279"/>
      <c r="G44" s="260"/>
      <c r="H44" s="38"/>
      <c r="I44" s="37"/>
    </row>
    <row r="45" spans="1:9">
      <c r="A45" s="39"/>
      <c r="B45" s="38"/>
      <c r="C45" s="38"/>
      <c r="D45" s="279"/>
      <c r="E45" s="260"/>
      <c r="F45" s="279"/>
      <c r="G45" s="260"/>
      <c r="H45" s="38"/>
      <c r="I45" s="37"/>
    </row>
    <row r="46" spans="1:9">
      <c r="A46" s="39"/>
      <c r="B46" s="38"/>
      <c r="C46" s="38"/>
      <c r="D46" s="279"/>
      <c r="E46" s="260"/>
      <c r="F46" s="279"/>
      <c r="G46" s="260"/>
      <c r="H46" s="38"/>
      <c r="I46" s="37"/>
    </row>
    <row r="47" spans="1:9">
      <c r="A47" s="39"/>
      <c r="B47" s="38"/>
      <c r="C47" s="38"/>
      <c r="D47" s="279"/>
      <c r="E47" s="260"/>
      <c r="F47" s="279"/>
      <c r="G47" s="260"/>
      <c r="H47" s="38"/>
      <c r="I47" s="37"/>
    </row>
    <row r="48" spans="1:9">
      <c r="A48" s="39"/>
      <c r="B48" s="38"/>
      <c r="C48" s="38"/>
      <c r="D48" s="279"/>
      <c r="E48" s="260"/>
      <c r="F48" s="279"/>
      <c r="G48" s="260"/>
      <c r="H48" s="38"/>
      <c r="I48" s="37"/>
    </row>
    <row r="49" spans="1:9">
      <c r="A49" s="39"/>
      <c r="B49" s="38"/>
      <c r="C49" s="38"/>
      <c r="D49" s="279"/>
      <c r="E49" s="260"/>
      <c r="F49" s="279"/>
      <c r="G49" s="260"/>
      <c r="H49" s="38"/>
      <c r="I49" s="37"/>
    </row>
    <row r="50" spans="1:9">
      <c r="A50" s="39"/>
      <c r="B50" s="38"/>
      <c r="C50" s="38"/>
      <c r="D50" s="279"/>
      <c r="E50" s="260"/>
      <c r="F50" s="279"/>
      <c r="G50" s="260"/>
      <c r="H50" s="38"/>
      <c r="I50" s="37"/>
    </row>
    <row r="51" spans="1:9">
      <c r="A51" s="39"/>
      <c r="B51" s="38"/>
      <c r="C51" s="38"/>
      <c r="D51" s="279"/>
      <c r="E51" s="260"/>
      <c r="F51" s="279"/>
      <c r="G51" s="260"/>
      <c r="H51" s="38"/>
      <c r="I51" s="37"/>
    </row>
    <row r="52" spans="1:9">
      <c r="A52" s="39"/>
      <c r="B52" s="38"/>
      <c r="C52" s="38"/>
      <c r="D52" s="279"/>
      <c r="E52" s="260"/>
      <c r="F52" s="279"/>
      <c r="G52" s="260"/>
      <c r="H52" s="38"/>
      <c r="I52" s="37"/>
    </row>
    <row r="53" spans="1:9">
      <c r="A53" s="39"/>
      <c r="B53" s="38"/>
      <c r="C53" s="38"/>
      <c r="D53" s="279"/>
      <c r="E53" s="260"/>
      <c r="F53" s="279"/>
      <c r="G53" s="260"/>
      <c r="H53" s="38"/>
      <c r="I53" s="37"/>
    </row>
    <row r="54" spans="1:9">
      <c r="A54" s="39"/>
      <c r="B54" s="38"/>
      <c r="C54" s="38"/>
      <c r="D54" s="279"/>
      <c r="E54" s="260"/>
      <c r="F54" s="279"/>
      <c r="G54" s="260"/>
      <c r="H54" s="38"/>
      <c r="I54" s="37"/>
    </row>
    <row r="55" spans="1:9" ht="21" customHeight="1">
      <c r="A55" s="14"/>
      <c r="B55" s="6"/>
      <c r="C55" s="3"/>
      <c r="D55" s="259"/>
      <c r="E55" s="260"/>
      <c r="F55" s="261"/>
      <c r="G55" s="260"/>
      <c r="H55" s="38"/>
      <c r="I55" s="7"/>
    </row>
    <row r="56" spans="1:9" ht="21" customHeight="1">
      <c r="A56" s="15"/>
      <c r="B56" s="6"/>
      <c r="C56" s="3"/>
      <c r="D56" s="259"/>
      <c r="E56" s="260"/>
      <c r="F56" s="261"/>
      <c r="G56" s="260"/>
      <c r="H56" s="38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38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38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38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38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38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38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38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38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38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38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38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38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38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38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38"/>
      <c r="I71" s="7"/>
    </row>
    <row r="72" spans="1:9" ht="21" customHeight="1">
      <c r="A72" s="14"/>
      <c r="B72" s="8"/>
      <c r="C72" s="9"/>
      <c r="D72" s="259"/>
      <c r="E72" s="260"/>
      <c r="F72" s="261"/>
      <c r="G72" s="260"/>
      <c r="H72" s="38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38"/>
      <c r="I73" s="7"/>
    </row>
    <row r="74" spans="1:9" ht="21" customHeight="1">
      <c r="A74" s="15"/>
      <c r="B74" s="8"/>
      <c r="C74" s="9"/>
      <c r="D74" s="259"/>
      <c r="E74" s="260"/>
      <c r="F74" s="261"/>
      <c r="G74" s="260"/>
      <c r="H74" s="38"/>
      <c r="I74" s="11"/>
    </row>
    <row r="75" spans="1:9" ht="21" customHeight="1">
      <c r="A75" s="15"/>
      <c r="B75" s="6"/>
      <c r="C75" s="3"/>
      <c r="D75" s="259"/>
      <c r="E75" s="260"/>
      <c r="F75" s="261"/>
      <c r="G75" s="260"/>
      <c r="H75" s="38"/>
      <c r="I75" s="7"/>
    </row>
    <row r="76" spans="1:9" ht="21" customHeight="1">
      <c r="A76" s="15"/>
      <c r="B76" s="6"/>
      <c r="C76" s="9"/>
      <c r="D76" s="259"/>
      <c r="E76" s="260"/>
      <c r="F76" s="261"/>
      <c r="G76" s="260"/>
      <c r="H76" s="38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38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38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38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38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38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38"/>
      <c r="I82" s="7"/>
    </row>
    <row r="83" spans="1:9" ht="21" customHeight="1">
      <c r="A83" s="15"/>
      <c r="B83" s="6"/>
      <c r="C83" s="3"/>
      <c r="D83" s="259"/>
      <c r="E83" s="260"/>
      <c r="F83" s="261"/>
      <c r="G83" s="260"/>
      <c r="H83" s="38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38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38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38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38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38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38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38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38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38"/>
      <c r="I92" s="7"/>
    </row>
    <row r="93" spans="1:9" ht="21" customHeight="1">
      <c r="A93" s="14"/>
      <c r="B93" s="6"/>
      <c r="C93" s="9"/>
      <c r="D93" s="259"/>
      <c r="E93" s="260"/>
      <c r="F93" s="261"/>
      <c r="G93" s="260"/>
      <c r="H93" s="38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38"/>
      <c r="I94" s="7"/>
    </row>
  </sheetData>
  <mergeCells count="188"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D44:E44"/>
    <mergeCell ref="F44:G44"/>
    <mergeCell ref="D94:E94"/>
    <mergeCell ref="D69:E69"/>
    <mergeCell ref="F69:G69"/>
    <mergeCell ref="F11:G11"/>
    <mergeCell ref="F78:G78"/>
    <mergeCell ref="F65:G65"/>
    <mergeCell ref="D46:E46"/>
    <mergeCell ref="D40:E40"/>
    <mergeCell ref="H4:I4"/>
    <mergeCell ref="D80:E80"/>
    <mergeCell ref="F40:G40"/>
    <mergeCell ref="D21:E21"/>
    <mergeCell ref="F59:G59"/>
    <mergeCell ref="F55:G55"/>
    <mergeCell ref="F12:G12"/>
    <mergeCell ref="F24:G24"/>
    <mergeCell ref="D57:E57"/>
    <mergeCell ref="D87:E87"/>
    <mergeCell ref="F90:G90"/>
    <mergeCell ref="D58:E58"/>
    <mergeCell ref="F58:G58"/>
    <mergeCell ref="F52:G52"/>
    <mergeCell ref="F67:G67"/>
    <mergeCell ref="D74:E74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8:E68"/>
    <mergeCell ref="D82:E82"/>
    <mergeCell ref="F82:G82"/>
    <mergeCell ref="F60:G60"/>
    <mergeCell ref="D59:E59"/>
    <mergeCell ref="H3:I3"/>
    <mergeCell ref="F39:G39"/>
    <mergeCell ref="F48:G48"/>
    <mergeCell ref="D15:E15"/>
    <mergeCell ref="D29:E29"/>
    <mergeCell ref="D23:E23"/>
    <mergeCell ref="D38:E38"/>
    <mergeCell ref="A1:I1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F53:G53"/>
    <mergeCell ref="D49:E49"/>
    <mergeCell ref="D27:E27"/>
    <mergeCell ref="F36:G36"/>
    <mergeCell ref="F94:G94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39:E39"/>
    <mergeCell ref="F61:G61"/>
    <mergeCell ref="F50:G50"/>
    <mergeCell ref="D17:E17"/>
    <mergeCell ref="D91:E91"/>
    <mergeCell ref="F91:G91"/>
    <mergeCell ref="D28:E28"/>
    <mergeCell ref="D93:E93"/>
    <mergeCell ref="F22:G22"/>
    <mergeCell ref="F93:G93"/>
    <mergeCell ref="D90:E90"/>
    <mergeCell ref="F19:G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9:E9"/>
    <mergeCell ref="F9:G9"/>
    <mergeCell ref="F8:G8"/>
    <mergeCell ref="D12:E12"/>
    <mergeCell ref="D83:E83"/>
    <mergeCell ref="D25:E25"/>
    <mergeCell ref="F77:G77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34:E34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A5:B5"/>
    <mergeCell ref="E4:G4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>
    <tabColor theme="2" tint="-0.499984740745262"/>
  </sheetPr>
  <dimension ref="A1:O98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958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959</v>
      </c>
      <c r="C3" s="263"/>
      <c r="D3" s="260"/>
      <c r="E3" s="266" t="s">
        <v>11</v>
      </c>
      <c r="F3" s="263"/>
      <c r="G3" s="260"/>
      <c r="H3" s="268" t="s">
        <v>960</v>
      </c>
      <c r="I3" s="269"/>
      <c r="J3" s="19" t="str">
        <f>B3</f>
        <v>Syndoman 15mg</v>
      </c>
      <c r="K3" s="34" t="s">
        <v>961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602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962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26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26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26"/>
      <c r="J11" s="12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26"/>
      <c r="J12" s="12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26"/>
      <c r="J13" s="12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26"/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26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26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26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26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28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26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26"/>
      <c r="J21" s="12"/>
    </row>
    <row r="22" spans="1:10" ht="26.7" customHeight="1">
      <c r="A22" s="39"/>
      <c r="B22" s="38"/>
      <c r="C22" s="38"/>
      <c r="D22" s="279"/>
      <c r="E22" s="260"/>
      <c r="F22" s="279"/>
      <c r="G22" s="260"/>
      <c r="H22" s="38"/>
      <c r="I22" s="26"/>
      <c r="J22" s="12"/>
    </row>
    <row r="23" spans="1:10" ht="26.7" customHeight="1">
      <c r="A23" s="39"/>
      <c r="B23" s="38"/>
      <c r="C23" s="38"/>
      <c r="D23" s="279"/>
      <c r="E23" s="260"/>
      <c r="F23" s="279"/>
      <c r="G23" s="260"/>
      <c r="H23" s="38"/>
      <c r="I23" s="26"/>
      <c r="J23" s="12"/>
    </row>
    <row r="24" spans="1:10" ht="26.7" customHeight="1">
      <c r="A24" s="39"/>
      <c r="B24" s="38"/>
      <c r="C24" s="38"/>
      <c r="D24" s="279"/>
      <c r="E24" s="260"/>
      <c r="F24" s="279"/>
      <c r="G24" s="260"/>
      <c r="H24" s="38"/>
      <c r="I24" s="26"/>
      <c r="J24" s="12"/>
    </row>
    <row r="25" spans="1:10" ht="26.7" customHeight="1" thickBot="1">
      <c r="A25" s="39"/>
      <c r="B25" s="38"/>
      <c r="C25" s="54"/>
      <c r="D25" s="309"/>
      <c r="E25" s="265"/>
      <c r="F25" s="309"/>
      <c r="G25" s="265"/>
      <c r="H25" s="54"/>
      <c r="I25" s="32"/>
      <c r="J25" s="12"/>
    </row>
    <row r="26" spans="1:10" ht="21" customHeight="1">
      <c r="A26" s="39"/>
      <c r="B26" s="38"/>
      <c r="C26" s="55"/>
      <c r="D26" s="310"/>
      <c r="E26" s="277"/>
      <c r="F26" s="310"/>
      <c r="G26" s="277"/>
      <c r="H26" s="55"/>
      <c r="I26" s="22"/>
      <c r="J26" s="3"/>
    </row>
    <row r="27" spans="1:10" ht="21" customHeight="1">
      <c r="A27" s="39"/>
      <c r="B27" s="38"/>
      <c r="C27" s="38"/>
      <c r="D27" s="279"/>
      <c r="E27" s="260"/>
      <c r="F27" s="279"/>
      <c r="G27" s="260"/>
      <c r="H27" s="38"/>
      <c r="I27" s="7"/>
    </row>
    <row r="28" spans="1:10" ht="21" customHeight="1">
      <c r="A28" s="39"/>
      <c r="B28" s="6"/>
      <c r="C28" s="38"/>
      <c r="D28" s="279"/>
      <c r="E28" s="260"/>
      <c r="F28" s="279"/>
      <c r="G28" s="260"/>
      <c r="H28" s="38"/>
      <c r="I28" s="16"/>
    </row>
    <row r="29" spans="1:10" ht="21" customHeight="1">
      <c r="A29" s="39"/>
      <c r="B29" s="6"/>
      <c r="C29" s="38"/>
      <c r="D29" s="279"/>
      <c r="E29" s="260"/>
      <c r="F29" s="279"/>
      <c r="G29" s="260"/>
      <c r="H29" s="38"/>
      <c r="I29" s="7"/>
    </row>
    <row r="30" spans="1:10" ht="21" customHeight="1">
      <c r="A30" s="39"/>
      <c r="B30" s="6"/>
      <c r="C30" s="38"/>
      <c r="D30" s="279"/>
      <c r="E30" s="260"/>
      <c r="F30" s="279"/>
      <c r="G30" s="260"/>
      <c r="H30" s="38"/>
      <c r="I30" s="7"/>
    </row>
    <row r="31" spans="1:10" ht="21" customHeight="1">
      <c r="A31" s="39"/>
      <c r="B31" s="6"/>
      <c r="C31" s="56"/>
      <c r="D31" s="279"/>
      <c r="E31" s="260"/>
      <c r="F31" s="279"/>
      <c r="G31" s="260"/>
      <c r="H31" s="38"/>
      <c r="I31" s="16"/>
    </row>
    <row r="32" spans="1:10" ht="21" customHeight="1">
      <c r="A32" s="39"/>
      <c r="B32" s="6"/>
      <c r="C32" s="56"/>
      <c r="D32" s="279"/>
      <c r="E32" s="260"/>
      <c r="F32" s="279"/>
      <c r="G32" s="260"/>
      <c r="H32" s="38"/>
      <c r="I32" s="7"/>
    </row>
    <row r="33" spans="1:9" ht="21" customHeight="1">
      <c r="A33" s="39"/>
      <c r="B33" s="6"/>
      <c r="C33" s="56"/>
      <c r="D33" s="279"/>
      <c r="E33" s="260"/>
      <c r="F33" s="279"/>
      <c r="G33" s="260"/>
      <c r="H33" s="38"/>
      <c r="I33" s="7"/>
    </row>
    <row r="34" spans="1:9" ht="21" customHeight="1">
      <c r="A34" s="39"/>
      <c r="B34" s="6"/>
      <c r="C34" s="56"/>
      <c r="D34" s="279"/>
      <c r="E34" s="260"/>
      <c r="F34" s="279"/>
      <c r="G34" s="260"/>
      <c r="H34" s="38"/>
      <c r="I34" s="7"/>
    </row>
    <row r="35" spans="1:9" ht="21" customHeight="1">
      <c r="A35" s="39"/>
      <c r="B35" s="6"/>
      <c r="C35" s="56"/>
      <c r="D35" s="279"/>
      <c r="E35" s="260"/>
      <c r="F35" s="279"/>
      <c r="G35" s="260"/>
      <c r="H35" s="38"/>
      <c r="I35" s="7"/>
    </row>
    <row r="36" spans="1:9" ht="21" customHeight="1">
      <c r="A36" s="39"/>
      <c r="B36" s="6"/>
      <c r="C36" s="56"/>
      <c r="D36" s="279"/>
      <c r="E36" s="260"/>
      <c r="F36" s="279"/>
      <c r="G36" s="260"/>
      <c r="H36" s="38"/>
      <c r="I36" s="7"/>
    </row>
    <row r="37" spans="1:9" ht="21" customHeight="1">
      <c r="A37" s="39"/>
      <c r="B37" s="6"/>
      <c r="C37" s="56"/>
      <c r="D37" s="279"/>
      <c r="E37" s="260"/>
      <c r="F37" s="279"/>
      <c r="G37" s="260"/>
      <c r="H37" s="38"/>
      <c r="I37" s="7"/>
    </row>
    <row r="38" spans="1:9" ht="21" customHeight="1">
      <c r="A38" s="39"/>
      <c r="B38" s="6"/>
      <c r="C38" s="56"/>
      <c r="D38" s="279"/>
      <c r="E38" s="260"/>
      <c r="F38" s="279"/>
      <c r="G38" s="260"/>
      <c r="H38" s="38"/>
      <c r="I38" s="7"/>
    </row>
    <row r="39" spans="1:9" ht="21" customHeight="1">
      <c r="A39" s="39"/>
      <c r="B39" s="6"/>
      <c r="C39" s="56"/>
      <c r="D39" s="279"/>
      <c r="E39" s="260"/>
      <c r="F39" s="279"/>
      <c r="G39" s="260"/>
      <c r="H39" s="38"/>
      <c r="I39" s="7"/>
    </row>
    <row r="40" spans="1:9" ht="21" customHeight="1">
      <c r="A40" s="39"/>
      <c r="B40" s="6"/>
      <c r="C40" s="56"/>
      <c r="D40" s="279"/>
      <c r="E40" s="260"/>
      <c r="F40" s="279"/>
      <c r="G40" s="260"/>
      <c r="H40" s="38"/>
      <c r="I40" s="7"/>
    </row>
    <row r="41" spans="1:9" ht="21" customHeight="1">
      <c r="A41" s="39"/>
      <c r="B41" s="6"/>
      <c r="C41" s="56"/>
      <c r="D41" s="279"/>
      <c r="E41" s="260"/>
      <c r="F41" s="279"/>
      <c r="G41" s="260"/>
      <c r="H41" s="38"/>
      <c r="I41" s="7"/>
    </row>
    <row r="42" spans="1:9" ht="21" customHeight="1">
      <c r="A42" s="39"/>
      <c r="B42" s="6"/>
      <c r="C42" s="56"/>
      <c r="D42" s="279"/>
      <c r="E42" s="260"/>
      <c r="F42" s="279"/>
      <c r="G42" s="260"/>
      <c r="H42" s="38"/>
      <c r="I42" s="7"/>
    </row>
    <row r="43" spans="1:9" ht="21" customHeight="1">
      <c r="A43" s="39"/>
      <c r="B43" s="8"/>
      <c r="C43" s="56"/>
      <c r="D43" s="279"/>
      <c r="E43" s="260"/>
      <c r="F43" s="279"/>
      <c r="G43" s="260"/>
      <c r="H43" s="38"/>
      <c r="I43" s="11"/>
    </row>
    <row r="44" spans="1:9" ht="21" customHeight="1">
      <c r="A44" s="39"/>
      <c r="B44" s="6"/>
      <c r="C44" s="57"/>
      <c r="D44" s="279"/>
      <c r="E44" s="260"/>
      <c r="F44" s="279"/>
      <c r="G44" s="260"/>
      <c r="H44" s="38"/>
      <c r="I44" s="7"/>
    </row>
    <row r="45" spans="1:9" ht="21" customHeight="1">
      <c r="A45" s="39"/>
      <c r="B45" s="6"/>
      <c r="C45" s="56"/>
      <c r="D45" s="279"/>
      <c r="E45" s="260"/>
      <c r="F45" s="279"/>
      <c r="G45" s="260"/>
      <c r="H45" s="38"/>
      <c r="I45" s="7"/>
    </row>
    <row r="46" spans="1:9" ht="21" customHeight="1">
      <c r="A46" s="39"/>
      <c r="B46" s="6"/>
      <c r="C46" s="56"/>
      <c r="D46" s="279"/>
      <c r="E46" s="260"/>
      <c r="F46" s="279"/>
      <c r="G46" s="260"/>
      <c r="H46" s="38"/>
      <c r="I46" s="7"/>
    </row>
    <row r="47" spans="1:9" ht="21" customHeight="1">
      <c r="A47" s="39"/>
      <c r="B47" s="6"/>
      <c r="C47" s="56"/>
      <c r="D47" s="279"/>
      <c r="E47" s="260"/>
      <c r="F47" s="279"/>
      <c r="G47" s="260"/>
      <c r="H47" s="38"/>
      <c r="I47" s="7"/>
    </row>
    <row r="48" spans="1:9" ht="21" customHeight="1">
      <c r="A48" s="39"/>
      <c r="B48" s="6"/>
      <c r="C48" s="56"/>
      <c r="D48" s="279"/>
      <c r="E48" s="260"/>
      <c r="F48" s="279"/>
      <c r="G48" s="260"/>
      <c r="H48" s="38"/>
      <c r="I48" s="7"/>
    </row>
    <row r="49" spans="1:9" ht="21" customHeight="1">
      <c r="A49" s="39"/>
      <c r="B49" s="6"/>
      <c r="C49" s="56"/>
      <c r="D49" s="279"/>
      <c r="E49" s="260"/>
      <c r="F49" s="279"/>
      <c r="G49" s="260"/>
      <c r="H49" s="38"/>
      <c r="I49" s="7"/>
    </row>
    <row r="50" spans="1:9" ht="21" customHeight="1">
      <c r="A50" s="39"/>
      <c r="B50" s="6"/>
      <c r="C50" s="56"/>
      <c r="D50" s="279"/>
      <c r="E50" s="260"/>
      <c r="F50" s="279"/>
      <c r="G50" s="260"/>
      <c r="H50" s="38"/>
      <c r="I50" s="16"/>
    </row>
    <row r="51" spans="1:9" ht="21" customHeight="1">
      <c r="A51" s="39"/>
      <c r="B51" s="6"/>
      <c r="C51" s="56"/>
      <c r="D51" s="279"/>
      <c r="E51" s="260"/>
      <c r="F51" s="279"/>
      <c r="G51" s="260"/>
      <c r="H51" s="38"/>
      <c r="I51" s="7"/>
    </row>
    <row r="52" spans="1:9" ht="21" customHeight="1">
      <c r="A52" s="39"/>
      <c r="B52" s="6"/>
      <c r="C52" s="56"/>
      <c r="D52" s="279"/>
      <c r="E52" s="260"/>
      <c r="F52" s="279"/>
      <c r="G52" s="260"/>
      <c r="H52" s="38"/>
      <c r="I52" s="7"/>
    </row>
    <row r="53" spans="1:9" ht="21" customHeight="1">
      <c r="A53" s="39"/>
      <c r="B53" s="6"/>
      <c r="C53" s="56"/>
      <c r="D53" s="279"/>
      <c r="E53" s="260"/>
      <c r="F53" s="279"/>
      <c r="G53" s="260"/>
      <c r="H53" s="38"/>
      <c r="I53" s="7"/>
    </row>
    <row r="54" spans="1:9" ht="21" customHeight="1">
      <c r="A54" s="39"/>
      <c r="B54" s="6"/>
      <c r="C54" s="56"/>
      <c r="D54" s="279"/>
      <c r="E54" s="260"/>
      <c r="F54" s="279"/>
      <c r="G54" s="260"/>
      <c r="H54" s="38"/>
      <c r="I54" s="7"/>
    </row>
    <row r="55" spans="1:9" ht="21" customHeight="1">
      <c r="A55" s="39"/>
      <c r="B55" s="6"/>
      <c r="C55" s="57"/>
      <c r="D55" s="279"/>
      <c r="E55" s="260"/>
      <c r="F55" s="279"/>
      <c r="G55" s="260"/>
      <c r="H55" s="38"/>
      <c r="I55" s="7"/>
    </row>
    <row r="56" spans="1:9" ht="21" customHeight="1">
      <c r="A56" s="39"/>
      <c r="B56" s="6"/>
      <c r="C56" s="56"/>
      <c r="D56" s="279"/>
      <c r="E56" s="260"/>
      <c r="F56" s="279"/>
      <c r="G56" s="260"/>
      <c r="H56" s="38"/>
      <c r="I56" s="7"/>
    </row>
    <row r="57" spans="1:9" ht="21" customHeight="1">
      <c r="A57" s="39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39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39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39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39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39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39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39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39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39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39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39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39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39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39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39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39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39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39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39"/>
      <c r="B76" s="8"/>
      <c r="C76" s="9"/>
      <c r="D76" s="259"/>
      <c r="E76" s="260"/>
      <c r="F76" s="261"/>
      <c r="G76" s="260"/>
      <c r="H76" s="7"/>
      <c r="I76" s="7"/>
    </row>
    <row r="77" spans="1:9" ht="21" customHeight="1">
      <c r="A77" s="39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39"/>
      <c r="B78" s="8"/>
      <c r="C78" s="9"/>
      <c r="D78" s="259"/>
      <c r="E78" s="260"/>
      <c r="F78" s="261"/>
      <c r="G78" s="260"/>
      <c r="H78" s="7"/>
      <c r="I78" s="11"/>
    </row>
    <row r="79" spans="1:9" ht="21" customHeight="1">
      <c r="A79" s="39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39"/>
      <c r="B80" s="6"/>
      <c r="C80" s="9"/>
      <c r="D80" s="259"/>
      <c r="E80" s="260"/>
      <c r="F80" s="261"/>
      <c r="G80" s="260"/>
      <c r="H80" s="7"/>
      <c r="I80" s="7"/>
    </row>
    <row r="81" spans="1:9" ht="21" customHeight="1">
      <c r="A81" s="39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39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39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39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39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39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39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39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39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39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9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</sheetData>
  <mergeCells count="196"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58:E58"/>
    <mergeCell ref="D18:E18"/>
    <mergeCell ref="F27:G27"/>
    <mergeCell ref="F58:G58"/>
    <mergeCell ref="F52:G52"/>
    <mergeCell ref="F67:G67"/>
    <mergeCell ref="D8:E8"/>
    <mergeCell ref="F37:G37"/>
    <mergeCell ref="H4:I4"/>
    <mergeCell ref="D40:E40"/>
    <mergeCell ref="D80:E80"/>
    <mergeCell ref="F40:G40"/>
    <mergeCell ref="D21:E21"/>
    <mergeCell ref="F59:G59"/>
    <mergeCell ref="F55:G55"/>
    <mergeCell ref="D95:E95"/>
    <mergeCell ref="F12:G12"/>
    <mergeCell ref="F24:G24"/>
    <mergeCell ref="F95:G95"/>
    <mergeCell ref="D57:E57"/>
    <mergeCell ref="D74:E74"/>
    <mergeCell ref="E4:G4"/>
    <mergeCell ref="F14:G14"/>
    <mergeCell ref="D54:E54"/>
    <mergeCell ref="D85:E85"/>
    <mergeCell ref="D94:E94"/>
    <mergeCell ref="D69:E69"/>
    <mergeCell ref="F11:G11"/>
    <mergeCell ref="F69:G69"/>
    <mergeCell ref="F78:G78"/>
    <mergeCell ref="F65:G65"/>
    <mergeCell ref="D46:E46"/>
    <mergeCell ref="D89:E89"/>
    <mergeCell ref="D79:E79"/>
    <mergeCell ref="F64:G64"/>
    <mergeCell ref="F73:G73"/>
    <mergeCell ref="F87:G87"/>
    <mergeCell ref="D63:E63"/>
    <mergeCell ref="D81:E81"/>
    <mergeCell ref="F89:G89"/>
    <mergeCell ref="D96:E96"/>
    <mergeCell ref="D65:E65"/>
    <mergeCell ref="D91:E91"/>
    <mergeCell ref="F91:G91"/>
    <mergeCell ref="D93:E93"/>
    <mergeCell ref="F93:G93"/>
    <mergeCell ref="D83:E83"/>
    <mergeCell ref="F77:G77"/>
    <mergeCell ref="D92:E92"/>
    <mergeCell ref="F92:G92"/>
    <mergeCell ref="D67:E67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2:E12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F74:G74"/>
    <mergeCell ref="F83:G83"/>
    <mergeCell ref="F30:G30"/>
    <mergeCell ref="D76:E76"/>
    <mergeCell ref="F76:G76"/>
    <mergeCell ref="F33:G33"/>
    <mergeCell ref="F45:G45"/>
    <mergeCell ref="F85:G85"/>
    <mergeCell ref="F42:G42"/>
    <mergeCell ref="F94:G94"/>
    <mergeCell ref="B4:D4"/>
    <mergeCell ref="F23:G23"/>
    <mergeCell ref="D62:E62"/>
    <mergeCell ref="F13:G13"/>
    <mergeCell ref="D71:E71"/>
    <mergeCell ref="D56:E56"/>
    <mergeCell ref="F96:G96"/>
    <mergeCell ref="F71:G71"/>
    <mergeCell ref="F56:G56"/>
    <mergeCell ref="F43:G43"/>
    <mergeCell ref="D24:E24"/>
    <mergeCell ref="D64:E64"/>
    <mergeCell ref="D33:E33"/>
    <mergeCell ref="D10:E10"/>
    <mergeCell ref="D19:E19"/>
    <mergeCell ref="F19:G19"/>
    <mergeCell ref="F10:G10"/>
    <mergeCell ref="F6:G6"/>
    <mergeCell ref="D11:E11"/>
    <mergeCell ref="F20:G20"/>
    <mergeCell ref="F18:G18"/>
    <mergeCell ref="D66:E66"/>
    <mergeCell ref="F17:G17"/>
    <mergeCell ref="D75:E75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F81:G81"/>
    <mergeCell ref="F66:G66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D9:E9"/>
    <mergeCell ref="F9:G9"/>
    <mergeCell ref="D25:E25"/>
    <mergeCell ref="D55:E55"/>
    <mergeCell ref="D30:E30"/>
    <mergeCell ref="F49:G49"/>
    <mergeCell ref="D14:E14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/>
  <dimension ref="A1:O69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963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82" t="s">
        <v>964</v>
      </c>
      <c r="C3" s="263"/>
      <c r="D3" s="260"/>
      <c r="E3" s="266" t="s">
        <v>11</v>
      </c>
      <c r="F3" s="263"/>
      <c r="G3" s="260"/>
      <c r="H3" s="268" t="s">
        <v>965</v>
      </c>
      <c r="I3" s="269"/>
      <c r="J3" s="19" t="str">
        <f>B3</f>
        <v>Alepan 15mg</v>
      </c>
      <c r="K3" s="34" t="s">
        <v>966</v>
      </c>
      <c r="L3" s="5">
        <f>H7</f>
        <v>0</v>
      </c>
      <c r="M3" s="3">
        <f>SUM(C$8:C$1048576)</f>
        <v>20</v>
      </c>
      <c r="N3" s="3">
        <f>SUM(F:F)</f>
        <v>14</v>
      </c>
      <c r="O3" s="3">
        <f>L3+M3-N3</f>
        <v>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967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968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8.95" customHeight="1">
      <c r="A7" s="196" t="s">
        <v>29</v>
      </c>
      <c r="B7" s="155" t="s">
        <v>5</v>
      </c>
      <c r="C7" s="155">
        <v>0</v>
      </c>
      <c r="D7" s="280"/>
      <c r="E7" s="260"/>
      <c r="F7" s="280"/>
      <c r="G7" s="260"/>
      <c r="H7" s="155">
        <v>0</v>
      </c>
      <c r="I7" s="202" t="s">
        <v>571</v>
      </c>
      <c r="J7" s="12"/>
      <c r="K7" s="3"/>
      <c r="L7" s="3"/>
      <c r="M7" s="3"/>
      <c r="N7" s="3"/>
      <c r="O7" s="3"/>
    </row>
    <row r="8" spans="1:15" ht="25.2" customHeight="1">
      <c r="A8" s="39" t="s">
        <v>477</v>
      </c>
      <c r="B8" s="38" t="s">
        <v>324</v>
      </c>
      <c r="C8" s="38">
        <v>20</v>
      </c>
      <c r="D8" s="279" t="s">
        <v>969</v>
      </c>
      <c r="E8" s="260"/>
      <c r="F8" s="279"/>
      <c r="G8" s="260"/>
      <c r="H8" s="38">
        <v>20</v>
      </c>
      <c r="I8" s="149" t="s">
        <v>437</v>
      </c>
    </row>
    <row r="9" spans="1:15" ht="25.2" customHeight="1">
      <c r="A9" s="39" t="s">
        <v>604</v>
      </c>
      <c r="B9" s="38" t="s">
        <v>323</v>
      </c>
      <c r="C9" s="38"/>
      <c r="D9" s="279"/>
      <c r="E9" s="260"/>
      <c r="F9" s="279">
        <v>14</v>
      </c>
      <c r="G9" s="260"/>
      <c r="H9" s="38">
        <f>H8-F9</f>
        <v>6</v>
      </c>
      <c r="I9" s="149"/>
    </row>
    <row r="10" spans="1:15" ht="25.2" customHeight="1">
      <c r="A10" s="39"/>
      <c r="B10" s="38"/>
      <c r="C10" s="38"/>
      <c r="D10" s="279"/>
      <c r="E10" s="260"/>
      <c r="F10" s="279"/>
      <c r="G10" s="260"/>
      <c r="H10" s="38"/>
      <c r="I10" s="149"/>
    </row>
    <row r="11" spans="1:15" ht="25.2" customHeight="1">
      <c r="A11" s="39"/>
      <c r="B11" s="38"/>
      <c r="C11" s="38"/>
      <c r="D11" s="279"/>
      <c r="E11" s="260"/>
      <c r="F11" s="279"/>
      <c r="G11" s="260"/>
      <c r="H11" s="38"/>
      <c r="I11" s="149"/>
    </row>
    <row r="12" spans="1:15" ht="25.2" customHeight="1">
      <c r="A12" s="39"/>
      <c r="B12" s="38"/>
      <c r="C12" s="38"/>
      <c r="D12" s="279"/>
      <c r="E12" s="260"/>
      <c r="F12" s="279"/>
      <c r="G12" s="260"/>
      <c r="H12" s="38"/>
      <c r="I12" s="149"/>
    </row>
    <row r="13" spans="1:15" ht="25.2" customHeight="1">
      <c r="A13" s="39"/>
      <c r="B13" s="38"/>
      <c r="C13" s="38"/>
      <c r="D13" s="279"/>
      <c r="E13" s="260"/>
      <c r="F13" s="279"/>
      <c r="G13" s="260"/>
      <c r="H13" s="38"/>
      <c r="I13" s="149"/>
    </row>
    <row r="14" spans="1:15" ht="25.2" customHeight="1">
      <c r="A14" s="39"/>
      <c r="B14" s="38"/>
      <c r="C14" s="38"/>
      <c r="D14" s="294"/>
      <c r="E14" s="260"/>
      <c r="F14" s="279"/>
      <c r="G14" s="260"/>
      <c r="H14" s="38"/>
      <c r="I14" s="149"/>
    </row>
    <row r="15" spans="1:15" ht="25.2" customHeight="1">
      <c r="A15" s="39"/>
      <c r="B15" s="38"/>
      <c r="C15" s="38"/>
      <c r="D15" s="294"/>
      <c r="E15" s="260"/>
      <c r="F15" s="279"/>
      <c r="G15" s="260"/>
      <c r="H15" s="38"/>
      <c r="I15" s="149"/>
    </row>
    <row r="16" spans="1:15" ht="25.2" customHeight="1">
      <c r="A16" s="39"/>
      <c r="B16" s="38"/>
      <c r="C16" s="38"/>
      <c r="D16" s="294"/>
      <c r="E16" s="260"/>
      <c r="F16" s="279"/>
      <c r="G16" s="260"/>
      <c r="H16" s="38"/>
      <c r="I16" s="149"/>
    </row>
    <row r="17" spans="1:9" ht="25.2" customHeight="1">
      <c r="A17" s="39"/>
      <c r="B17" s="38"/>
      <c r="C17" s="38"/>
      <c r="D17" s="294"/>
      <c r="E17" s="260"/>
      <c r="F17" s="279"/>
      <c r="G17" s="260"/>
      <c r="H17" s="38"/>
      <c r="I17" s="149"/>
    </row>
    <row r="18" spans="1:9" ht="25.2" customHeight="1">
      <c r="A18" s="39"/>
      <c r="B18" s="38"/>
      <c r="C18" s="38"/>
      <c r="D18" s="294"/>
      <c r="E18" s="260"/>
      <c r="F18" s="279"/>
      <c r="G18" s="260"/>
      <c r="H18" s="38"/>
      <c r="I18" s="149"/>
    </row>
    <row r="19" spans="1:9" ht="25.2" customHeight="1">
      <c r="A19" s="39"/>
      <c r="B19" s="38"/>
      <c r="C19" s="38"/>
      <c r="D19" s="294"/>
      <c r="E19" s="260"/>
      <c r="F19" s="279"/>
      <c r="G19" s="260"/>
      <c r="H19" s="38"/>
      <c r="I19" s="149"/>
    </row>
    <row r="20" spans="1:9" ht="25.2" customHeight="1">
      <c r="A20" s="39"/>
      <c r="B20" s="38"/>
      <c r="C20" s="38"/>
      <c r="D20" s="294"/>
      <c r="E20" s="260"/>
      <c r="F20" s="279"/>
      <c r="G20" s="260"/>
      <c r="H20" s="38"/>
      <c r="I20" s="149"/>
    </row>
    <row r="21" spans="1:9" ht="25.2" customHeight="1">
      <c r="A21" s="39"/>
      <c r="B21" s="38"/>
      <c r="C21" s="38"/>
      <c r="D21" s="294"/>
      <c r="E21" s="260"/>
      <c r="F21" s="279"/>
      <c r="G21" s="260"/>
      <c r="H21" s="38"/>
      <c r="I21" s="149"/>
    </row>
    <row r="22" spans="1:9" ht="25.2" customHeight="1">
      <c r="A22" s="39"/>
      <c r="B22" s="38"/>
      <c r="C22" s="38"/>
      <c r="D22" s="294"/>
      <c r="E22" s="260"/>
      <c r="F22" s="279"/>
      <c r="G22" s="260"/>
      <c r="H22" s="38"/>
      <c r="I22" s="149"/>
    </row>
    <row r="23" spans="1:9" ht="25.2" customHeight="1">
      <c r="A23" s="39"/>
      <c r="B23" s="38"/>
      <c r="C23" s="38"/>
      <c r="D23" s="294"/>
      <c r="E23" s="260"/>
      <c r="F23" s="279"/>
      <c r="G23" s="260"/>
      <c r="H23" s="38"/>
      <c r="I23" s="149"/>
    </row>
    <row r="24" spans="1:9" ht="25.2" customHeight="1">
      <c r="A24" s="39"/>
      <c r="B24" s="38"/>
      <c r="C24" s="38"/>
      <c r="D24" s="294"/>
      <c r="E24" s="260"/>
      <c r="F24" s="279"/>
      <c r="G24" s="260"/>
      <c r="H24" s="38"/>
      <c r="I24" s="149"/>
    </row>
    <row r="25" spans="1:9" ht="25.2" customHeight="1">
      <c r="A25" s="39"/>
      <c r="B25" s="38"/>
      <c r="C25" s="38"/>
      <c r="D25" s="294"/>
      <c r="E25" s="260"/>
      <c r="F25" s="279"/>
      <c r="G25" s="260"/>
      <c r="H25" s="38"/>
      <c r="I25" s="149"/>
    </row>
    <row r="26" spans="1:9" ht="25.2" customHeight="1">
      <c r="A26" s="39"/>
      <c r="B26" s="38"/>
      <c r="C26" s="38"/>
      <c r="D26" s="294"/>
      <c r="E26" s="260"/>
      <c r="F26" s="279"/>
      <c r="G26" s="260"/>
      <c r="H26" s="38"/>
      <c r="I26" s="149"/>
    </row>
    <row r="27" spans="1:9" ht="21" customHeight="1">
      <c r="A27" s="39"/>
      <c r="B27" s="38"/>
      <c r="C27" s="38"/>
      <c r="D27" s="294"/>
      <c r="E27" s="260"/>
      <c r="F27" s="279"/>
      <c r="G27" s="260"/>
      <c r="H27" s="38"/>
      <c r="I27" s="149"/>
    </row>
    <row r="28" spans="1:9" ht="21" customHeight="1">
      <c r="A28" s="39"/>
      <c r="B28" s="38"/>
      <c r="C28" s="38"/>
      <c r="D28" s="294"/>
      <c r="E28" s="260"/>
      <c r="F28" s="279"/>
      <c r="G28" s="260"/>
      <c r="H28" s="38"/>
      <c r="I28" s="149"/>
    </row>
    <row r="29" spans="1:9" ht="21" customHeight="1">
      <c r="A29" s="39"/>
      <c r="B29" s="38"/>
      <c r="C29" s="38"/>
      <c r="D29" s="294"/>
      <c r="E29" s="260"/>
      <c r="F29" s="279"/>
      <c r="G29" s="260"/>
      <c r="H29" s="38"/>
      <c r="I29" s="149"/>
    </row>
    <row r="30" spans="1:9" ht="21" customHeight="1">
      <c r="A30" s="39"/>
      <c r="B30" s="38"/>
      <c r="C30" s="38"/>
      <c r="D30" s="294"/>
      <c r="E30" s="260"/>
      <c r="F30" s="279"/>
      <c r="G30" s="260"/>
      <c r="H30" s="38"/>
      <c r="I30" s="149"/>
    </row>
    <row r="31" spans="1:9" ht="21" customHeight="1">
      <c r="A31" s="39"/>
      <c r="B31" s="38"/>
      <c r="C31" s="38"/>
      <c r="D31" s="294"/>
      <c r="E31" s="260"/>
      <c r="F31" s="279"/>
      <c r="G31" s="260"/>
      <c r="H31" s="38"/>
      <c r="I31" s="149"/>
    </row>
    <row r="32" spans="1:9" ht="21" customHeight="1">
      <c r="A32" s="39"/>
      <c r="B32" s="38"/>
      <c r="C32" s="38"/>
      <c r="D32" s="294"/>
      <c r="E32" s="260"/>
      <c r="F32" s="279"/>
      <c r="G32" s="260"/>
      <c r="H32" s="38"/>
      <c r="I32" s="149"/>
    </row>
    <row r="33" spans="1:9" ht="21" customHeight="1">
      <c r="A33" s="39"/>
      <c r="B33" s="38"/>
      <c r="C33" s="38"/>
      <c r="D33" s="294"/>
      <c r="E33" s="260"/>
      <c r="F33" s="279"/>
      <c r="G33" s="260"/>
      <c r="H33" s="38"/>
      <c r="I33" s="149"/>
    </row>
    <row r="34" spans="1:9" ht="21" customHeight="1">
      <c r="A34" s="39"/>
      <c r="B34" s="38"/>
      <c r="C34" s="38"/>
      <c r="D34" s="294"/>
      <c r="E34" s="260"/>
      <c r="F34" s="279"/>
      <c r="G34" s="260"/>
      <c r="H34" s="38"/>
      <c r="I34" s="149"/>
    </row>
    <row r="35" spans="1:9" ht="21" customHeight="1">
      <c r="A35" s="39"/>
      <c r="B35" s="38"/>
      <c r="C35" s="38"/>
      <c r="D35" s="294"/>
      <c r="E35" s="260"/>
      <c r="F35" s="279"/>
      <c r="G35" s="260"/>
      <c r="H35" s="38"/>
      <c r="I35" s="149"/>
    </row>
    <row r="36" spans="1:9" ht="21" customHeight="1">
      <c r="A36" s="39"/>
      <c r="B36" s="38"/>
      <c r="C36" s="38"/>
      <c r="D36" s="294"/>
      <c r="E36" s="260"/>
      <c r="F36" s="279"/>
      <c r="G36" s="260"/>
      <c r="H36" s="38"/>
      <c r="I36" s="149"/>
    </row>
    <row r="37" spans="1:9" ht="21" customHeight="1">
      <c r="A37" s="39"/>
      <c r="B37" s="38"/>
      <c r="C37" s="38"/>
      <c r="D37" s="294"/>
      <c r="E37" s="260"/>
      <c r="F37" s="279"/>
      <c r="G37" s="260"/>
      <c r="H37" s="38"/>
      <c r="I37" s="149"/>
    </row>
    <row r="38" spans="1:9" ht="21" customHeight="1">
      <c r="A38" s="39"/>
      <c r="B38" s="38"/>
      <c r="C38" s="38"/>
      <c r="D38" s="294"/>
      <c r="E38" s="260"/>
      <c r="F38" s="279"/>
      <c r="G38" s="260"/>
      <c r="H38" s="38"/>
      <c r="I38" s="149"/>
    </row>
    <row r="39" spans="1:9" ht="21" customHeight="1">
      <c r="A39" s="39"/>
      <c r="B39" s="38"/>
      <c r="C39" s="38"/>
      <c r="D39" s="294"/>
      <c r="E39" s="260"/>
      <c r="F39" s="279"/>
      <c r="G39" s="260"/>
      <c r="H39" s="38"/>
      <c r="I39" s="149"/>
    </row>
    <row r="40" spans="1:9" ht="21" customHeight="1">
      <c r="A40" s="39"/>
      <c r="B40" s="38"/>
      <c r="C40" s="38"/>
      <c r="D40" s="294"/>
      <c r="E40" s="260"/>
      <c r="F40" s="279"/>
      <c r="G40" s="260"/>
      <c r="H40" s="38"/>
      <c r="I40" s="149"/>
    </row>
    <row r="41" spans="1:9" ht="21" customHeight="1">
      <c r="A41" s="39"/>
      <c r="B41" s="38"/>
      <c r="C41" s="38"/>
      <c r="D41" s="294"/>
      <c r="E41" s="260"/>
      <c r="F41" s="279"/>
      <c r="G41" s="260"/>
      <c r="H41" s="38"/>
      <c r="I41" s="149"/>
    </row>
    <row r="42" spans="1:9" ht="21" customHeight="1">
      <c r="A42" s="39"/>
      <c r="B42" s="38"/>
      <c r="C42" s="38"/>
      <c r="D42" s="294"/>
      <c r="E42" s="260"/>
      <c r="F42" s="279"/>
      <c r="G42" s="260"/>
      <c r="H42" s="38"/>
      <c r="I42" s="149"/>
    </row>
    <row r="43" spans="1:9" ht="21" customHeight="1">
      <c r="A43" s="39"/>
      <c r="B43" s="38"/>
      <c r="C43" s="38"/>
      <c r="D43" s="294"/>
      <c r="E43" s="260"/>
      <c r="F43" s="279"/>
      <c r="G43" s="260"/>
      <c r="H43" s="38"/>
      <c r="I43" s="149"/>
    </row>
    <row r="44" spans="1:9" ht="21" customHeight="1">
      <c r="A44" s="39"/>
      <c r="B44" s="38"/>
      <c r="C44" s="38"/>
      <c r="D44" s="294"/>
      <c r="E44" s="260"/>
      <c r="F44" s="279"/>
      <c r="G44" s="260"/>
      <c r="H44" s="38"/>
      <c r="I44" s="149"/>
    </row>
    <row r="45" spans="1:9" ht="21" customHeight="1">
      <c r="A45" s="39"/>
      <c r="B45" s="38"/>
      <c r="C45" s="38"/>
      <c r="D45" s="294"/>
      <c r="E45" s="260"/>
      <c r="F45" s="279"/>
      <c r="G45" s="260"/>
      <c r="H45" s="38"/>
      <c r="I45" s="149"/>
    </row>
    <row r="46" spans="1:9" ht="21" customHeight="1">
      <c r="A46" s="39"/>
      <c r="B46" s="38"/>
      <c r="C46" s="38"/>
      <c r="D46" s="294"/>
      <c r="E46" s="260"/>
      <c r="F46" s="279"/>
      <c r="G46" s="260"/>
      <c r="H46" s="38"/>
      <c r="I46" s="149"/>
    </row>
    <row r="47" spans="1:9" ht="21" customHeight="1">
      <c r="A47" s="39"/>
      <c r="B47" s="38"/>
      <c r="C47" s="38"/>
      <c r="D47" s="294"/>
      <c r="E47" s="260"/>
      <c r="F47" s="279"/>
      <c r="G47" s="260"/>
      <c r="H47" s="38"/>
      <c r="I47" s="149"/>
    </row>
    <row r="48" spans="1:9" ht="21" customHeight="1">
      <c r="A48" s="39"/>
      <c r="B48" s="38"/>
      <c r="C48" s="38"/>
      <c r="D48" s="294"/>
      <c r="E48" s="260"/>
      <c r="F48" s="279"/>
      <c r="G48" s="260"/>
      <c r="H48" s="38"/>
      <c r="I48" s="149"/>
    </row>
    <row r="49" spans="1:9" ht="21" customHeight="1">
      <c r="A49" s="39"/>
      <c r="B49" s="38"/>
      <c r="C49" s="38"/>
      <c r="D49" s="294"/>
      <c r="E49" s="260"/>
      <c r="F49" s="279"/>
      <c r="G49" s="260"/>
      <c r="H49" s="38"/>
      <c r="I49" s="149"/>
    </row>
    <row r="50" spans="1:9" ht="21" customHeight="1">
      <c r="A50" s="39"/>
      <c r="B50" s="38"/>
      <c r="C50" s="38"/>
      <c r="D50" s="294"/>
      <c r="E50" s="260"/>
      <c r="F50" s="279"/>
      <c r="G50" s="260"/>
      <c r="H50" s="38"/>
      <c r="I50" s="149"/>
    </row>
    <row r="51" spans="1:9" ht="21" customHeight="1">
      <c r="A51" s="39"/>
      <c r="B51" s="38"/>
      <c r="C51" s="38"/>
      <c r="D51" s="294"/>
      <c r="E51" s="260"/>
      <c r="F51" s="279"/>
      <c r="G51" s="260"/>
      <c r="H51" s="38"/>
      <c r="I51" s="149"/>
    </row>
    <row r="52" spans="1:9" ht="21" customHeight="1">
      <c r="A52" s="39"/>
      <c r="B52" s="38"/>
      <c r="C52" s="38"/>
      <c r="D52" s="294"/>
      <c r="E52" s="260"/>
      <c r="F52" s="279"/>
      <c r="G52" s="260"/>
      <c r="H52" s="38"/>
      <c r="I52" s="149"/>
    </row>
    <row r="53" spans="1:9" ht="21" customHeight="1">
      <c r="A53" s="39"/>
      <c r="B53" s="38"/>
      <c r="C53" s="38"/>
      <c r="D53" s="294"/>
      <c r="E53" s="260"/>
      <c r="F53" s="279"/>
      <c r="G53" s="260"/>
      <c r="H53" s="38"/>
      <c r="I53" s="149"/>
    </row>
    <row r="54" spans="1:9" ht="21" customHeight="1">
      <c r="A54" s="39"/>
      <c r="B54" s="38"/>
      <c r="C54" s="38"/>
      <c r="D54" s="294"/>
      <c r="E54" s="260"/>
      <c r="F54" s="279"/>
      <c r="G54" s="260"/>
      <c r="H54" s="38"/>
      <c r="I54" s="149"/>
    </row>
    <row r="55" spans="1:9" ht="21" customHeight="1">
      <c r="A55" s="39"/>
      <c r="B55" s="38"/>
      <c r="C55" s="38"/>
      <c r="D55" s="294"/>
      <c r="E55" s="260"/>
      <c r="F55" s="279"/>
      <c r="G55" s="260"/>
      <c r="H55" s="38"/>
      <c r="I55" s="149"/>
    </row>
    <row r="56" spans="1:9" ht="21" customHeight="1">
      <c r="A56" s="39"/>
      <c r="B56" s="38"/>
      <c r="C56" s="38"/>
      <c r="D56" s="294"/>
      <c r="E56" s="260"/>
      <c r="F56" s="279"/>
      <c r="G56" s="260"/>
      <c r="H56" s="38"/>
      <c r="I56" s="149"/>
    </row>
    <row r="57" spans="1:9" ht="21" customHeight="1">
      <c r="A57" s="39"/>
      <c r="B57" s="38"/>
      <c r="C57" s="38"/>
      <c r="D57" s="294"/>
      <c r="E57" s="260"/>
      <c r="F57" s="279"/>
      <c r="G57" s="260"/>
      <c r="H57" s="38"/>
      <c r="I57" s="149"/>
    </row>
    <row r="58" spans="1:9" ht="21" customHeight="1">
      <c r="A58" s="39"/>
      <c r="B58" s="38"/>
      <c r="C58" s="38"/>
      <c r="D58" s="294"/>
      <c r="E58" s="260"/>
      <c r="F58" s="279"/>
      <c r="G58" s="260"/>
      <c r="H58" s="38"/>
      <c r="I58" s="149"/>
    </row>
    <row r="59" spans="1:9" ht="21" customHeight="1">
      <c r="A59" s="39"/>
      <c r="B59" s="38"/>
      <c r="C59" s="38"/>
      <c r="D59" s="294"/>
      <c r="E59" s="260"/>
      <c r="F59" s="279"/>
      <c r="G59" s="260"/>
      <c r="H59" s="38"/>
      <c r="I59" s="149"/>
    </row>
    <row r="60" spans="1:9" ht="21" customHeight="1">
      <c r="A60" s="39"/>
      <c r="B60" s="38"/>
      <c r="C60" s="38"/>
      <c r="D60" s="294"/>
      <c r="E60" s="260"/>
      <c r="F60" s="279"/>
      <c r="G60" s="260"/>
      <c r="H60" s="38"/>
      <c r="I60" s="149"/>
    </row>
    <row r="61" spans="1:9" ht="21" customHeight="1">
      <c r="A61" s="39"/>
      <c r="B61" s="38"/>
      <c r="C61" s="38"/>
      <c r="D61" s="294"/>
      <c r="E61" s="260"/>
      <c r="F61" s="279"/>
      <c r="G61" s="260"/>
      <c r="H61" s="38"/>
      <c r="I61" s="149"/>
    </row>
    <row r="62" spans="1:9" ht="21" customHeight="1">
      <c r="A62" s="39"/>
      <c r="B62" s="38"/>
      <c r="C62" s="38"/>
      <c r="D62" s="294"/>
      <c r="E62" s="260"/>
      <c r="F62" s="279"/>
      <c r="G62" s="260"/>
      <c r="H62" s="38"/>
      <c r="I62" s="149"/>
    </row>
    <row r="63" spans="1:9" ht="21" customHeight="1">
      <c r="A63" s="39"/>
      <c r="B63" s="38"/>
      <c r="C63" s="38"/>
      <c r="D63" s="294"/>
      <c r="E63" s="260"/>
      <c r="F63" s="279"/>
      <c r="G63" s="260"/>
      <c r="H63" s="38"/>
      <c r="I63" s="149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4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9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</sheetData>
  <mergeCells count="138">
    <mergeCell ref="F67:G67"/>
    <mergeCell ref="D8:E8"/>
    <mergeCell ref="F37:G37"/>
    <mergeCell ref="B3:D3"/>
    <mergeCell ref="D68:E68"/>
    <mergeCell ref="D42:E42"/>
    <mergeCell ref="F60:G60"/>
    <mergeCell ref="D50:E50"/>
    <mergeCell ref="D44:E44"/>
    <mergeCell ref="D59:E59"/>
    <mergeCell ref="F53:G53"/>
    <mergeCell ref="D67:E67"/>
    <mergeCell ref="F49:G49"/>
    <mergeCell ref="D14:E14"/>
    <mergeCell ref="E4:G4"/>
    <mergeCell ref="F14:G14"/>
    <mergeCell ref="D54:E54"/>
    <mergeCell ref="D69:E69"/>
    <mergeCell ref="F69:G69"/>
    <mergeCell ref="F11:G11"/>
    <mergeCell ref="F65:G65"/>
    <mergeCell ref="D46:E46"/>
    <mergeCell ref="D40:E40"/>
    <mergeCell ref="F40:G40"/>
    <mergeCell ref="D21:E21"/>
    <mergeCell ref="F59:G59"/>
    <mergeCell ref="F55:G55"/>
    <mergeCell ref="F12:G12"/>
    <mergeCell ref="F24:G24"/>
    <mergeCell ref="D57:E57"/>
    <mergeCell ref="F51:G51"/>
    <mergeCell ref="D32:E32"/>
    <mergeCell ref="F32:G32"/>
    <mergeCell ref="D41:E41"/>
    <mergeCell ref="F26:G26"/>
    <mergeCell ref="A1:I1"/>
    <mergeCell ref="D38:E38"/>
    <mergeCell ref="F44:G44"/>
    <mergeCell ref="F64:G64"/>
    <mergeCell ref="D63:E63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2:E12"/>
    <mergeCell ref="D25:E25"/>
    <mergeCell ref="D55:E55"/>
    <mergeCell ref="D30:E30"/>
    <mergeCell ref="H4:I4"/>
    <mergeCell ref="B2:I2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F41:G41"/>
    <mergeCell ref="F35:G35"/>
    <mergeCell ref="D16:E16"/>
    <mergeCell ref="F38:G38"/>
    <mergeCell ref="D43:E43"/>
    <mergeCell ref="E3:G3"/>
    <mergeCell ref="D18:E18"/>
    <mergeCell ref="D58:E58"/>
    <mergeCell ref="F58:G58"/>
    <mergeCell ref="F27:G27"/>
    <mergeCell ref="F52:G52"/>
    <mergeCell ref="F17:G17"/>
    <mergeCell ref="F66:G66"/>
    <mergeCell ref="D53:E53"/>
    <mergeCell ref="D47:E47"/>
    <mergeCell ref="F47:G47"/>
    <mergeCell ref="F62:G62"/>
    <mergeCell ref="D37:E37"/>
    <mergeCell ref="F31:G31"/>
    <mergeCell ref="F46:G46"/>
    <mergeCell ref="F28:G28"/>
    <mergeCell ref="B4:D4"/>
    <mergeCell ref="D62:E62"/>
    <mergeCell ref="F13:G13"/>
    <mergeCell ref="D56:E56"/>
    <mergeCell ref="F56:G56"/>
    <mergeCell ref="F43:G43"/>
    <mergeCell ref="D24:E24"/>
    <mergeCell ref="D64:E64"/>
    <mergeCell ref="D33:E33"/>
    <mergeCell ref="D51:E51"/>
    <mergeCell ref="D26:E26"/>
    <mergeCell ref="F57:G57"/>
    <mergeCell ref="D35:E35"/>
    <mergeCell ref="D10:E10"/>
    <mergeCell ref="F10:G10"/>
    <mergeCell ref="F54:G54"/>
    <mergeCell ref="D34:E34"/>
    <mergeCell ref="D19:E19"/>
    <mergeCell ref="F19:G19"/>
    <mergeCell ref="F63:G63"/>
    <mergeCell ref="F34:G34"/>
    <mergeCell ref="F6:G6"/>
    <mergeCell ref="F30:G30"/>
    <mergeCell ref="D11:E11"/>
    <mergeCell ref="D20:E20"/>
    <mergeCell ref="D60:E60"/>
    <mergeCell ref="F29:G29"/>
    <mergeCell ref="F16:G16"/>
    <mergeCell ref="F68:G68"/>
    <mergeCell ref="F25:G25"/>
    <mergeCell ref="C5:G5"/>
    <mergeCell ref="D22:E22"/>
    <mergeCell ref="D36:E36"/>
    <mergeCell ref="D31:E31"/>
    <mergeCell ref="D45:E45"/>
    <mergeCell ref="D6:E6"/>
    <mergeCell ref="F15:G15"/>
    <mergeCell ref="D13:E13"/>
    <mergeCell ref="D61:E61"/>
    <mergeCell ref="D48:E48"/>
    <mergeCell ref="D7:E7"/>
    <mergeCell ref="F23:G23"/>
    <mergeCell ref="F20:G20"/>
    <mergeCell ref="F18:G18"/>
    <mergeCell ref="F33:G33"/>
    <mergeCell ref="F45:G45"/>
    <mergeCell ref="F42:G42"/>
    <mergeCell ref="D66:E66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/>
  <dimension ref="A1:O105"/>
  <sheetViews>
    <sheetView workbookViewId="0">
      <pane ySplit="6" topLeftCell="A61" activePane="bottomLeft" state="frozen"/>
      <selection pane="bottomLeft" activeCell="I68" sqref="I68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8.109375" style="246" customWidth="1"/>
    <col min="6" max="6" width="6.33203125" style="246" customWidth="1"/>
    <col min="7" max="7" width="4.77734375" style="246" customWidth="1"/>
    <col min="8" max="8" width="11.77734375" style="246" customWidth="1"/>
    <col min="9" max="9" width="21.44140625" style="246" customWidth="1"/>
    <col min="10" max="10" width="16" style="246" bestFit="1" customWidth="1"/>
  </cols>
  <sheetData>
    <row r="1" spans="1:15" ht="34.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08" t="s">
        <v>597</v>
      </c>
      <c r="K1" s="108" t="s">
        <v>596</v>
      </c>
      <c r="L1" s="38" t="s">
        <v>515</v>
      </c>
      <c r="M1" s="38" t="s">
        <v>324</v>
      </c>
      <c r="N1" s="1"/>
      <c r="O1" s="1"/>
    </row>
    <row r="2" spans="1:15" ht="34.950000000000003" customHeight="1">
      <c r="A2" s="33" t="s">
        <v>970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971</v>
      </c>
      <c r="C3" s="263"/>
      <c r="D3" s="260"/>
      <c r="E3" s="279" t="s">
        <v>11</v>
      </c>
      <c r="F3" s="263"/>
      <c r="G3" s="260"/>
      <c r="H3" s="268" t="s">
        <v>972</v>
      </c>
      <c r="I3" s="269"/>
      <c r="J3" s="19" t="str">
        <f>B3</f>
        <v xml:space="preserve">Lendormin 0.25mg </v>
      </c>
      <c r="K3" s="34" t="s">
        <v>973</v>
      </c>
      <c r="L3" s="5">
        <f>H7</f>
        <v>510.5</v>
      </c>
      <c r="M3" s="3">
        <f>SUM(C$8:C$1048576)</f>
        <v>1600</v>
      </c>
      <c r="N3" s="3">
        <f>SUM(F:F)</f>
        <v>1972</v>
      </c>
      <c r="O3" s="3">
        <f>L3+M3-N3</f>
        <v>138.5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974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975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4.6" customHeight="1">
      <c r="A7" s="196" t="s">
        <v>29</v>
      </c>
      <c r="B7" s="155" t="s">
        <v>5</v>
      </c>
      <c r="C7" s="155">
        <v>510.5</v>
      </c>
      <c r="D7" s="280"/>
      <c r="E7" s="260"/>
      <c r="F7" s="280"/>
      <c r="G7" s="260"/>
      <c r="H7" s="155">
        <v>510.5</v>
      </c>
      <c r="I7" s="210" t="s">
        <v>571</v>
      </c>
      <c r="J7" s="12"/>
      <c r="K7" s="3"/>
      <c r="L7" s="3"/>
      <c r="M7" s="3"/>
      <c r="N7" s="3"/>
      <c r="O7" s="3"/>
    </row>
    <row r="8" spans="1:15" ht="21" customHeight="1">
      <c r="A8" s="39" t="s">
        <v>29</v>
      </c>
      <c r="B8" s="38" t="s">
        <v>323</v>
      </c>
      <c r="C8" s="9"/>
      <c r="D8" s="279"/>
      <c r="E8" s="260"/>
      <c r="F8" s="279">
        <v>30</v>
      </c>
      <c r="G8" s="260"/>
      <c r="H8" s="38">
        <f t="shared" ref="H8:H20" si="0">H7-F8</f>
        <v>480.5</v>
      </c>
      <c r="I8" s="7"/>
    </row>
    <row r="9" spans="1:15" ht="21" customHeight="1">
      <c r="A9" s="39" t="s">
        <v>521</v>
      </c>
      <c r="B9" s="38" t="s">
        <v>323</v>
      </c>
      <c r="C9" s="9"/>
      <c r="D9" s="279"/>
      <c r="E9" s="260"/>
      <c r="F9" s="279">
        <v>14</v>
      </c>
      <c r="G9" s="260"/>
      <c r="H9" s="38">
        <f t="shared" si="0"/>
        <v>466.5</v>
      </c>
      <c r="I9" s="7" t="s">
        <v>916</v>
      </c>
    </row>
    <row r="10" spans="1:15" ht="21" customHeight="1">
      <c r="A10" s="39" t="s">
        <v>694</v>
      </c>
      <c r="B10" s="38" t="s">
        <v>323</v>
      </c>
      <c r="C10" s="9"/>
      <c r="D10" s="279"/>
      <c r="E10" s="260"/>
      <c r="F10" s="279">
        <v>30</v>
      </c>
      <c r="G10" s="260"/>
      <c r="H10" s="38">
        <f t="shared" si="0"/>
        <v>436.5</v>
      </c>
      <c r="I10" s="7"/>
    </row>
    <row r="11" spans="1:15" ht="21" customHeight="1">
      <c r="A11" s="39" t="s">
        <v>333</v>
      </c>
      <c r="B11" s="38" t="s">
        <v>323</v>
      </c>
      <c r="C11" s="9"/>
      <c r="D11" s="279"/>
      <c r="E11" s="260"/>
      <c r="F11" s="279">
        <v>28</v>
      </c>
      <c r="G11" s="260"/>
      <c r="H11" s="38">
        <f t="shared" si="0"/>
        <v>408.5</v>
      </c>
      <c r="I11" s="7"/>
    </row>
    <row r="12" spans="1:15" ht="21" customHeight="1">
      <c r="A12" s="39" t="s">
        <v>409</v>
      </c>
      <c r="B12" s="38" t="s">
        <v>323</v>
      </c>
      <c r="C12" s="9"/>
      <c r="D12" s="279"/>
      <c r="E12" s="260"/>
      <c r="F12" s="279">
        <v>30</v>
      </c>
      <c r="G12" s="260"/>
      <c r="H12" s="38">
        <f t="shared" si="0"/>
        <v>378.5</v>
      </c>
      <c r="I12" s="7"/>
    </row>
    <row r="13" spans="1:15" ht="21" customHeight="1">
      <c r="A13" s="39" t="s">
        <v>335</v>
      </c>
      <c r="B13" s="38" t="s">
        <v>323</v>
      </c>
      <c r="C13" s="9"/>
      <c r="D13" s="279"/>
      <c r="E13" s="260"/>
      <c r="F13" s="279">
        <v>56</v>
      </c>
      <c r="G13" s="260"/>
      <c r="H13" s="38">
        <f t="shared" si="0"/>
        <v>322.5</v>
      </c>
      <c r="I13" s="7"/>
    </row>
    <row r="14" spans="1:15" ht="21" customHeight="1">
      <c r="A14" s="39" t="s">
        <v>432</v>
      </c>
      <c r="B14" s="38" t="s">
        <v>323</v>
      </c>
      <c r="C14" s="9"/>
      <c r="D14" s="279"/>
      <c r="E14" s="260"/>
      <c r="F14" s="279">
        <v>42</v>
      </c>
      <c r="G14" s="260"/>
      <c r="H14" s="38">
        <f t="shared" si="0"/>
        <v>280.5</v>
      </c>
      <c r="I14" s="7"/>
    </row>
    <row r="15" spans="1:15" ht="21" customHeight="1">
      <c r="A15" s="39" t="s">
        <v>382</v>
      </c>
      <c r="B15" s="38" t="s">
        <v>323</v>
      </c>
      <c r="C15" s="9"/>
      <c r="D15" s="279"/>
      <c r="E15" s="260"/>
      <c r="F15" s="279">
        <v>30</v>
      </c>
      <c r="G15" s="260"/>
      <c r="H15" s="38">
        <f t="shared" si="0"/>
        <v>250.5</v>
      </c>
      <c r="I15" s="7"/>
    </row>
    <row r="16" spans="1:15" ht="21" customHeight="1">
      <c r="A16" s="39" t="s">
        <v>465</v>
      </c>
      <c r="B16" s="38" t="s">
        <v>323</v>
      </c>
      <c r="C16" s="9"/>
      <c r="D16" s="279"/>
      <c r="E16" s="260"/>
      <c r="F16" s="279">
        <v>42</v>
      </c>
      <c r="G16" s="260"/>
      <c r="H16" s="38">
        <f t="shared" si="0"/>
        <v>208.5</v>
      </c>
      <c r="I16" s="109" t="s">
        <v>437</v>
      </c>
    </row>
    <row r="17" spans="1:9" ht="21" customHeight="1">
      <c r="A17" s="39" t="s">
        <v>647</v>
      </c>
      <c r="B17" s="38" t="s">
        <v>323</v>
      </c>
      <c r="C17" s="9"/>
      <c r="D17" s="279"/>
      <c r="E17" s="260"/>
      <c r="F17" s="279">
        <v>30</v>
      </c>
      <c r="G17" s="260"/>
      <c r="H17" s="38">
        <f t="shared" si="0"/>
        <v>178.5</v>
      </c>
      <c r="I17" s="7"/>
    </row>
    <row r="18" spans="1:9" ht="21" customHeight="1">
      <c r="A18" s="39" t="s">
        <v>650</v>
      </c>
      <c r="B18" s="38" t="s">
        <v>323</v>
      </c>
      <c r="C18" s="9"/>
      <c r="D18" s="279"/>
      <c r="E18" s="260"/>
      <c r="F18" s="279">
        <v>47</v>
      </c>
      <c r="G18" s="260"/>
      <c r="H18" s="38">
        <f t="shared" si="0"/>
        <v>131.5</v>
      </c>
      <c r="I18" s="7"/>
    </row>
    <row r="19" spans="1:9" ht="21" customHeight="1">
      <c r="A19" s="39" t="s">
        <v>338</v>
      </c>
      <c r="B19" s="38" t="s">
        <v>323</v>
      </c>
      <c r="C19" s="9"/>
      <c r="D19" s="279"/>
      <c r="E19" s="260"/>
      <c r="F19" s="279">
        <v>30</v>
      </c>
      <c r="G19" s="260"/>
      <c r="H19" s="38">
        <f t="shared" si="0"/>
        <v>101.5</v>
      </c>
      <c r="I19" s="7"/>
    </row>
    <row r="20" spans="1:9" ht="42" customHeight="1">
      <c r="A20" s="39" t="s">
        <v>383</v>
      </c>
      <c r="B20" s="38" t="s">
        <v>323</v>
      </c>
      <c r="C20" s="9"/>
      <c r="D20" s="279"/>
      <c r="E20" s="260"/>
      <c r="F20" s="279">
        <v>28</v>
      </c>
      <c r="G20" s="260"/>
      <c r="H20" s="38">
        <f t="shared" si="0"/>
        <v>73.5</v>
      </c>
      <c r="I20" s="7" t="s">
        <v>437</v>
      </c>
    </row>
    <row r="21" spans="1:9" ht="21" customHeight="1">
      <c r="A21" s="39" t="s">
        <v>473</v>
      </c>
      <c r="B21" s="38" t="s">
        <v>324</v>
      </c>
      <c r="C21" s="9">
        <v>400</v>
      </c>
      <c r="D21" s="279">
        <v>251040</v>
      </c>
      <c r="E21" s="260"/>
      <c r="F21" s="279"/>
      <c r="G21" s="260"/>
      <c r="H21" s="38">
        <v>473.5</v>
      </c>
      <c r="I21" s="7" t="s">
        <v>437</v>
      </c>
    </row>
    <row r="22" spans="1:9" ht="21" customHeight="1">
      <c r="A22" s="39" t="s">
        <v>339</v>
      </c>
      <c r="B22" s="38" t="s">
        <v>323</v>
      </c>
      <c r="C22" s="9"/>
      <c r="D22" s="279"/>
      <c r="E22" s="260"/>
      <c r="F22" s="279">
        <v>56</v>
      </c>
      <c r="G22" s="260"/>
      <c r="H22" s="38">
        <f t="shared" ref="H22:H30" si="1">H21-F22</f>
        <v>417.5</v>
      </c>
      <c r="I22" s="7"/>
    </row>
    <row r="23" spans="1:9" ht="21" customHeight="1">
      <c r="A23" s="39" t="s">
        <v>525</v>
      </c>
      <c r="B23" s="38" t="s">
        <v>323</v>
      </c>
      <c r="C23" s="9"/>
      <c r="D23" s="279"/>
      <c r="E23" s="260"/>
      <c r="F23" s="279">
        <v>30</v>
      </c>
      <c r="G23" s="260"/>
      <c r="H23" s="38">
        <f t="shared" si="1"/>
        <v>387.5</v>
      </c>
      <c r="I23" s="7"/>
    </row>
    <row r="24" spans="1:9" ht="21" customHeight="1">
      <c r="A24" s="39" t="s">
        <v>474</v>
      </c>
      <c r="B24" s="38" t="s">
        <v>323</v>
      </c>
      <c r="C24" s="9"/>
      <c r="D24" s="279"/>
      <c r="E24" s="260"/>
      <c r="F24" s="279">
        <v>35</v>
      </c>
      <c r="G24" s="260"/>
      <c r="H24" s="38">
        <f t="shared" si="1"/>
        <v>352.5</v>
      </c>
      <c r="I24" s="7"/>
    </row>
    <row r="25" spans="1:9" ht="21" customHeight="1">
      <c r="A25" s="39" t="s">
        <v>340</v>
      </c>
      <c r="B25" s="38" t="s">
        <v>323</v>
      </c>
      <c r="C25" s="9"/>
      <c r="D25" s="279"/>
      <c r="E25" s="260"/>
      <c r="F25" s="279">
        <v>30</v>
      </c>
      <c r="G25" s="260"/>
      <c r="H25" s="38">
        <f t="shared" si="1"/>
        <v>322.5</v>
      </c>
      <c r="I25" s="7"/>
    </row>
    <row r="26" spans="1:9" ht="21" customHeight="1">
      <c r="A26" s="39" t="s">
        <v>342</v>
      </c>
      <c r="B26" s="38" t="s">
        <v>323</v>
      </c>
      <c r="C26" s="9"/>
      <c r="D26" s="279"/>
      <c r="E26" s="260"/>
      <c r="F26" s="279">
        <v>86</v>
      </c>
      <c r="G26" s="260"/>
      <c r="H26" s="38">
        <f t="shared" si="1"/>
        <v>236.5</v>
      </c>
      <c r="I26" s="7"/>
    </row>
    <row r="27" spans="1:9" ht="21" customHeight="1">
      <c r="A27" s="39" t="s">
        <v>343</v>
      </c>
      <c r="B27" s="38" t="s">
        <v>323</v>
      </c>
      <c r="C27" s="9"/>
      <c r="D27" s="279"/>
      <c r="E27" s="260"/>
      <c r="F27" s="279">
        <v>42</v>
      </c>
      <c r="G27" s="260"/>
      <c r="H27" s="38">
        <f t="shared" si="1"/>
        <v>194.5</v>
      </c>
      <c r="I27" s="7"/>
    </row>
    <row r="28" spans="1:9" ht="21" customHeight="1">
      <c r="A28" s="39" t="s">
        <v>346</v>
      </c>
      <c r="B28" s="148" t="s">
        <v>323</v>
      </c>
      <c r="C28" s="9"/>
      <c r="D28" s="279"/>
      <c r="E28" s="260"/>
      <c r="F28" s="279">
        <v>60</v>
      </c>
      <c r="G28" s="260"/>
      <c r="H28" s="38">
        <f t="shared" si="1"/>
        <v>134.5</v>
      </c>
      <c r="I28" s="7"/>
    </row>
    <row r="29" spans="1:9" ht="21" customHeight="1">
      <c r="A29" s="39" t="s">
        <v>480</v>
      </c>
      <c r="B29" s="38" t="s">
        <v>323</v>
      </c>
      <c r="C29" s="9"/>
      <c r="D29" s="279"/>
      <c r="E29" s="260"/>
      <c r="F29" s="279">
        <v>30</v>
      </c>
      <c r="G29" s="260"/>
      <c r="H29" s="38">
        <f t="shared" si="1"/>
        <v>104.5</v>
      </c>
      <c r="I29" s="109" t="s">
        <v>437</v>
      </c>
    </row>
    <row r="30" spans="1:9" ht="21" customHeight="1">
      <c r="A30" s="39" t="s">
        <v>530</v>
      </c>
      <c r="B30" s="38" t="s">
        <v>323</v>
      </c>
      <c r="C30" s="9"/>
      <c r="D30" s="279"/>
      <c r="E30" s="260"/>
      <c r="F30" s="279">
        <v>28</v>
      </c>
      <c r="G30" s="260"/>
      <c r="H30" s="38">
        <f t="shared" si="1"/>
        <v>76.5</v>
      </c>
      <c r="I30" s="7"/>
    </row>
    <row r="31" spans="1:9" ht="21" customHeight="1">
      <c r="A31" s="39" t="s">
        <v>349</v>
      </c>
      <c r="B31" s="38" t="s">
        <v>324</v>
      </c>
      <c r="C31" s="9">
        <v>300</v>
      </c>
      <c r="D31" s="279">
        <v>251042</v>
      </c>
      <c r="E31" s="260"/>
      <c r="F31" s="279"/>
      <c r="G31" s="260"/>
      <c r="H31" s="38">
        <v>376.5</v>
      </c>
      <c r="I31" s="109" t="s">
        <v>437</v>
      </c>
    </row>
    <row r="32" spans="1:9" ht="21" customHeight="1">
      <c r="A32" s="39" t="s">
        <v>349</v>
      </c>
      <c r="B32" s="38" t="s">
        <v>323</v>
      </c>
      <c r="C32" s="9"/>
      <c r="D32" s="279"/>
      <c r="E32" s="260"/>
      <c r="F32" s="279">
        <v>56</v>
      </c>
      <c r="G32" s="260"/>
      <c r="H32" s="38">
        <f>H31-F32</f>
        <v>320.5</v>
      </c>
      <c r="I32" s="7"/>
    </row>
    <row r="33" spans="1:9" ht="21" customHeight="1">
      <c r="A33" s="39" t="s">
        <v>350</v>
      </c>
      <c r="B33" s="38" t="s">
        <v>323</v>
      </c>
      <c r="C33" s="9"/>
      <c r="D33" s="279"/>
      <c r="E33" s="260"/>
      <c r="F33" s="279">
        <v>30</v>
      </c>
      <c r="G33" s="260"/>
      <c r="H33" s="38">
        <f>H32-F33</f>
        <v>290.5</v>
      </c>
      <c r="I33" s="7"/>
    </row>
    <row r="34" spans="1:9" ht="21" customHeight="1">
      <c r="A34" s="39" t="s">
        <v>537</v>
      </c>
      <c r="B34" s="38" t="s">
        <v>323</v>
      </c>
      <c r="C34" s="9"/>
      <c r="D34" s="279"/>
      <c r="E34" s="260"/>
      <c r="F34" s="279">
        <v>28</v>
      </c>
      <c r="G34" s="260"/>
      <c r="H34" s="38">
        <f>H33-F34</f>
        <v>262.5</v>
      </c>
      <c r="I34" s="7"/>
    </row>
    <row r="35" spans="1:9" ht="21" customHeight="1">
      <c r="A35" s="39" t="s">
        <v>351</v>
      </c>
      <c r="B35" s="38" t="s">
        <v>324</v>
      </c>
      <c r="C35" s="9">
        <v>300</v>
      </c>
      <c r="D35" s="279">
        <v>251043</v>
      </c>
      <c r="E35" s="260"/>
      <c r="F35" s="279"/>
      <c r="G35" s="260"/>
      <c r="H35" s="38">
        <v>562.5</v>
      </c>
      <c r="I35" s="109" t="s">
        <v>608</v>
      </c>
    </row>
    <row r="36" spans="1:9" ht="21" customHeight="1">
      <c r="A36" s="39" t="s">
        <v>390</v>
      </c>
      <c r="B36" s="38" t="s">
        <v>323</v>
      </c>
      <c r="C36" s="9"/>
      <c r="D36" s="279"/>
      <c r="E36" s="260"/>
      <c r="F36" s="279">
        <v>30</v>
      </c>
      <c r="G36" s="260"/>
      <c r="H36" s="38">
        <f t="shared" ref="H36:H48" si="2">H35-F36</f>
        <v>532.5</v>
      </c>
      <c r="I36" s="7"/>
    </row>
    <row r="37" spans="1:9" ht="21" customHeight="1">
      <c r="A37" s="39" t="s">
        <v>485</v>
      </c>
      <c r="B37" s="38" t="s">
        <v>323</v>
      </c>
      <c r="C37" s="9"/>
      <c r="D37" s="279"/>
      <c r="E37" s="260"/>
      <c r="F37" s="279">
        <v>28</v>
      </c>
      <c r="G37" s="260"/>
      <c r="H37" s="38">
        <f t="shared" si="2"/>
        <v>504.5</v>
      </c>
      <c r="I37" s="7"/>
    </row>
    <row r="38" spans="1:9" ht="21" customHeight="1">
      <c r="A38" s="39" t="s">
        <v>486</v>
      </c>
      <c r="B38" s="38" t="s">
        <v>323</v>
      </c>
      <c r="C38" s="9"/>
      <c r="D38" s="279"/>
      <c r="E38" s="260"/>
      <c r="F38" s="279">
        <v>30</v>
      </c>
      <c r="G38" s="260"/>
      <c r="H38" s="38">
        <f t="shared" si="2"/>
        <v>474.5</v>
      </c>
      <c r="I38" s="7"/>
    </row>
    <row r="39" spans="1:9" ht="21" customHeight="1">
      <c r="A39" s="39" t="s">
        <v>487</v>
      </c>
      <c r="B39" s="38" t="s">
        <v>323</v>
      </c>
      <c r="C39" s="9"/>
      <c r="D39" s="279"/>
      <c r="E39" s="260"/>
      <c r="F39" s="279">
        <v>30</v>
      </c>
      <c r="G39" s="260"/>
      <c r="H39" s="38">
        <f t="shared" si="2"/>
        <v>444.5</v>
      </c>
      <c r="I39" s="7"/>
    </row>
    <row r="40" spans="1:9" ht="21" customHeight="1">
      <c r="A40" s="39" t="s">
        <v>441</v>
      </c>
      <c r="B40" s="38" t="s">
        <v>323</v>
      </c>
      <c r="C40" s="9"/>
      <c r="D40" s="279"/>
      <c r="E40" s="260"/>
      <c r="F40" s="279">
        <v>28</v>
      </c>
      <c r="G40" s="260"/>
      <c r="H40" s="38">
        <f t="shared" si="2"/>
        <v>416.5</v>
      </c>
      <c r="I40" s="35" t="s">
        <v>437</v>
      </c>
    </row>
    <row r="41" spans="1:9" ht="21" customHeight="1">
      <c r="A41" s="39" t="s">
        <v>489</v>
      </c>
      <c r="B41" s="38" t="s">
        <v>323</v>
      </c>
      <c r="C41" s="39"/>
      <c r="D41" s="279"/>
      <c r="E41" s="260"/>
      <c r="F41" s="279">
        <v>30</v>
      </c>
      <c r="G41" s="260"/>
      <c r="H41" s="38">
        <f t="shared" si="2"/>
        <v>386.5</v>
      </c>
      <c r="I41" s="7"/>
    </row>
    <row r="42" spans="1:9" ht="21" customHeight="1">
      <c r="A42" s="39" t="s">
        <v>353</v>
      </c>
      <c r="B42" s="38" t="s">
        <v>323</v>
      </c>
      <c r="C42" s="9"/>
      <c r="D42" s="279"/>
      <c r="E42" s="260"/>
      <c r="F42" s="279">
        <v>56</v>
      </c>
      <c r="G42" s="260"/>
      <c r="H42" s="38">
        <f t="shared" si="2"/>
        <v>330.5</v>
      </c>
      <c r="I42" s="7"/>
    </row>
    <row r="43" spans="1:9" ht="21" customHeight="1">
      <c r="A43" s="39" t="s">
        <v>541</v>
      </c>
      <c r="B43" s="38" t="s">
        <v>323</v>
      </c>
      <c r="C43" s="9"/>
      <c r="D43" s="279"/>
      <c r="E43" s="260"/>
      <c r="F43" s="279">
        <v>42</v>
      </c>
      <c r="G43" s="260"/>
      <c r="H43" s="38">
        <f t="shared" si="2"/>
        <v>288.5</v>
      </c>
      <c r="I43" s="7"/>
    </row>
    <row r="44" spans="1:9" ht="21" customHeight="1">
      <c r="A44" s="39" t="s">
        <v>542</v>
      </c>
      <c r="B44" s="38" t="s">
        <v>323</v>
      </c>
      <c r="C44" s="9"/>
      <c r="D44" s="279"/>
      <c r="E44" s="260"/>
      <c r="F44" s="279">
        <v>30</v>
      </c>
      <c r="G44" s="260"/>
      <c r="H44" s="38">
        <f t="shared" si="2"/>
        <v>258.5</v>
      </c>
      <c r="I44" s="7"/>
    </row>
    <row r="45" spans="1:9" ht="21" customHeight="1">
      <c r="A45" s="39" t="s">
        <v>355</v>
      </c>
      <c r="B45" s="38" t="s">
        <v>323</v>
      </c>
      <c r="C45" s="9"/>
      <c r="D45" s="279"/>
      <c r="E45" s="260"/>
      <c r="F45" s="279">
        <v>14</v>
      </c>
      <c r="G45" s="260"/>
      <c r="H45" s="38">
        <f t="shared" si="2"/>
        <v>244.5</v>
      </c>
      <c r="I45" s="7"/>
    </row>
    <row r="46" spans="1:9" ht="21" customHeight="1">
      <c r="A46" s="39" t="s">
        <v>445</v>
      </c>
      <c r="B46" s="38" t="s">
        <v>323</v>
      </c>
      <c r="C46" s="9"/>
      <c r="D46" s="279"/>
      <c r="E46" s="260"/>
      <c r="F46" s="279">
        <v>58</v>
      </c>
      <c r="G46" s="260"/>
      <c r="H46" s="38">
        <f t="shared" si="2"/>
        <v>186.5</v>
      </c>
      <c r="I46" s="7"/>
    </row>
    <row r="47" spans="1:9" ht="21" customHeight="1">
      <c r="A47" s="39" t="s">
        <v>582</v>
      </c>
      <c r="B47" s="38" t="s">
        <v>323</v>
      </c>
      <c r="C47" s="9"/>
      <c r="D47" s="279"/>
      <c r="E47" s="260"/>
      <c r="F47" s="279">
        <v>30</v>
      </c>
      <c r="G47" s="260"/>
      <c r="H47" s="38">
        <f t="shared" si="2"/>
        <v>156.5</v>
      </c>
      <c r="I47" s="7"/>
    </row>
    <row r="48" spans="1:9" s="158" customFormat="1">
      <c r="A48" s="39" t="s">
        <v>495</v>
      </c>
      <c r="B48" s="38" t="s">
        <v>323</v>
      </c>
      <c r="C48" s="57"/>
      <c r="D48" s="279"/>
      <c r="E48" s="260"/>
      <c r="F48" s="279">
        <v>44</v>
      </c>
      <c r="G48" s="260"/>
      <c r="H48" s="38">
        <f t="shared" si="2"/>
        <v>112.5</v>
      </c>
      <c r="I48" s="38"/>
    </row>
    <row r="49" spans="1:9" ht="21" customHeight="1">
      <c r="A49" s="39" t="s">
        <v>544</v>
      </c>
      <c r="B49" s="38" t="s">
        <v>324</v>
      </c>
      <c r="C49" s="9">
        <v>200</v>
      </c>
      <c r="D49" s="279">
        <v>251434</v>
      </c>
      <c r="E49" s="260"/>
      <c r="F49" s="279"/>
      <c r="G49" s="260"/>
      <c r="H49" s="38">
        <v>312.5</v>
      </c>
      <c r="I49" s="7" t="s">
        <v>437</v>
      </c>
    </row>
    <row r="50" spans="1:9" ht="21" customHeight="1">
      <c r="A50" s="39" t="s">
        <v>544</v>
      </c>
      <c r="B50" s="38" t="s">
        <v>323</v>
      </c>
      <c r="C50" s="9"/>
      <c r="D50" s="279"/>
      <c r="E50" s="260"/>
      <c r="F50" s="279">
        <v>28</v>
      </c>
      <c r="G50" s="260"/>
      <c r="H50" s="38">
        <f>H49-F50</f>
        <v>284.5</v>
      </c>
      <c r="I50" s="7"/>
    </row>
    <row r="51" spans="1:9" ht="21" customHeight="1">
      <c r="A51" s="39" t="s">
        <v>447</v>
      </c>
      <c r="B51" s="38" t="s">
        <v>323</v>
      </c>
      <c r="C51" s="9"/>
      <c r="D51" s="279"/>
      <c r="E51" s="260"/>
      <c r="F51" s="279">
        <v>30</v>
      </c>
      <c r="G51" s="260"/>
      <c r="H51" s="38">
        <f>H50-F51</f>
        <v>254.5</v>
      </c>
      <c r="I51" s="7"/>
    </row>
    <row r="52" spans="1:9" ht="21" customHeight="1">
      <c r="A52" s="39" t="s">
        <v>658</v>
      </c>
      <c r="B52" s="38" t="s">
        <v>323</v>
      </c>
      <c r="C52" s="9"/>
      <c r="D52" s="279"/>
      <c r="E52" s="260"/>
      <c r="F52" s="279">
        <v>28</v>
      </c>
      <c r="G52" s="260"/>
      <c r="H52" s="38">
        <f>H51-F52</f>
        <v>226.5</v>
      </c>
      <c r="I52" s="7"/>
    </row>
    <row r="53" spans="1:9" ht="21" customHeight="1">
      <c r="A53" s="41" t="s">
        <v>547</v>
      </c>
      <c r="B53" s="38" t="s">
        <v>323</v>
      </c>
      <c r="C53" s="9"/>
      <c r="D53" s="279"/>
      <c r="E53" s="260"/>
      <c r="F53" s="279">
        <v>7</v>
      </c>
      <c r="G53" s="260"/>
      <c r="H53" s="38">
        <f>H52-F53</f>
        <v>219.5</v>
      </c>
      <c r="I53" s="7"/>
    </row>
    <row r="54" spans="1:9" ht="21" customHeight="1">
      <c r="A54" s="39" t="s">
        <v>359</v>
      </c>
      <c r="B54" s="38" t="s">
        <v>323</v>
      </c>
      <c r="C54" s="9"/>
      <c r="D54" s="279"/>
      <c r="E54" s="260"/>
      <c r="F54" s="279">
        <v>30</v>
      </c>
      <c r="G54" s="260"/>
      <c r="H54" s="38">
        <f>H53-F54</f>
        <v>189.5</v>
      </c>
      <c r="I54" s="7"/>
    </row>
    <row r="55" spans="1:9">
      <c r="A55" s="237" t="s">
        <v>397</v>
      </c>
      <c r="B55" s="225" t="s">
        <v>324</v>
      </c>
      <c r="C55" s="225">
        <v>200</v>
      </c>
      <c r="D55" s="279">
        <v>251798</v>
      </c>
      <c r="E55" s="260"/>
      <c r="F55" s="279"/>
      <c r="G55" s="260"/>
      <c r="H55" s="38">
        <v>389.5</v>
      </c>
      <c r="I55" s="35" t="s">
        <v>608</v>
      </c>
    </row>
    <row r="56" spans="1:9" ht="21" customHeight="1">
      <c r="A56" s="39" t="s">
        <v>502</v>
      </c>
      <c r="B56" s="38" t="s">
        <v>323</v>
      </c>
      <c r="C56" s="9"/>
      <c r="F56" s="279">
        <v>30</v>
      </c>
      <c r="G56" s="260"/>
      <c r="H56" s="38">
        <f t="shared" ref="H56:H66" si="3">H55-F56</f>
        <v>359.5</v>
      </c>
    </row>
    <row r="57" spans="1:9" ht="21" customHeight="1">
      <c r="A57" s="39" t="s">
        <v>503</v>
      </c>
      <c r="B57" s="38" t="s">
        <v>323</v>
      </c>
      <c r="C57" s="9"/>
      <c r="D57" s="279"/>
      <c r="E57" s="260"/>
      <c r="F57" s="279">
        <v>60</v>
      </c>
      <c r="G57" s="260"/>
      <c r="H57" s="38">
        <f t="shared" si="3"/>
        <v>299.5</v>
      </c>
      <c r="I57" s="7"/>
    </row>
    <row r="58" spans="1:9" ht="21" customHeight="1">
      <c r="A58" s="39" t="s">
        <v>551</v>
      </c>
      <c r="B58" s="38" t="s">
        <v>323</v>
      </c>
      <c r="C58" s="9"/>
      <c r="D58" s="279"/>
      <c r="E58" s="260"/>
      <c r="F58" s="279">
        <v>28</v>
      </c>
      <c r="G58" s="260"/>
      <c r="H58" s="38">
        <f t="shared" si="3"/>
        <v>271.5</v>
      </c>
      <c r="I58" s="7"/>
    </row>
    <row r="59" spans="1:9" ht="21" customHeight="1">
      <c r="A59" s="39" t="s">
        <v>552</v>
      </c>
      <c r="B59" s="38" t="s">
        <v>323</v>
      </c>
      <c r="C59" s="9"/>
      <c r="D59" s="279"/>
      <c r="E59" s="260"/>
      <c r="F59" s="279">
        <v>28</v>
      </c>
      <c r="G59" s="260"/>
      <c r="H59" s="38">
        <f t="shared" si="3"/>
        <v>243.5</v>
      </c>
      <c r="I59" s="7"/>
    </row>
    <row r="60" spans="1:9" ht="21" customHeight="1">
      <c r="A60" s="39" t="s">
        <v>553</v>
      </c>
      <c r="B60" s="38" t="s">
        <v>323</v>
      </c>
      <c r="C60" s="9"/>
      <c r="D60" s="279"/>
      <c r="E60" s="260"/>
      <c r="F60" s="279">
        <v>30</v>
      </c>
      <c r="G60" s="260"/>
      <c r="H60" s="38">
        <f t="shared" si="3"/>
        <v>213.5</v>
      </c>
      <c r="I60" s="7"/>
    </row>
    <row r="61" spans="1:9" ht="21" customHeight="1">
      <c r="A61" s="39" t="s">
        <v>451</v>
      </c>
      <c r="B61" s="38" t="s">
        <v>323</v>
      </c>
      <c r="C61" s="9"/>
      <c r="D61" s="279"/>
      <c r="E61" s="260"/>
      <c r="F61" s="279">
        <v>7</v>
      </c>
      <c r="G61" s="260"/>
      <c r="H61" s="38">
        <f t="shared" si="3"/>
        <v>206.5</v>
      </c>
      <c r="I61" s="7"/>
    </row>
    <row r="62" spans="1:9" ht="21" customHeight="1">
      <c r="A62" s="39" t="s">
        <v>554</v>
      </c>
      <c r="B62" s="38" t="s">
        <v>323</v>
      </c>
      <c r="C62" s="9"/>
      <c r="D62" s="279"/>
      <c r="E62" s="260"/>
      <c r="F62" s="279">
        <v>3</v>
      </c>
      <c r="G62" s="260"/>
      <c r="H62" s="38">
        <f t="shared" si="3"/>
        <v>203.5</v>
      </c>
      <c r="I62" s="7"/>
    </row>
    <row r="63" spans="1:9" ht="21" customHeight="1">
      <c r="A63" s="39" t="s">
        <v>365</v>
      </c>
      <c r="B63" s="38" t="s">
        <v>323</v>
      </c>
      <c r="C63" s="9"/>
      <c r="D63" s="279"/>
      <c r="E63" s="260"/>
      <c r="F63" s="279">
        <v>28</v>
      </c>
      <c r="G63" s="260"/>
      <c r="H63" s="38">
        <f t="shared" si="3"/>
        <v>175.5</v>
      </c>
      <c r="I63" s="7"/>
    </row>
    <row r="64" spans="1:9" ht="21" customHeight="1">
      <c r="A64" s="39" t="s">
        <v>399</v>
      </c>
      <c r="B64" s="38" t="s">
        <v>323</v>
      </c>
      <c r="C64" s="9"/>
      <c r="D64" s="279"/>
      <c r="E64" s="260"/>
      <c r="F64" s="279">
        <v>30</v>
      </c>
      <c r="G64" s="260"/>
      <c r="H64" s="38">
        <f t="shared" si="3"/>
        <v>145.5</v>
      </c>
      <c r="I64" s="7"/>
    </row>
    <row r="65" spans="1:9" ht="21" customHeight="1">
      <c r="A65" s="39" t="s">
        <v>507</v>
      </c>
      <c r="B65" s="38" t="s">
        <v>323</v>
      </c>
      <c r="C65" s="9"/>
      <c r="D65" s="279"/>
      <c r="E65" s="260"/>
      <c r="F65" s="279">
        <v>30</v>
      </c>
      <c r="G65" s="260"/>
      <c r="H65" s="38">
        <f t="shared" si="3"/>
        <v>115.5</v>
      </c>
      <c r="I65" s="7"/>
    </row>
    <row r="66" spans="1:9" ht="21" customHeight="1">
      <c r="A66" s="39" t="s">
        <v>511</v>
      </c>
      <c r="B66" s="38" t="s">
        <v>323</v>
      </c>
      <c r="C66" s="9"/>
      <c r="D66" s="279"/>
      <c r="E66" s="260"/>
      <c r="F66" s="279">
        <v>30</v>
      </c>
      <c r="G66" s="260"/>
      <c r="H66" s="38">
        <f t="shared" si="3"/>
        <v>85.5</v>
      </c>
      <c r="I66" s="109" t="s">
        <v>608</v>
      </c>
    </row>
    <row r="67" spans="1:9" ht="21" customHeight="1">
      <c r="A67" s="39" t="s">
        <v>511</v>
      </c>
      <c r="B67" s="38" t="s">
        <v>324</v>
      </c>
      <c r="C67" s="9">
        <v>200</v>
      </c>
      <c r="D67" s="279">
        <v>251800</v>
      </c>
      <c r="E67" s="260"/>
      <c r="F67" s="279"/>
      <c r="G67" s="260"/>
      <c r="H67" s="38">
        <v>285.5</v>
      </c>
      <c r="I67" s="7" t="s">
        <v>608</v>
      </c>
    </row>
    <row r="68" spans="1:9" ht="21" customHeight="1">
      <c r="A68" s="39" t="s">
        <v>366</v>
      </c>
      <c r="B68" s="38" t="s">
        <v>323</v>
      </c>
      <c r="C68" s="9"/>
      <c r="D68" s="279"/>
      <c r="E68" s="260"/>
      <c r="F68" s="279">
        <v>58</v>
      </c>
      <c r="G68" s="260"/>
      <c r="H68" s="38">
        <f>H67-F68</f>
        <v>227.5</v>
      </c>
      <c r="I68" s="7"/>
    </row>
    <row r="69" spans="1:9" ht="21" customHeight="1">
      <c r="A69" s="39" t="s">
        <v>512</v>
      </c>
      <c r="B69" s="38" t="s">
        <v>323</v>
      </c>
      <c r="C69" s="9"/>
      <c r="D69" s="279"/>
      <c r="E69" s="260"/>
      <c r="F69" s="279">
        <v>3</v>
      </c>
      <c r="G69" s="260"/>
      <c r="H69" s="38">
        <f>H68-F69</f>
        <v>224.5</v>
      </c>
      <c r="I69" s="7"/>
    </row>
    <row r="70" spans="1:9" ht="21" customHeight="1">
      <c r="A70" s="39" t="s">
        <v>369</v>
      </c>
      <c r="B70" s="38" t="s">
        <v>323</v>
      </c>
      <c r="C70" s="9"/>
      <c r="D70" s="279"/>
      <c r="E70" s="260"/>
      <c r="F70" s="279">
        <v>56</v>
      </c>
      <c r="G70" s="260"/>
      <c r="H70" s="38">
        <f>H69-F70</f>
        <v>168.5</v>
      </c>
      <c r="I70" s="7"/>
    </row>
    <row r="71" spans="1:9" ht="21" customHeight="1">
      <c r="A71" s="39" t="s">
        <v>370</v>
      </c>
      <c r="B71" s="38" t="s">
        <v>323</v>
      </c>
      <c r="C71" s="9"/>
      <c r="D71" s="279"/>
      <c r="E71" s="260"/>
      <c r="F71" s="279">
        <v>30</v>
      </c>
      <c r="G71" s="260"/>
      <c r="H71" s="38">
        <f>H70-F71</f>
        <v>138.5</v>
      </c>
      <c r="I71" s="7"/>
    </row>
    <row r="72" spans="1:9" ht="21" customHeight="1">
      <c r="A72" s="39"/>
      <c r="B72" s="38"/>
      <c r="C72" s="9"/>
      <c r="D72" s="279"/>
      <c r="E72" s="260"/>
      <c r="F72" s="279"/>
      <c r="G72" s="260"/>
      <c r="H72" s="38"/>
      <c r="I72" s="7"/>
    </row>
    <row r="73" spans="1:9" ht="21" customHeight="1">
      <c r="A73" s="39"/>
      <c r="B73" s="38"/>
      <c r="C73" s="9"/>
      <c r="D73" s="279"/>
      <c r="E73" s="260"/>
      <c r="F73" s="279"/>
      <c r="G73" s="260"/>
      <c r="H73" s="38"/>
      <c r="I73" s="7"/>
    </row>
    <row r="74" spans="1:9" ht="21" customHeight="1">
      <c r="A74" s="39"/>
      <c r="B74" s="38"/>
      <c r="C74" s="9"/>
      <c r="D74" s="279"/>
      <c r="E74" s="260"/>
      <c r="F74" s="279"/>
      <c r="G74" s="260"/>
      <c r="H74" s="38"/>
      <c r="I74" s="7"/>
    </row>
    <row r="75" spans="1:9" ht="21" customHeight="1">
      <c r="A75" s="39"/>
      <c r="B75" s="38"/>
      <c r="C75" s="9"/>
      <c r="D75" s="279"/>
      <c r="E75" s="260"/>
      <c r="F75" s="279"/>
      <c r="G75" s="260"/>
      <c r="H75" s="38"/>
      <c r="I75" s="7"/>
    </row>
    <row r="76" spans="1:9" ht="21" customHeight="1">
      <c r="A76" s="39"/>
      <c r="B76" s="38"/>
      <c r="C76" s="9"/>
      <c r="D76" s="279"/>
      <c r="E76" s="260"/>
      <c r="F76" s="279"/>
      <c r="G76" s="260"/>
      <c r="H76" s="38"/>
      <c r="I76" s="7"/>
    </row>
    <row r="77" spans="1:9" ht="21" customHeight="1">
      <c r="A77" s="39"/>
      <c r="B77" s="38"/>
      <c r="C77" s="9"/>
      <c r="D77" s="279"/>
      <c r="E77" s="260"/>
      <c r="F77" s="279"/>
      <c r="G77" s="260"/>
      <c r="H77" s="38"/>
      <c r="I77" s="7"/>
    </row>
    <row r="78" spans="1:9" ht="21" customHeight="1">
      <c r="A78" s="39"/>
      <c r="B78" s="38"/>
      <c r="C78" s="9"/>
      <c r="D78" s="279"/>
      <c r="E78" s="260"/>
      <c r="F78" s="279"/>
      <c r="G78" s="260"/>
      <c r="H78" s="38"/>
      <c r="I78" s="7"/>
    </row>
    <row r="79" spans="1:9" ht="21" customHeight="1">
      <c r="A79" s="39"/>
      <c r="B79" s="38"/>
      <c r="C79" s="9"/>
      <c r="D79" s="279"/>
      <c r="E79" s="260"/>
      <c r="F79" s="279"/>
      <c r="G79" s="260"/>
      <c r="H79" s="38"/>
      <c r="I79" s="7"/>
    </row>
    <row r="80" spans="1:9" ht="21" customHeight="1">
      <c r="A80" s="39"/>
      <c r="B80" s="38"/>
      <c r="C80" s="9"/>
      <c r="D80" s="279"/>
      <c r="E80" s="260"/>
      <c r="F80" s="279"/>
      <c r="G80" s="260"/>
      <c r="H80" s="38"/>
      <c r="I80" s="7"/>
    </row>
    <row r="81" spans="1:9" ht="21" customHeight="1">
      <c r="A81" s="39"/>
      <c r="B81" s="38"/>
      <c r="C81" s="9"/>
      <c r="D81" s="279"/>
      <c r="E81" s="260"/>
      <c r="F81" s="279"/>
      <c r="G81" s="260"/>
      <c r="H81" s="38"/>
      <c r="I81" s="7"/>
    </row>
    <row r="82" spans="1:9" ht="21" customHeight="1">
      <c r="A82" s="39"/>
      <c r="B82" s="38"/>
      <c r="C82" s="9"/>
      <c r="D82" s="279"/>
      <c r="E82" s="260"/>
      <c r="F82" s="279"/>
      <c r="G82" s="260"/>
      <c r="H82" s="38"/>
      <c r="I82" s="7"/>
    </row>
    <row r="83" spans="1:9" ht="21" customHeight="1">
      <c r="A83" s="39"/>
      <c r="B83" s="38"/>
      <c r="C83" s="9"/>
      <c r="D83" s="279"/>
      <c r="E83" s="260"/>
      <c r="F83" s="279"/>
      <c r="G83" s="260"/>
      <c r="H83" s="38"/>
      <c r="I83" s="7"/>
    </row>
    <row r="84" spans="1:9" ht="21" customHeight="1">
      <c r="A84" s="39"/>
      <c r="B84" s="38"/>
      <c r="C84" s="9"/>
      <c r="D84" s="279"/>
      <c r="E84" s="260"/>
      <c r="F84" s="279"/>
      <c r="G84" s="260"/>
      <c r="H84" s="38"/>
      <c r="I84" s="7"/>
    </row>
    <row r="85" spans="1:9" ht="21" customHeight="1">
      <c r="A85" s="39"/>
      <c r="B85" s="38"/>
      <c r="C85" s="9"/>
      <c r="D85" s="279"/>
      <c r="E85" s="260"/>
      <c r="F85" s="279"/>
      <c r="G85" s="260"/>
      <c r="H85" s="38"/>
      <c r="I85" s="7"/>
    </row>
    <row r="86" spans="1:9" ht="21" customHeight="1">
      <c r="A86" s="39"/>
      <c r="B86" s="38"/>
      <c r="C86" s="9"/>
      <c r="D86" s="279"/>
      <c r="E86" s="260"/>
      <c r="F86" s="279"/>
      <c r="G86" s="260"/>
      <c r="H86" s="38"/>
      <c r="I86" s="7"/>
    </row>
    <row r="87" spans="1:9" ht="21" customHeight="1">
      <c r="A87" s="39"/>
      <c r="B87" s="38"/>
      <c r="C87" s="9"/>
      <c r="D87" s="279"/>
      <c r="E87" s="260"/>
      <c r="F87" s="279"/>
      <c r="G87" s="260"/>
      <c r="H87" s="38"/>
      <c r="I87" s="7"/>
    </row>
    <row r="88" spans="1:9" ht="21" customHeight="1">
      <c r="A88" s="39"/>
      <c r="B88" s="38"/>
      <c r="C88" s="9"/>
      <c r="D88" s="279"/>
      <c r="E88" s="260"/>
      <c r="F88" s="279"/>
      <c r="G88" s="260"/>
      <c r="H88" s="38"/>
      <c r="I88" s="7"/>
    </row>
    <row r="89" spans="1:9" ht="21" customHeight="1">
      <c r="A89" s="39"/>
      <c r="B89" s="38"/>
      <c r="C89" s="9"/>
      <c r="D89" s="279"/>
      <c r="E89" s="260"/>
      <c r="F89" s="279"/>
      <c r="G89" s="260"/>
      <c r="H89" s="38"/>
      <c r="I89" s="7"/>
    </row>
    <row r="90" spans="1:9" ht="21" customHeight="1">
      <c r="A90" s="39"/>
      <c r="B90" s="38"/>
      <c r="C90" s="9"/>
      <c r="D90" s="279"/>
      <c r="E90" s="260"/>
      <c r="F90" s="279"/>
      <c r="G90" s="260"/>
      <c r="H90" s="38"/>
      <c r="I90" s="7"/>
    </row>
    <row r="91" spans="1:9" ht="21" customHeight="1">
      <c r="A91" s="39"/>
      <c r="B91" s="38"/>
      <c r="C91" s="9"/>
      <c r="D91" s="279"/>
      <c r="E91" s="260"/>
      <c r="F91" s="279"/>
      <c r="G91" s="260"/>
      <c r="H91" s="38"/>
      <c r="I91" s="7"/>
    </row>
    <row r="92" spans="1:9" ht="21" customHeight="1">
      <c r="A92" s="39"/>
      <c r="B92" s="38"/>
      <c r="C92" s="9"/>
      <c r="D92" s="279"/>
      <c r="E92" s="260"/>
      <c r="F92" s="279"/>
      <c r="G92" s="260"/>
      <c r="H92" s="38"/>
      <c r="I92" s="7"/>
    </row>
    <row r="93" spans="1:9" ht="21" customHeight="1">
      <c r="A93" s="39"/>
      <c r="B93" s="38"/>
      <c r="C93" s="9"/>
      <c r="D93" s="279"/>
      <c r="E93" s="260"/>
      <c r="F93" s="279"/>
      <c r="G93" s="260"/>
      <c r="H93" s="38"/>
      <c r="I93" s="7"/>
    </row>
    <row r="94" spans="1:9" ht="21" customHeight="1">
      <c r="A94" s="39"/>
      <c r="B94" s="38"/>
      <c r="C94" s="9"/>
      <c r="D94" s="279"/>
      <c r="E94" s="260"/>
      <c r="F94" s="279"/>
      <c r="G94" s="260"/>
      <c r="H94" s="38"/>
      <c r="I94" s="7"/>
    </row>
    <row r="95" spans="1:9" ht="21" customHeight="1">
      <c r="A95" s="39"/>
      <c r="B95" s="38"/>
      <c r="C95" s="9"/>
      <c r="D95" s="279"/>
      <c r="E95" s="260"/>
      <c r="F95" s="279"/>
      <c r="G95" s="260"/>
      <c r="H95" s="38"/>
      <c r="I95" s="7"/>
    </row>
    <row r="96" spans="1:9" ht="21" customHeight="1">
      <c r="A96" s="39"/>
      <c r="B96" s="38"/>
      <c r="C96" s="9"/>
      <c r="D96" s="279"/>
      <c r="E96" s="260"/>
      <c r="F96" s="279"/>
      <c r="G96" s="260"/>
      <c r="H96" s="38"/>
      <c r="I96" s="7"/>
    </row>
    <row r="97" spans="1:9" ht="21" customHeight="1">
      <c r="A97" s="39"/>
      <c r="B97" s="38"/>
      <c r="C97" s="9"/>
      <c r="D97" s="279"/>
      <c r="E97" s="260"/>
      <c r="F97" s="279"/>
      <c r="G97" s="260"/>
      <c r="H97" s="38"/>
      <c r="I97" s="7"/>
    </row>
    <row r="98" spans="1:9" ht="21" customHeight="1">
      <c r="A98" s="39"/>
      <c r="B98" s="38"/>
      <c r="C98" s="9"/>
      <c r="D98" s="279"/>
      <c r="E98" s="260"/>
      <c r="F98" s="279"/>
      <c r="G98" s="260"/>
      <c r="H98" s="38"/>
      <c r="I98" s="7"/>
    </row>
    <row r="99" spans="1:9" ht="21" customHeight="1">
      <c r="A99" s="39"/>
      <c r="B99" s="38"/>
      <c r="C99" s="9"/>
      <c r="D99" s="279"/>
      <c r="E99" s="260"/>
      <c r="F99" s="279"/>
      <c r="G99" s="260"/>
      <c r="H99" s="38"/>
      <c r="I99" s="7"/>
    </row>
    <row r="100" spans="1:9" ht="21" customHeight="1">
      <c r="A100" s="39"/>
      <c r="B100" s="38"/>
      <c r="C100" s="9"/>
      <c r="D100" s="279"/>
      <c r="E100" s="260"/>
      <c r="F100" s="279"/>
      <c r="G100" s="260"/>
      <c r="H100" s="38"/>
      <c r="I100" s="7"/>
    </row>
    <row r="101" spans="1:9" ht="21" customHeight="1">
      <c r="A101" s="39"/>
      <c r="B101" s="38"/>
      <c r="C101" s="9"/>
      <c r="D101" s="279"/>
      <c r="E101" s="260"/>
      <c r="F101" s="279"/>
      <c r="G101" s="260"/>
      <c r="H101" s="38"/>
      <c r="I101" s="7"/>
    </row>
    <row r="102" spans="1:9" ht="21" customHeight="1">
      <c r="A102" s="39"/>
      <c r="B102" s="38"/>
      <c r="C102" s="9"/>
      <c r="D102" s="279"/>
      <c r="E102" s="260"/>
      <c r="F102" s="279"/>
      <c r="G102" s="260"/>
      <c r="H102" s="38"/>
      <c r="I102" s="7"/>
    </row>
    <row r="103" spans="1:9" ht="21" customHeight="1">
      <c r="A103" s="39"/>
      <c r="B103" s="38"/>
      <c r="C103" s="9"/>
      <c r="D103" s="279"/>
      <c r="E103" s="260"/>
      <c r="F103" s="279"/>
      <c r="G103" s="260"/>
      <c r="H103" s="38"/>
      <c r="I103" s="7"/>
    </row>
    <row r="104" spans="1:9" ht="21" customHeight="1">
      <c r="A104" s="39"/>
      <c r="B104" s="38"/>
      <c r="C104" s="9"/>
      <c r="D104" s="279"/>
      <c r="E104" s="260"/>
      <c r="F104" s="279"/>
      <c r="G104" s="260"/>
      <c r="H104" s="38"/>
      <c r="I104" s="7"/>
    </row>
    <row r="105" spans="1:9" ht="21" customHeight="1">
      <c r="A105" s="39"/>
      <c r="B105" s="38"/>
      <c r="C105" s="9"/>
      <c r="D105" s="279"/>
      <c r="E105" s="260"/>
      <c r="F105" s="279"/>
      <c r="G105" s="260"/>
      <c r="H105" s="38"/>
      <c r="I105" s="7"/>
    </row>
  </sheetData>
  <mergeCells count="209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104:E104"/>
    <mergeCell ref="F104:G104"/>
    <mergeCell ref="D57:E57"/>
    <mergeCell ref="F51:G51"/>
    <mergeCell ref="B2:I2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18:E18"/>
    <mergeCell ref="D58:E58"/>
    <mergeCell ref="F58:G58"/>
    <mergeCell ref="F27:G27"/>
    <mergeCell ref="F52:G52"/>
    <mergeCell ref="H4:I4"/>
    <mergeCell ref="D80:E80"/>
    <mergeCell ref="F40:G40"/>
    <mergeCell ref="D21:E21"/>
    <mergeCell ref="F59:G59"/>
    <mergeCell ref="F55:G55"/>
    <mergeCell ref="D95:E95"/>
    <mergeCell ref="F24:G24"/>
    <mergeCell ref="F12:G12"/>
    <mergeCell ref="F95:G95"/>
    <mergeCell ref="F67:G67"/>
    <mergeCell ref="D8:E8"/>
    <mergeCell ref="F37:G37"/>
    <mergeCell ref="D105:E105"/>
    <mergeCell ref="F21:G21"/>
    <mergeCell ref="D52:E52"/>
    <mergeCell ref="F53:G53"/>
    <mergeCell ref="D49:E49"/>
    <mergeCell ref="D27:E27"/>
    <mergeCell ref="F36:G36"/>
    <mergeCell ref="F50:G50"/>
    <mergeCell ref="F101:G101"/>
    <mergeCell ref="D91:E91"/>
    <mergeCell ref="F91:G91"/>
    <mergeCell ref="F100:G100"/>
    <mergeCell ref="D28:E28"/>
    <mergeCell ref="D93:E93"/>
    <mergeCell ref="F22:G22"/>
    <mergeCell ref="F93:G93"/>
    <mergeCell ref="D102:E102"/>
    <mergeCell ref="F102:G102"/>
    <mergeCell ref="D25:E25"/>
    <mergeCell ref="D83:E83"/>
    <mergeCell ref="F77:G77"/>
    <mergeCell ref="D92:E92"/>
    <mergeCell ref="D55:E55"/>
    <mergeCell ref="D30:E30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D17:E17"/>
    <mergeCell ref="F8:G8"/>
    <mergeCell ref="A5:B5"/>
    <mergeCell ref="D12:E12"/>
    <mergeCell ref="D67:E67"/>
    <mergeCell ref="F49:G49"/>
    <mergeCell ref="D14:E14"/>
    <mergeCell ref="D85:E85"/>
    <mergeCell ref="F14:G14"/>
    <mergeCell ref="D54:E54"/>
    <mergeCell ref="E4:G4"/>
    <mergeCell ref="D69:E69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92:G92"/>
    <mergeCell ref="D94:E94"/>
    <mergeCell ref="F11:G11"/>
    <mergeCell ref="F69:G69"/>
    <mergeCell ref="F78:G78"/>
    <mergeCell ref="F65:G65"/>
    <mergeCell ref="D46:E46"/>
    <mergeCell ref="D40:E40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66:G66"/>
    <mergeCell ref="F17:G17"/>
    <mergeCell ref="D75:E75"/>
    <mergeCell ref="D53:E53"/>
    <mergeCell ref="F75:G75"/>
    <mergeCell ref="D47:E47"/>
    <mergeCell ref="F47:G47"/>
    <mergeCell ref="F62:G62"/>
    <mergeCell ref="F96:G96"/>
    <mergeCell ref="F56:G56"/>
    <mergeCell ref="F71:G71"/>
    <mergeCell ref="F105:G105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D90:E90"/>
    <mergeCell ref="F63:G63"/>
    <mergeCell ref="F34:G34"/>
    <mergeCell ref="D99:E99"/>
    <mergeCell ref="F99:G99"/>
    <mergeCell ref="D48:E48"/>
    <mergeCell ref="F79:G79"/>
    <mergeCell ref="F70:G70"/>
    <mergeCell ref="D7:E7"/>
    <mergeCell ref="D72:E72"/>
    <mergeCell ref="D78:E78"/>
    <mergeCell ref="F72:G72"/>
    <mergeCell ref="B4:D4"/>
    <mergeCell ref="F81:G81"/>
    <mergeCell ref="F23:G23"/>
    <mergeCell ref="D62:E62"/>
    <mergeCell ref="F13:G13"/>
    <mergeCell ref="D71:E71"/>
    <mergeCell ref="D10:E10"/>
    <mergeCell ref="F10:G10"/>
    <mergeCell ref="D19:E19"/>
    <mergeCell ref="F19:G19"/>
    <mergeCell ref="F6:G6"/>
    <mergeCell ref="F74:G74"/>
    <mergeCell ref="D20:E20"/>
    <mergeCell ref="D60:E60"/>
    <mergeCell ref="D100:E100"/>
    <mergeCell ref="F29:G29"/>
    <mergeCell ref="F16:G16"/>
    <mergeCell ref="F68:G68"/>
    <mergeCell ref="F25:G25"/>
    <mergeCell ref="F103:G103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/>
  <dimension ref="A1:O53"/>
  <sheetViews>
    <sheetView workbookViewId="0">
      <pane ySplit="6" topLeftCell="A37" activePane="bottomLeft" state="frozen"/>
      <selection pane="bottomLeft" activeCell="J45" sqref="J45"/>
    </sheetView>
  </sheetViews>
  <sheetFormatPr defaultColWidth="8.77734375" defaultRowHeight="16.2"/>
  <cols>
    <col min="1" max="1" width="12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11.44140625" style="246" customWidth="1"/>
    <col min="6" max="7" width="7.109375" style="246" customWidth="1"/>
    <col min="8" max="8" width="12.109375" style="246" customWidth="1"/>
    <col min="9" max="9" width="19.109375" style="246" customWidth="1"/>
    <col min="10" max="10" width="16" style="246" bestFit="1" customWidth="1"/>
    <col min="15" max="15" width="9.44140625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89" t="s">
        <v>158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976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Kinax 0.5mg</v>
      </c>
      <c r="K3" s="34" t="s">
        <v>977</v>
      </c>
      <c r="L3" s="5">
        <f>H7</f>
        <v>2620</v>
      </c>
      <c r="M3" s="3">
        <f>SUM(C$8:C$1048576)</f>
        <v>0</v>
      </c>
      <c r="N3" s="3">
        <f>SUM(F:F)</f>
        <v>1764.5</v>
      </c>
      <c r="O3" s="3">
        <f>L3+M3-N3</f>
        <v>855.5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978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979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2620</v>
      </c>
      <c r="D7" s="279"/>
      <c r="E7" s="260"/>
      <c r="F7" s="279"/>
      <c r="G7" s="260"/>
      <c r="H7" s="38">
        <v>2620</v>
      </c>
      <c r="I7" s="37" t="s">
        <v>706</v>
      </c>
      <c r="J7" s="12"/>
      <c r="K7" s="3"/>
      <c r="L7" s="3"/>
      <c r="M7" s="3"/>
      <c r="N7" s="3"/>
      <c r="O7" s="3"/>
    </row>
    <row r="8" spans="1:15" ht="21" customHeight="1">
      <c r="A8" s="39" t="s">
        <v>334</v>
      </c>
      <c r="B8" s="38" t="s">
        <v>323</v>
      </c>
      <c r="C8" s="38"/>
      <c r="D8" s="279"/>
      <c r="E8" s="260"/>
      <c r="F8" s="279">
        <v>76</v>
      </c>
      <c r="G8" s="260"/>
      <c r="H8" s="38">
        <f t="shared" ref="H8:H47" si="0">H7-F8</f>
        <v>2544</v>
      </c>
      <c r="I8" s="7"/>
    </row>
    <row r="9" spans="1:15" ht="21" customHeight="1">
      <c r="A9" s="39" t="s">
        <v>409</v>
      </c>
      <c r="B9" s="38" t="s">
        <v>323</v>
      </c>
      <c r="C9" s="38"/>
      <c r="D9" s="279"/>
      <c r="E9" s="260"/>
      <c r="F9" s="279">
        <v>50</v>
      </c>
      <c r="G9" s="260"/>
      <c r="H9" s="38">
        <f t="shared" si="0"/>
        <v>2494</v>
      </c>
      <c r="I9" s="7"/>
    </row>
    <row r="10" spans="1:15" ht="21" customHeight="1">
      <c r="A10" s="39" t="s">
        <v>432</v>
      </c>
      <c r="B10" s="38" t="s">
        <v>323</v>
      </c>
      <c r="C10" s="38"/>
      <c r="D10" s="279"/>
      <c r="E10" s="260"/>
      <c r="F10" s="279">
        <v>14</v>
      </c>
      <c r="G10" s="260"/>
      <c r="H10" s="38">
        <f t="shared" si="0"/>
        <v>2480</v>
      </c>
      <c r="I10" s="7"/>
    </row>
    <row r="11" spans="1:15" ht="21" customHeight="1">
      <c r="A11" s="39" t="s">
        <v>465</v>
      </c>
      <c r="B11" s="38" t="s">
        <v>323</v>
      </c>
      <c r="C11" s="38"/>
      <c r="D11" s="279"/>
      <c r="E11" s="260"/>
      <c r="F11" s="279">
        <v>60</v>
      </c>
      <c r="G11" s="260"/>
      <c r="H11" s="38">
        <f t="shared" si="0"/>
        <v>2420</v>
      </c>
      <c r="I11" s="7"/>
    </row>
    <row r="12" spans="1:15" ht="21" customHeight="1">
      <c r="A12" s="39" t="s">
        <v>469</v>
      </c>
      <c r="B12" s="38" t="s">
        <v>323</v>
      </c>
      <c r="C12" s="38"/>
      <c r="D12" s="279"/>
      <c r="E12" s="260"/>
      <c r="F12" s="279">
        <v>44</v>
      </c>
      <c r="G12" s="260"/>
      <c r="H12" s="38">
        <f t="shared" si="0"/>
        <v>2376</v>
      </c>
      <c r="I12" s="7"/>
    </row>
    <row r="13" spans="1:15" ht="21" customHeight="1">
      <c r="A13" s="39" t="s">
        <v>762</v>
      </c>
      <c r="B13" s="38" t="s">
        <v>323</v>
      </c>
      <c r="C13" s="38"/>
      <c r="D13" s="279"/>
      <c r="E13" s="260"/>
      <c r="F13" s="279">
        <v>28</v>
      </c>
      <c r="G13" s="260"/>
      <c r="H13" s="38">
        <f t="shared" si="0"/>
        <v>2348</v>
      </c>
      <c r="I13" s="7"/>
    </row>
    <row r="14" spans="1:15" ht="21" customHeight="1">
      <c r="A14" s="39" t="s">
        <v>650</v>
      </c>
      <c r="B14" s="38" t="s">
        <v>323</v>
      </c>
      <c r="C14" s="38"/>
      <c r="D14" s="279"/>
      <c r="E14" s="260"/>
      <c r="F14" s="279">
        <v>30</v>
      </c>
      <c r="G14" s="260"/>
      <c r="H14" s="38">
        <f t="shared" si="0"/>
        <v>2318</v>
      </c>
      <c r="I14" s="7"/>
    </row>
    <row r="15" spans="1:15" ht="21" customHeight="1">
      <c r="A15" s="39" t="s">
        <v>339</v>
      </c>
      <c r="B15" s="38" t="s">
        <v>323</v>
      </c>
      <c r="C15" s="38"/>
      <c r="D15" s="279"/>
      <c r="E15" s="260"/>
      <c r="F15" s="279">
        <v>30</v>
      </c>
      <c r="G15" s="260"/>
      <c r="H15" s="38">
        <f t="shared" si="0"/>
        <v>2288</v>
      </c>
      <c r="I15" s="7"/>
    </row>
    <row r="16" spans="1:15" ht="21" customHeight="1">
      <c r="A16" s="39" t="s">
        <v>412</v>
      </c>
      <c r="B16" s="38" t="s">
        <v>323</v>
      </c>
      <c r="C16" s="38"/>
      <c r="D16" s="279"/>
      <c r="E16" s="260"/>
      <c r="F16" s="279">
        <v>14</v>
      </c>
      <c r="G16" s="260"/>
      <c r="H16" s="38">
        <f t="shared" si="0"/>
        <v>2274</v>
      </c>
      <c r="I16" s="7" t="s">
        <v>980</v>
      </c>
    </row>
    <row r="17" spans="1:9" ht="21" customHeight="1">
      <c r="A17" s="39" t="s">
        <v>652</v>
      </c>
      <c r="B17" s="38" t="s">
        <v>323</v>
      </c>
      <c r="C17" s="38"/>
      <c r="D17" s="279"/>
      <c r="E17" s="260"/>
      <c r="F17" s="279">
        <v>60</v>
      </c>
      <c r="G17" s="260"/>
      <c r="H17" s="38">
        <f t="shared" si="0"/>
        <v>2214</v>
      </c>
      <c r="I17" s="7"/>
    </row>
    <row r="18" spans="1:9" ht="21" customHeight="1">
      <c r="A18" s="39" t="s">
        <v>477</v>
      </c>
      <c r="B18" s="148" t="s">
        <v>323</v>
      </c>
      <c r="C18" s="38"/>
      <c r="D18" s="279"/>
      <c r="E18" s="260"/>
      <c r="F18" s="279">
        <v>58</v>
      </c>
      <c r="G18" s="260"/>
      <c r="H18" s="38">
        <f t="shared" si="0"/>
        <v>2156</v>
      </c>
      <c r="I18" s="7"/>
    </row>
    <row r="19" spans="1:9" ht="21" customHeight="1">
      <c r="A19" s="39" t="s">
        <v>386</v>
      </c>
      <c r="B19" s="148" t="s">
        <v>323</v>
      </c>
      <c r="C19" s="38"/>
      <c r="D19" s="279"/>
      <c r="E19" s="260"/>
      <c r="F19" s="279">
        <v>28</v>
      </c>
      <c r="G19" s="260"/>
      <c r="H19" s="38">
        <f t="shared" si="0"/>
        <v>2128</v>
      </c>
      <c r="I19" s="7"/>
    </row>
    <row r="20" spans="1:9" ht="21" customHeight="1">
      <c r="A20" s="39" t="s">
        <v>655</v>
      </c>
      <c r="B20" s="38" t="s">
        <v>323</v>
      </c>
      <c r="C20" s="38"/>
      <c r="D20" s="279"/>
      <c r="E20" s="260"/>
      <c r="F20" s="280">
        <v>3.5</v>
      </c>
      <c r="G20" s="260"/>
      <c r="H20" s="38">
        <f t="shared" si="0"/>
        <v>2124.5</v>
      </c>
      <c r="I20" s="7"/>
    </row>
    <row r="21" spans="1:9" ht="21" customHeight="1">
      <c r="A21" s="39" t="s">
        <v>478</v>
      </c>
      <c r="B21" s="38" t="s">
        <v>323</v>
      </c>
      <c r="C21" s="38"/>
      <c r="D21" s="279"/>
      <c r="E21" s="260"/>
      <c r="F21" s="279">
        <v>30</v>
      </c>
      <c r="G21" s="260"/>
      <c r="H21" s="38">
        <f t="shared" si="0"/>
        <v>2094.5</v>
      </c>
      <c r="I21" s="7"/>
    </row>
    <row r="22" spans="1:9" ht="21" customHeight="1">
      <c r="A22" s="39" t="s">
        <v>346</v>
      </c>
      <c r="B22" s="38" t="s">
        <v>323</v>
      </c>
      <c r="C22" s="38"/>
      <c r="D22" s="279"/>
      <c r="E22" s="260"/>
      <c r="F22" s="279">
        <v>90</v>
      </c>
      <c r="G22" s="260"/>
      <c r="H22" s="38">
        <f t="shared" si="0"/>
        <v>2004.5</v>
      </c>
      <c r="I22" s="7"/>
    </row>
    <row r="23" spans="1:9" ht="21" customHeight="1">
      <c r="A23" s="39" t="s">
        <v>527</v>
      </c>
      <c r="B23" s="38" t="s">
        <v>323</v>
      </c>
      <c r="C23" s="38"/>
      <c r="D23" s="279"/>
      <c r="E23" s="260"/>
      <c r="F23" s="279">
        <v>30</v>
      </c>
      <c r="G23" s="260"/>
      <c r="H23" s="38">
        <f t="shared" si="0"/>
        <v>1974.5</v>
      </c>
      <c r="I23" s="7"/>
    </row>
    <row r="24" spans="1:9" ht="21" customHeight="1">
      <c r="A24" s="39" t="s">
        <v>634</v>
      </c>
      <c r="B24" s="38" t="s">
        <v>323</v>
      </c>
      <c r="C24" s="38"/>
      <c r="D24" s="279"/>
      <c r="E24" s="260"/>
      <c r="F24" s="279">
        <v>60</v>
      </c>
      <c r="G24" s="260"/>
      <c r="H24" s="38">
        <f t="shared" si="0"/>
        <v>1914.5</v>
      </c>
      <c r="I24" s="7" t="s">
        <v>980</v>
      </c>
    </row>
    <row r="25" spans="1:9" ht="21" customHeight="1">
      <c r="A25" s="39" t="s">
        <v>348</v>
      </c>
      <c r="B25" s="38" t="s">
        <v>323</v>
      </c>
      <c r="C25" s="38"/>
      <c r="D25" s="279"/>
      <c r="E25" s="260"/>
      <c r="F25" s="279">
        <v>28</v>
      </c>
      <c r="G25" s="260"/>
      <c r="H25" s="38">
        <f t="shared" si="0"/>
        <v>1886.5</v>
      </c>
      <c r="I25" s="7"/>
    </row>
    <row r="26" spans="1:9" ht="21" customHeight="1">
      <c r="A26" s="39" t="s">
        <v>531</v>
      </c>
      <c r="B26" s="38" t="s">
        <v>323</v>
      </c>
      <c r="C26" s="38"/>
      <c r="D26" s="279"/>
      <c r="E26" s="260"/>
      <c r="F26" s="279">
        <v>102</v>
      </c>
      <c r="G26" s="260"/>
      <c r="H26" s="38">
        <f t="shared" si="0"/>
        <v>1784.5</v>
      </c>
      <c r="I26" s="7"/>
    </row>
    <row r="27" spans="1:9" ht="21" customHeight="1">
      <c r="A27" s="39" t="s">
        <v>389</v>
      </c>
      <c r="B27" s="38" t="s">
        <v>323</v>
      </c>
      <c r="C27" s="38"/>
      <c r="D27" s="279"/>
      <c r="E27" s="260"/>
      <c r="F27" s="279">
        <v>30</v>
      </c>
      <c r="G27" s="260"/>
      <c r="H27" s="38">
        <f t="shared" si="0"/>
        <v>1754.5</v>
      </c>
      <c r="I27" s="7"/>
    </row>
    <row r="28" spans="1:9" ht="21" customHeight="1">
      <c r="A28" s="39" t="s">
        <v>352</v>
      </c>
      <c r="B28" s="38" t="s">
        <v>323</v>
      </c>
      <c r="C28" s="38"/>
      <c r="D28" s="279"/>
      <c r="E28" s="260"/>
      <c r="F28" s="279">
        <v>28</v>
      </c>
      <c r="G28" s="260"/>
      <c r="H28" s="38">
        <f t="shared" si="0"/>
        <v>1726.5</v>
      </c>
      <c r="I28" s="7"/>
    </row>
    <row r="29" spans="1:9" ht="21" customHeight="1">
      <c r="A29" s="39" t="s">
        <v>489</v>
      </c>
      <c r="B29" s="38" t="s">
        <v>323</v>
      </c>
      <c r="C29" s="38"/>
      <c r="D29" s="279"/>
      <c r="E29" s="260"/>
      <c r="F29" s="279">
        <v>60</v>
      </c>
      <c r="G29" s="260"/>
      <c r="H29" s="38">
        <f t="shared" si="0"/>
        <v>1666.5</v>
      </c>
      <c r="I29" s="7"/>
    </row>
    <row r="30" spans="1:9" ht="21" customHeight="1">
      <c r="A30" s="39" t="s">
        <v>391</v>
      </c>
      <c r="B30" s="38" t="s">
        <v>323</v>
      </c>
      <c r="C30" s="38"/>
      <c r="D30" s="279"/>
      <c r="E30" s="260"/>
      <c r="F30" s="279">
        <v>44</v>
      </c>
      <c r="G30" s="260"/>
      <c r="H30" s="38">
        <f t="shared" si="0"/>
        <v>1622.5</v>
      </c>
      <c r="I30" s="7"/>
    </row>
    <row r="31" spans="1:9" ht="21" customHeight="1">
      <c r="A31" s="39" t="s">
        <v>355</v>
      </c>
      <c r="B31" s="38" t="s">
        <v>323</v>
      </c>
      <c r="C31" s="38"/>
      <c r="D31" s="279"/>
      <c r="E31" s="260"/>
      <c r="F31" s="279">
        <v>62</v>
      </c>
      <c r="G31" s="260"/>
      <c r="H31" s="38">
        <f t="shared" si="0"/>
        <v>1560.5</v>
      </c>
      <c r="I31" s="7"/>
    </row>
    <row r="32" spans="1:9" ht="21" customHeight="1">
      <c r="A32" s="232" t="s">
        <v>444</v>
      </c>
      <c r="B32" s="38" t="s">
        <v>323</v>
      </c>
      <c r="C32" s="38"/>
      <c r="D32" s="279"/>
      <c r="E32" s="260"/>
      <c r="F32" s="279">
        <v>30</v>
      </c>
      <c r="G32" s="260"/>
      <c r="H32" s="38">
        <f t="shared" si="0"/>
        <v>1530.5</v>
      </c>
      <c r="I32" s="7"/>
    </row>
    <row r="33" spans="1:9" ht="21" customHeight="1">
      <c r="A33" s="232" t="s">
        <v>446</v>
      </c>
      <c r="B33" s="38" t="s">
        <v>323</v>
      </c>
      <c r="C33" s="38"/>
      <c r="D33" s="279"/>
      <c r="E33" s="260"/>
      <c r="F33" s="279">
        <v>28</v>
      </c>
      <c r="G33" s="260"/>
      <c r="H33" s="231">
        <f t="shared" si="0"/>
        <v>1502.5</v>
      </c>
      <c r="I33" s="11"/>
    </row>
    <row r="34" spans="1:9" ht="21" customHeight="1">
      <c r="A34" s="39" t="s">
        <v>544</v>
      </c>
      <c r="B34" s="38" t="s">
        <v>323</v>
      </c>
      <c r="C34" s="38"/>
      <c r="D34" s="279"/>
      <c r="E34" s="260"/>
      <c r="F34" s="279">
        <v>28</v>
      </c>
      <c r="G34" s="260"/>
      <c r="H34" s="231">
        <f t="shared" si="0"/>
        <v>1474.5</v>
      </c>
      <c r="I34" s="7"/>
    </row>
    <row r="35" spans="1:9" ht="21" customHeight="1">
      <c r="A35" s="233" t="s">
        <v>357</v>
      </c>
      <c r="B35" s="38" t="s">
        <v>323</v>
      </c>
      <c r="C35" s="38"/>
      <c r="D35" s="279"/>
      <c r="E35" s="260"/>
      <c r="F35" s="279">
        <v>56</v>
      </c>
      <c r="G35" s="260"/>
      <c r="H35" s="110">
        <f t="shared" si="0"/>
        <v>1418.5</v>
      </c>
      <c r="I35" s="7"/>
    </row>
    <row r="36" spans="1:9" ht="21" customHeight="1">
      <c r="A36" s="39" t="s">
        <v>546</v>
      </c>
      <c r="B36" s="38" t="s">
        <v>323</v>
      </c>
      <c r="C36" s="38"/>
      <c r="D36" s="279"/>
      <c r="E36" s="260"/>
      <c r="F36" s="279">
        <v>60</v>
      </c>
      <c r="G36" s="260"/>
      <c r="H36" s="110">
        <f t="shared" si="0"/>
        <v>1358.5</v>
      </c>
      <c r="I36" s="7"/>
    </row>
    <row r="37" spans="1:9" ht="21" customHeight="1">
      <c r="A37" s="233" t="s">
        <v>397</v>
      </c>
      <c r="B37" s="38" t="s">
        <v>323</v>
      </c>
      <c r="C37" s="38"/>
      <c r="D37" s="279"/>
      <c r="E37" s="260"/>
      <c r="F37" s="279">
        <v>30</v>
      </c>
      <c r="G37" s="260"/>
      <c r="H37" s="110">
        <f t="shared" si="0"/>
        <v>1328.5</v>
      </c>
      <c r="I37" s="7"/>
    </row>
    <row r="38" spans="1:9" ht="21" customHeight="1">
      <c r="A38" s="39" t="s">
        <v>504</v>
      </c>
      <c r="B38" s="38" t="s">
        <v>323</v>
      </c>
      <c r="C38" s="38"/>
      <c r="D38" s="279"/>
      <c r="E38" s="260"/>
      <c r="F38" s="279">
        <v>44</v>
      </c>
      <c r="G38" s="260"/>
      <c r="H38" s="110">
        <f t="shared" si="0"/>
        <v>1284.5</v>
      </c>
      <c r="I38" s="7"/>
    </row>
    <row r="39" spans="1:9" ht="21" customHeight="1">
      <c r="A39" s="198" t="s">
        <v>450</v>
      </c>
      <c r="B39" s="38" t="s">
        <v>323</v>
      </c>
      <c r="C39" s="38"/>
      <c r="D39" s="279"/>
      <c r="E39" s="260"/>
      <c r="F39" s="279">
        <v>28</v>
      </c>
      <c r="G39" s="260"/>
      <c r="H39" s="91">
        <f t="shared" si="0"/>
        <v>1256.5</v>
      </c>
      <c r="I39" s="7"/>
    </row>
    <row r="40" spans="1:9" ht="21" customHeight="1">
      <c r="A40" s="39" t="s">
        <v>551</v>
      </c>
      <c r="B40" s="38" t="s">
        <v>323</v>
      </c>
      <c r="C40" s="38"/>
      <c r="D40" s="279"/>
      <c r="E40" s="260"/>
      <c r="F40" s="279">
        <v>60</v>
      </c>
      <c r="G40" s="260"/>
      <c r="H40" s="91">
        <f t="shared" si="0"/>
        <v>1196.5</v>
      </c>
      <c r="I40" s="7"/>
    </row>
    <row r="41" spans="1:9" ht="21" customHeight="1">
      <c r="A41" s="233" t="s">
        <v>505</v>
      </c>
      <c r="B41" s="38" t="s">
        <v>323</v>
      </c>
      <c r="C41" s="38"/>
      <c r="D41" s="279"/>
      <c r="E41" s="260"/>
      <c r="F41" s="279">
        <v>28</v>
      </c>
      <c r="G41" s="260"/>
      <c r="H41" s="91">
        <f t="shared" si="0"/>
        <v>1168.5</v>
      </c>
      <c r="I41" s="7"/>
    </row>
    <row r="42" spans="1:9" ht="21" customHeight="1">
      <c r="A42" s="39" t="s">
        <v>553</v>
      </c>
      <c r="B42" s="38" t="s">
        <v>323</v>
      </c>
      <c r="C42" s="38"/>
      <c r="D42" s="279"/>
      <c r="E42" s="260"/>
      <c r="F42" s="279">
        <v>62</v>
      </c>
      <c r="G42" s="260"/>
      <c r="H42" s="91">
        <f t="shared" si="0"/>
        <v>1106.5</v>
      </c>
      <c r="I42" s="7"/>
    </row>
    <row r="43" spans="1:9" ht="21" customHeight="1">
      <c r="A43" s="198" t="s">
        <v>365</v>
      </c>
      <c r="B43" s="38" t="s">
        <v>323</v>
      </c>
      <c r="C43" s="38"/>
      <c r="D43" s="279"/>
      <c r="E43" s="260"/>
      <c r="F43" s="279">
        <v>28</v>
      </c>
      <c r="G43" s="260"/>
      <c r="H43" s="91">
        <f t="shared" si="0"/>
        <v>1078.5</v>
      </c>
      <c r="I43" s="7"/>
    </row>
    <row r="44" spans="1:9" ht="21" customHeight="1">
      <c r="A44" s="198" t="s">
        <v>508</v>
      </c>
      <c r="B44" s="38" t="s">
        <v>323</v>
      </c>
      <c r="C44" s="38"/>
      <c r="D44" s="279"/>
      <c r="E44" s="260"/>
      <c r="F44" s="279">
        <v>60</v>
      </c>
      <c r="G44" s="260"/>
      <c r="H44" s="91">
        <f t="shared" si="0"/>
        <v>1018.5</v>
      </c>
      <c r="I44" s="7"/>
    </row>
    <row r="45" spans="1:9" ht="21" customHeight="1">
      <c r="A45" s="198" t="s">
        <v>366</v>
      </c>
      <c r="B45" s="38" t="s">
        <v>323</v>
      </c>
      <c r="C45" s="38"/>
      <c r="D45" s="279"/>
      <c r="E45" s="260"/>
      <c r="F45" s="279">
        <v>104</v>
      </c>
      <c r="G45" s="260"/>
      <c r="H45" s="91">
        <f t="shared" si="0"/>
        <v>914.5</v>
      </c>
      <c r="I45" s="7"/>
    </row>
    <row r="46" spans="1:9" ht="21" customHeight="1">
      <c r="A46" s="198" t="s">
        <v>400</v>
      </c>
      <c r="B46" s="110" t="s">
        <v>323</v>
      </c>
      <c r="C46" s="3"/>
      <c r="D46" s="259"/>
      <c r="E46" s="260"/>
      <c r="F46" s="287">
        <v>56</v>
      </c>
      <c r="G46" s="260"/>
      <c r="H46" s="91">
        <f t="shared" si="0"/>
        <v>858.5</v>
      </c>
      <c r="I46" s="7"/>
    </row>
    <row r="47" spans="1:9" ht="21" customHeight="1">
      <c r="A47" s="14" t="s">
        <v>369</v>
      </c>
      <c r="B47" s="6" t="s">
        <v>323</v>
      </c>
      <c r="C47" s="3"/>
      <c r="D47" s="259"/>
      <c r="E47" s="260"/>
      <c r="F47" s="261">
        <v>3</v>
      </c>
      <c r="G47" s="260"/>
      <c r="H47" s="91">
        <f t="shared" si="0"/>
        <v>855.5</v>
      </c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91"/>
      <c r="I48" s="7"/>
    </row>
    <row r="49" spans="1:9" ht="21" customHeight="1">
      <c r="A49" s="14"/>
      <c r="B49" s="6"/>
      <c r="C49" s="3"/>
      <c r="D49" s="259"/>
      <c r="E49" s="260"/>
      <c r="F49" s="261"/>
      <c r="G49" s="260"/>
      <c r="H49" s="91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91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91"/>
      <c r="I51" s="7"/>
    </row>
    <row r="52" spans="1:9" ht="21" customHeight="1">
      <c r="A52" s="14"/>
      <c r="B52" s="6"/>
      <c r="C52" s="9"/>
      <c r="D52" s="259"/>
      <c r="E52" s="260"/>
      <c r="F52" s="261"/>
      <c r="G52" s="260"/>
      <c r="H52" s="91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91"/>
      <c r="I53" s="7"/>
    </row>
  </sheetData>
  <mergeCells count="106">
    <mergeCell ref="H4:I4"/>
    <mergeCell ref="F40:G40"/>
    <mergeCell ref="D21:E21"/>
    <mergeCell ref="F12:G12"/>
    <mergeCell ref="F24:G2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H3:I3"/>
    <mergeCell ref="D39:E39"/>
    <mergeCell ref="F39:G39"/>
    <mergeCell ref="F48:G48"/>
    <mergeCell ref="D15:E15"/>
    <mergeCell ref="D29:E29"/>
    <mergeCell ref="D23:E23"/>
    <mergeCell ref="D38:E38"/>
    <mergeCell ref="A1:I1"/>
    <mergeCell ref="F7:G7"/>
    <mergeCell ref="F21:G21"/>
    <mergeCell ref="D27:E27"/>
    <mergeCell ref="F36:G36"/>
    <mergeCell ref="D17:E17"/>
    <mergeCell ref="F8:G8"/>
    <mergeCell ref="A5:B5"/>
    <mergeCell ref="D28:E28"/>
    <mergeCell ref="F22:G22"/>
    <mergeCell ref="D12:E12"/>
    <mergeCell ref="D25:E25"/>
    <mergeCell ref="D30:E30"/>
    <mergeCell ref="D14:E14"/>
    <mergeCell ref="E4:G4"/>
    <mergeCell ref="F14:G14"/>
    <mergeCell ref="D53:E53"/>
    <mergeCell ref="D47:E47"/>
    <mergeCell ref="F47:G47"/>
    <mergeCell ref="D37:E37"/>
    <mergeCell ref="F31:G31"/>
    <mergeCell ref="F46:G46"/>
    <mergeCell ref="F28:G28"/>
    <mergeCell ref="D9:E9"/>
    <mergeCell ref="F9:G9"/>
    <mergeCell ref="D52:E52"/>
    <mergeCell ref="F53:G53"/>
    <mergeCell ref="D49:E49"/>
    <mergeCell ref="F50:G50"/>
    <mergeCell ref="F49:G49"/>
    <mergeCell ref="F11:G11"/>
    <mergeCell ref="D46:E46"/>
    <mergeCell ref="D40:E40"/>
    <mergeCell ref="F52:G52"/>
    <mergeCell ref="D44:E44"/>
    <mergeCell ref="F44:G44"/>
    <mergeCell ref="D48:E48"/>
    <mergeCell ref="D7:E7"/>
    <mergeCell ref="F23:G23"/>
    <mergeCell ref="B4:D4"/>
    <mergeCell ref="F13:G13"/>
    <mergeCell ref="F43:G43"/>
    <mergeCell ref="D24:E24"/>
    <mergeCell ref="D33:E33"/>
    <mergeCell ref="D51:E51"/>
    <mergeCell ref="D26:E26"/>
    <mergeCell ref="D35:E35"/>
    <mergeCell ref="D10:E10"/>
    <mergeCell ref="F10:G10"/>
    <mergeCell ref="D19:E19"/>
    <mergeCell ref="D34:E34"/>
    <mergeCell ref="F19:G19"/>
    <mergeCell ref="F34:G34"/>
    <mergeCell ref="F6:G6"/>
    <mergeCell ref="F30:G30"/>
    <mergeCell ref="D11:E11"/>
    <mergeCell ref="F20:G20"/>
    <mergeCell ref="F18:G18"/>
    <mergeCell ref="F33:G33"/>
    <mergeCell ref="F45:G45"/>
    <mergeCell ref="D20:E20"/>
    <mergeCell ref="F29:G29"/>
    <mergeCell ref="F16:G16"/>
    <mergeCell ref="F25:G25"/>
    <mergeCell ref="C5:G5"/>
    <mergeCell ref="D22:E22"/>
    <mergeCell ref="D36:E36"/>
    <mergeCell ref="D31:E31"/>
    <mergeCell ref="D45:E45"/>
    <mergeCell ref="D6:E6"/>
    <mergeCell ref="F15:G15"/>
    <mergeCell ref="D13:E13"/>
    <mergeCell ref="F42:G42"/>
    <mergeCell ref="F17:G1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/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981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982</v>
      </c>
      <c r="C3" s="263"/>
      <c r="D3" s="260"/>
      <c r="E3" s="266" t="s">
        <v>11</v>
      </c>
      <c r="F3" s="263"/>
      <c r="G3" s="260"/>
      <c r="H3" s="268" t="s">
        <v>983</v>
      </c>
      <c r="I3" s="269"/>
      <c r="J3" s="19" t="str">
        <f>B3</f>
        <v>Xanax 0.25mg</v>
      </c>
      <c r="K3" s="34" t="s">
        <v>984</v>
      </c>
      <c r="L3" s="5">
        <f>H7</f>
        <v>92</v>
      </c>
      <c r="M3" s="3">
        <f>SUM(C$8:C$1048576)</f>
        <v>60</v>
      </c>
      <c r="N3" s="3">
        <f>SUM(F:F)</f>
        <v>28</v>
      </c>
      <c r="O3" s="3">
        <f>L3+M3-N3</f>
        <v>124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681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985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92</v>
      </c>
      <c r="D7" s="280"/>
      <c r="E7" s="260"/>
      <c r="F7" s="280"/>
      <c r="G7" s="260"/>
      <c r="H7" s="155">
        <v>92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533</v>
      </c>
      <c r="B8" s="38" t="s">
        <v>324</v>
      </c>
      <c r="C8" s="38">
        <v>60</v>
      </c>
      <c r="D8" s="279" t="s">
        <v>986</v>
      </c>
      <c r="E8" s="260"/>
      <c r="F8" s="279"/>
      <c r="G8" s="260"/>
      <c r="H8" s="38">
        <v>152</v>
      </c>
      <c r="I8" s="109" t="s">
        <v>414</v>
      </c>
      <c r="J8" s="12"/>
      <c r="K8" s="3"/>
      <c r="L8" s="3"/>
      <c r="M8" s="3"/>
      <c r="N8" s="3"/>
      <c r="O8" s="3"/>
    </row>
    <row r="9" spans="1:15" ht="26.7" customHeight="1">
      <c r="A9" s="39" t="s">
        <v>536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124</v>
      </c>
      <c r="I9" s="109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109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109" t="s">
        <v>414</v>
      </c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109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7"/>
      <c r="D13" s="259"/>
      <c r="E13" s="260"/>
      <c r="F13" s="261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38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>
    <tabColor theme="2" tint="-0.499984740745262"/>
  </sheetPr>
  <dimension ref="A1:O93"/>
  <sheetViews>
    <sheetView workbookViewId="0">
      <selection activeCell="M3" sqref="M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987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66" t="s">
        <v>988</v>
      </c>
      <c r="C3" s="263"/>
      <c r="D3" s="260"/>
      <c r="E3" s="266" t="s">
        <v>11</v>
      </c>
      <c r="F3" s="263"/>
      <c r="G3" s="260"/>
      <c r="H3" s="268" t="s">
        <v>989</v>
      </c>
      <c r="I3" s="269"/>
      <c r="J3" s="19" t="str">
        <f>B3</f>
        <v>Dalmadorm 30mg</v>
      </c>
      <c r="K3" s="34" t="s">
        <v>990</v>
      </c>
      <c r="L3" s="5">
        <f>H7</f>
        <v>0</v>
      </c>
      <c r="M3" s="3">
        <f>SUM(C$8:C$1048576)</f>
        <v>0</v>
      </c>
      <c r="N3" s="3">
        <f>SUM(F:F)</f>
        <v>0</v>
      </c>
      <c r="O3" s="3">
        <f>L3+M3-N3</f>
        <v>0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991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992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140">
        <v>0</v>
      </c>
      <c r="D7" s="289"/>
      <c r="E7" s="260"/>
      <c r="F7" s="289"/>
      <c r="G7" s="260"/>
      <c r="H7" s="140">
        <v>0</v>
      </c>
      <c r="I7" s="202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26"/>
      <c r="J8" s="12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26"/>
      <c r="J9" s="12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26"/>
      <c r="J10" s="12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26"/>
      <c r="J11" s="12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26"/>
      <c r="J12" s="12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26"/>
      <c r="J13" s="12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28"/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26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26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26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26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26"/>
      <c r="J19" s="12"/>
    </row>
    <row r="20" spans="1:10" ht="26.7" customHeight="1" thickBot="1">
      <c r="A20" s="39"/>
      <c r="B20" s="38"/>
      <c r="C20" s="38"/>
      <c r="D20" s="279"/>
      <c r="E20" s="260"/>
      <c r="F20" s="279"/>
      <c r="G20" s="260"/>
      <c r="H20" s="38"/>
      <c r="I20" s="32"/>
      <c r="J20" s="12"/>
    </row>
    <row r="21" spans="1:10" ht="21" customHeight="1">
      <c r="A21" s="39"/>
      <c r="B21" s="38"/>
      <c r="C21" s="38"/>
      <c r="D21" s="279"/>
      <c r="E21" s="260"/>
      <c r="F21" s="279"/>
      <c r="G21" s="260"/>
      <c r="H21" s="38"/>
      <c r="I21" s="22"/>
      <c r="J21" s="3"/>
    </row>
    <row r="22" spans="1:10" ht="21" customHeight="1">
      <c r="A22" s="39"/>
      <c r="B22" s="38"/>
      <c r="C22" s="38"/>
      <c r="D22" s="279"/>
      <c r="E22" s="260"/>
      <c r="F22" s="279"/>
      <c r="G22" s="260"/>
      <c r="H22" s="38"/>
      <c r="I22" s="7"/>
    </row>
    <row r="23" spans="1:10" ht="21" customHeight="1">
      <c r="A23" s="39"/>
      <c r="B23" s="38"/>
      <c r="C23" s="38"/>
      <c r="D23" s="279"/>
      <c r="E23" s="260"/>
      <c r="F23" s="279"/>
      <c r="G23" s="260"/>
      <c r="H23" s="38"/>
      <c r="I23" s="16"/>
    </row>
    <row r="24" spans="1:10" ht="21" customHeight="1">
      <c r="A24" s="39"/>
      <c r="B24" s="38"/>
      <c r="C24" s="38"/>
      <c r="D24" s="279"/>
      <c r="E24" s="260"/>
      <c r="F24" s="279"/>
      <c r="G24" s="260"/>
      <c r="H24" s="38"/>
      <c r="I24" s="7"/>
    </row>
    <row r="25" spans="1:10" ht="21" customHeight="1">
      <c r="A25" s="39"/>
      <c r="B25" s="38"/>
      <c r="C25" s="38"/>
      <c r="D25" s="279"/>
      <c r="E25" s="260"/>
      <c r="F25" s="279"/>
      <c r="G25" s="260"/>
      <c r="H25" s="38"/>
      <c r="I25" s="7"/>
    </row>
    <row r="26" spans="1:10" ht="21" customHeight="1">
      <c r="A26" s="39"/>
      <c r="B26" s="38"/>
      <c r="C26" s="38"/>
      <c r="D26" s="279"/>
      <c r="E26" s="260"/>
      <c r="F26" s="279"/>
      <c r="G26" s="260"/>
      <c r="H26" s="38"/>
      <c r="I26" s="16"/>
    </row>
    <row r="27" spans="1:10" ht="21" customHeight="1">
      <c r="A27" s="39"/>
      <c r="B27" s="38"/>
      <c r="C27" s="38"/>
      <c r="D27" s="279"/>
      <c r="E27" s="260"/>
      <c r="F27" s="279"/>
      <c r="G27" s="260"/>
      <c r="H27" s="38"/>
      <c r="I27" s="7"/>
    </row>
    <row r="28" spans="1:10" ht="21" customHeight="1">
      <c r="A28" s="39"/>
      <c r="B28" s="38"/>
      <c r="C28" s="38"/>
      <c r="D28" s="279"/>
      <c r="E28" s="260"/>
      <c r="F28" s="279"/>
      <c r="G28" s="260"/>
      <c r="H28" s="38"/>
      <c r="I28" s="7"/>
    </row>
    <row r="29" spans="1:10" ht="21" customHeight="1">
      <c r="A29" s="39"/>
      <c r="B29" s="38"/>
      <c r="C29" s="38"/>
      <c r="D29" s="279"/>
      <c r="E29" s="260"/>
      <c r="F29" s="279"/>
      <c r="G29" s="260"/>
      <c r="H29" s="38"/>
      <c r="I29" s="7"/>
    </row>
    <row r="30" spans="1:10" ht="21" customHeight="1">
      <c r="A30" s="39"/>
      <c r="B30" s="38"/>
      <c r="C30" s="38"/>
      <c r="D30" s="279"/>
      <c r="E30" s="260"/>
      <c r="F30" s="279"/>
      <c r="G30" s="260"/>
      <c r="H30" s="38"/>
      <c r="I30" s="7"/>
    </row>
    <row r="31" spans="1:10" ht="21" customHeight="1">
      <c r="A31" s="39"/>
      <c r="B31" s="38"/>
      <c r="C31" s="38"/>
      <c r="D31" s="279"/>
      <c r="E31" s="260"/>
      <c r="F31" s="279"/>
      <c r="G31" s="260"/>
      <c r="H31" s="38"/>
      <c r="I31" s="7"/>
    </row>
    <row r="32" spans="1:10" ht="21" customHeight="1">
      <c r="A32" s="39"/>
      <c r="B32" s="38"/>
      <c r="C32" s="38"/>
      <c r="D32" s="279"/>
      <c r="E32" s="260"/>
      <c r="F32" s="279"/>
      <c r="G32" s="260"/>
      <c r="H32" s="38"/>
      <c r="I32" s="7"/>
    </row>
    <row r="33" spans="1:9" ht="21" customHeight="1">
      <c r="A33" s="39"/>
      <c r="B33" s="38"/>
      <c r="C33" s="38"/>
      <c r="D33" s="279"/>
      <c r="E33" s="260"/>
      <c r="F33" s="279"/>
      <c r="G33" s="260"/>
      <c r="H33" s="38"/>
      <c r="I33" s="7"/>
    </row>
    <row r="34" spans="1:9" ht="21" customHeight="1">
      <c r="A34" s="39"/>
      <c r="B34" s="38"/>
      <c r="C34" s="38"/>
      <c r="D34" s="279"/>
      <c r="E34" s="260"/>
      <c r="F34" s="279"/>
      <c r="G34" s="260"/>
      <c r="H34" s="38"/>
      <c r="I34" s="7"/>
    </row>
    <row r="35" spans="1:9" ht="21" customHeight="1">
      <c r="A35" s="39"/>
      <c r="B35" s="38"/>
      <c r="C35" s="38"/>
      <c r="D35" s="279"/>
      <c r="E35" s="260"/>
      <c r="F35" s="279"/>
      <c r="G35" s="260"/>
      <c r="H35" s="38"/>
      <c r="I35" s="7"/>
    </row>
    <row r="36" spans="1:9" ht="21" customHeight="1">
      <c r="A36" s="39"/>
      <c r="B36" s="38"/>
      <c r="C36" s="38"/>
      <c r="D36" s="279"/>
      <c r="E36" s="260"/>
      <c r="F36" s="279"/>
      <c r="G36" s="260"/>
      <c r="H36" s="38"/>
      <c r="I36" s="7"/>
    </row>
    <row r="37" spans="1:9" ht="21" customHeight="1">
      <c r="A37" s="39"/>
      <c r="B37" s="38"/>
      <c r="C37" s="38"/>
      <c r="D37" s="279"/>
      <c r="E37" s="260"/>
      <c r="F37" s="279"/>
      <c r="G37" s="260"/>
      <c r="H37" s="38"/>
      <c r="I37" s="7"/>
    </row>
    <row r="38" spans="1:9" ht="21" customHeight="1">
      <c r="A38" s="39"/>
      <c r="B38" s="38"/>
      <c r="C38" s="38"/>
      <c r="D38" s="279"/>
      <c r="E38" s="260"/>
      <c r="F38" s="279"/>
      <c r="G38" s="260"/>
      <c r="H38" s="38"/>
      <c r="I38" s="11"/>
    </row>
    <row r="39" spans="1:9" ht="21" customHeight="1">
      <c r="A39" s="39"/>
      <c r="B39" s="38"/>
      <c r="C39" s="38"/>
      <c r="D39" s="279"/>
      <c r="E39" s="260"/>
      <c r="F39" s="279"/>
      <c r="G39" s="260"/>
      <c r="H39" s="38"/>
      <c r="I39" s="7"/>
    </row>
    <row r="40" spans="1:9" ht="21" customHeight="1">
      <c r="A40" s="39"/>
      <c r="B40" s="38"/>
      <c r="C40" s="38"/>
      <c r="D40" s="279"/>
      <c r="E40" s="260"/>
      <c r="F40" s="279"/>
      <c r="G40" s="260"/>
      <c r="H40" s="38"/>
      <c r="I40" s="7"/>
    </row>
    <row r="41" spans="1:9" ht="21" customHeight="1">
      <c r="A41" s="39"/>
      <c r="B41" s="38"/>
      <c r="C41" s="38"/>
      <c r="D41" s="279"/>
      <c r="E41" s="260"/>
      <c r="F41" s="279"/>
      <c r="G41" s="260"/>
      <c r="H41" s="38"/>
      <c r="I41" s="7"/>
    </row>
    <row r="42" spans="1:9" ht="21" customHeight="1">
      <c r="A42" s="39"/>
      <c r="B42" s="38"/>
      <c r="C42" s="38"/>
      <c r="D42" s="279"/>
      <c r="E42" s="260"/>
      <c r="F42" s="279"/>
      <c r="G42" s="260"/>
      <c r="H42" s="38"/>
      <c r="I42" s="7"/>
    </row>
    <row r="43" spans="1:9" ht="21" customHeight="1">
      <c r="A43" s="39"/>
      <c r="B43" s="38"/>
      <c r="C43" s="38"/>
      <c r="D43" s="279"/>
      <c r="E43" s="260"/>
      <c r="F43" s="279"/>
      <c r="G43" s="260"/>
      <c r="H43" s="38"/>
      <c r="I43" s="7"/>
    </row>
    <row r="44" spans="1:9" ht="21" customHeight="1">
      <c r="A44" s="39"/>
      <c r="B44" s="38"/>
      <c r="C44" s="38"/>
      <c r="D44" s="279"/>
      <c r="E44" s="260"/>
      <c r="F44" s="279"/>
      <c r="G44" s="260"/>
      <c r="H44" s="38"/>
      <c r="I44" s="7"/>
    </row>
    <row r="45" spans="1:9" ht="21" customHeight="1">
      <c r="A45" s="39"/>
      <c r="B45" s="38"/>
      <c r="C45" s="38"/>
      <c r="D45" s="279"/>
      <c r="E45" s="260"/>
      <c r="F45" s="279"/>
      <c r="G45" s="260"/>
      <c r="H45" s="38"/>
      <c r="I45" s="16"/>
    </row>
    <row r="46" spans="1:9" ht="21" customHeight="1">
      <c r="A46" s="39"/>
      <c r="B46" s="38"/>
      <c r="C46" s="38"/>
      <c r="D46" s="279"/>
      <c r="E46" s="260"/>
      <c r="F46" s="279"/>
      <c r="G46" s="260"/>
      <c r="H46" s="38"/>
      <c r="I46" s="7"/>
    </row>
    <row r="47" spans="1:9" ht="21" customHeight="1">
      <c r="A47" s="39"/>
      <c r="B47" s="38"/>
      <c r="C47" s="38"/>
      <c r="D47" s="279"/>
      <c r="E47" s="260"/>
      <c r="F47" s="279"/>
      <c r="G47" s="260"/>
      <c r="H47" s="38"/>
      <c r="I47" s="7"/>
    </row>
    <row r="48" spans="1:9" ht="21" customHeight="1">
      <c r="A48" s="39"/>
      <c r="B48" s="38"/>
      <c r="C48" s="38"/>
      <c r="D48" s="279"/>
      <c r="E48" s="260"/>
      <c r="F48" s="279"/>
      <c r="G48" s="260"/>
      <c r="H48" s="38"/>
      <c r="I48" s="7"/>
    </row>
    <row r="49" spans="1:9" ht="21" customHeight="1">
      <c r="A49" s="39"/>
      <c r="B49" s="38"/>
      <c r="C49" s="38"/>
      <c r="D49" s="279"/>
      <c r="E49" s="260"/>
      <c r="F49" s="279"/>
      <c r="G49" s="260"/>
      <c r="H49" s="38"/>
      <c r="I49" s="7"/>
    </row>
    <row r="50" spans="1:9" ht="21" customHeight="1">
      <c r="A50" s="39"/>
      <c r="B50" s="38"/>
      <c r="C50" s="38"/>
      <c r="D50" s="279"/>
      <c r="E50" s="260"/>
      <c r="F50" s="279"/>
      <c r="G50" s="260"/>
      <c r="H50" s="38"/>
      <c r="I50" s="7"/>
    </row>
    <row r="51" spans="1:9" ht="21" customHeight="1">
      <c r="A51" s="39"/>
      <c r="B51" s="38"/>
      <c r="C51" s="38"/>
      <c r="D51" s="279"/>
      <c r="E51" s="260"/>
      <c r="F51" s="279"/>
      <c r="G51" s="260"/>
      <c r="H51" s="38"/>
      <c r="I51" s="7"/>
    </row>
    <row r="52" spans="1:9" ht="21" customHeight="1">
      <c r="A52" s="39"/>
      <c r="B52" s="38"/>
      <c r="C52" s="38"/>
      <c r="D52" s="279"/>
      <c r="E52" s="260"/>
      <c r="F52" s="279"/>
      <c r="G52" s="260"/>
      <c r="H52" s="38"/>
      <c r="I52" s="7"/>
    </row>
    <row r="53" spans="1:9" ht="21" customHeight="1">
      <c r="A53" s="39"/>
      <c r="B53" s="38"/>
      <c r="C53" s="38"/>
      <c r="D53" s="279"/>
      <c r="E53" s="260"/>
      <c r="F53" s="279"/>
      <c r="G53" s="260"/>
      <c r="H53" s="38"/>
      <c r="I53" s="7"/>
    </row>
    <row r="54" spans="1:9" ht="21" customHeight="1">
      <c r="A54" s="39"/>
      <c r="B54" s="6"/>
      <c r="C54" s="38"/>
      <c r="D54" s="279"/>
      <c r="E54" s="260"/>
      <c r="F54" s="279"/>
      <c r="G54" s="260"/>
      <c r="H54" s="38"/>
      <c r="I54" s="7"/>
    </row>
    <row r="55" spans="1:9" ht="21" customHeight="1">
      <c r="A55" s="39"/>
      <c r="B55" s="6"/>
      <c r="C55" s="38"/>
      <c r="D55" s="279"/>
      <c r="E55" s="260"/>
      <c r="F55" s="279"/>
      <c r="G55" s="260"/>
      <c r="H55" s="38"/>
      <c r="I55" s="7"/>
    </row>
    <row r="56" spans="1:9" ht="21" customHeight="1">
      <c r="A56" s="39"/>
      <c r="B56" s="6"/>
      <c r="C56" s="38"/>
      <c r="D56" s="279"/>
      <c r="E56" s="260"/>
      <c r="F56" s="279"/>
      <c r="G56" s="260"/>
      <c r="H56" s="38"/>
      <c r="I56" s="7"/>
    </row>
    <row r="57" spans="1:9" ht="21" customHeight="1">
      <c r="A57" s="39"/>
      <c r="B57" s="6"/>
      <c r="C57" s="38"/>
      <c r="D57" s="279"/>
      <c r="E57" s="260"/>
      <c r="F57" s="279"/>
      <c r="G57" s="260"/>
      <c r="H57" s="38"/>
      <c r="I57" s="7"/>
    </row>
    <row r="58" spans="1:9" ht="21" customHeight="1">
      <c r="A58" s="39"/>
      <c r="B58" s="6"/>
      <c r="C58" s="38"/>
      <c r="D58" s="279"/>
      <c r="E58" s="260"/>
      <c r="F58" s="279"/>
      <c r="G58" s="260"/>
      <c r="H58" s="38"/>
      <c r="I58" s="7"/>
    </row>
    <row r="59" spans="1:9" ht="21" customHeight="1">
      <c r="A59" s="39"/>
      <c r="B59" s="6"/>
      <c r="C59" s="38"/>
      <c r="D59" s="279"/>
      <c r="E59" s="260"/>
      <c r="F59" s="279"/>
      <c r="G59" s="260"/>
      <c r="H59" s="38"/>
      <c r="I59" s="7"/>
    </row>
    <row r="60" spans="1:9" ht="21" customHeight="1">
      <c r="A60" s="39"/>
      <c r="B60" s="6"/>
      <c r="C60" s="38"/>
      <c r="D60" s="279"/>
      <c r="E60" s="260"/>
      <c r="F60" s="279"/>
      <c r="G60" s="260"/>
      <c r="H60" s="38"/>
      <c r="I60" s="7"/>
    </row>
    <row r="61" spans="1:9" ht="21" customHeight="1">
      <c r="A61" s="39"/>
      <c r="B61" s="6"/>
      <c r="C61" s="38"/>
      <c r="D61" s="279"/>
      <c r="E61" s="260"/>
      <c r="F61" s="279"/>
      <c r="G61" s="260"/>
      <c r="H61" s="38"/>
      <c r="I61" s="7"/>
    </row>
    <row r="62" spans="1:9" ht="21" customHeight="1">
      <c r="A62" s="39"/>
      <c r="B62" s="6"/>
      <c r="C62" s="38"/>
      <c r="D62" s="279"/>
      <c r="E62" s="260"/>
      <c r="F62" s="279"/>
      <c r="G62" s="260"/>
      <c r="H62" s="38"/>
      <c r="I62" s="7"/>
    </row>
    <row r="63" spans="1:9" ht="21" customHeight="1">
      <c r="A63" s="39"/>
      <c r="B63" s="6"/>
      <c r="C63" s="38"/>
      <c r="D63" s="279"/>
      <c r="E63" s="260"/>
      <c r="F63" s="279"/>
      <c r="G63" s="260"/>
      <c r="H63" s="38"/>
      <c r="I63" s="7"/>
    </row>
    <row r="64" spans="1:9" ht="21" customHeight="1">
      <c r="A64" s="39"/>
      <c r="B64" s="6"/>
      <c r="C64" s="3"/>
      <c r="D64" s="279"/>
      <c r="E64" s="260"/>
      <c r="F64" s="261"/>
      <c r="G64" s="260"/>
      <c r="H64" s="7"/>
      <c r="I64" s="7"/>
    </row>
    <row r="65" spans="1:9" ht="21" customHeight="1">
      <c r="A65" s="39"/>
      <c r="B65" s="6"/>
      <c r="C65" s="3"/>
      <c r="D65" s="279"/>
      <c r="E65" s="260"/>
      <c r="F65" s="261"/>
      <c r="G65" s="260"/>
      <c r="H65" s="7"/>
      <c r="I65" s="7"/>
    </row>
    <row r="66" spans="1:9" ht="21" customHeight="1">
      <c r="A66" s="39"/>
      <c r="B66" s="6"/>
      <c r="C66" s="3"/>
      <c r="D66" s="279"/>
      <c r="E66" s="260"/>
      <c r="F66" s="261"/>
      <c r="G66" s="260"/>
      <c r="H66" s="7"/>
      <c r="I66" s="7"/>
    </row>
    <row r="67" spans="1:9" ht="21" customHeight="1">
      <c r="A67" s="39"/>
      <c r="B67" s="6"/>
      <c r="C67" s="3"/>
      <c r="D67" s="279"/>
      <c r="E67" s="260"/>
      <c r="F67" s="261"/>
      <c r="G67" s="260"/>
      <c r="H67" s="7"/>
      <c r="I67" s="7"/>
    </row>
    <row r="68" spans="1:9" ht="21" customHeight="1">
      <c r="A68" s="39"/>
      <c r="B68" s="6"/>
      <c r="C68" s="3"/>
      <c r="D68" s="279"/>
      <c r="E68" s="260"/>
      <c r="F68" s="261"/>
      <c r="G68" s="260"/>
      <c r="H68" s="7"/>
      <c r="I68" s="7"/>
    </row>
    <row r="69" spans="1:9" ht="21" customHeight="1">
      <c r="A69" s="39"/>
      <c r="B69" s="6"/>
      <c r="C69" s="3"/>
      <c r="D69" s="279"/>
      <c r="E69" s="260"/>
      <c r="F69" s="261"/>
      <c r="G69" s="260"/>
      <c r="H69" s="7"/>
      <c r="I69" s="7"/>
    </row>
    <row r="70" spans="1:9" ht="21" customHeight="1">
      <c r="A70" s="39"/>
      <c r="B70" s="6"/>
      <c r="C70" s="3"/>
      <c r="D70" s="279"/>
      <c r="E70" s="260"/>
      <c r="F70" s="261"/>
      <c r="G70" s="260"/>
      <c r="H70" s="7"/>
      <c r="I70" s="7"/>
    </row>
    <row r="71" spans="1:9" ht="21" customHeight="1">
      <c r="A71" s="39"/>
      <c r="B71" s="8"/>
      <c r="C71" s="9"/>
      <c r="D71" s="279"/>
      <c r="E71" s="260"/>
      <c r="F71" s="261"/>
      <c r="G71" s="260"/>
      <c r="H71" s="7"/>
      <c r="I71" s="7"/>
    </row>
    <row r="72" spans="1:9" ht="21" customHeight="1">
      <c r="A72" s="39"/>
      <c r="B72" s="6"/>
      <c r="C72" s="3"/>
      <c r="D72" s="279"/>
      <c r="E72" s="260"/>
      <c r="F72" s="261"/>
      <c r="G72" s="260"/>
      <c r="H72" s="7"/>
      <c r="I72" s="7"/>
    </row>
    <row r="73" spans="1:9" ht="21" customHeight="1">
      <c r="A73" s="39"/>
      <c r="B73" s="8"/>
      <c r="C73" s="9"/>
      <c r="D73" s="279"/>
      <c r="E73" s="260"/>
      <c r="F73" s="261"/>
      <c r="G73" s="260"/>
      <c r="H73" s="7"/>
      <c r="I73" s="11"/>
    </row>
    <row r="74" spans="1:9" ht="21" customHeight="1">
      <c r="A74" s="15"/>
      <c r="B74" s="6"/>
      <c r="C74" s="3"/>
      <c r="D74" s="279"/>
      <c r="E74" s="260"/>
      <c r="F74" s="261"/>
      <c r="G74" s="260"/>
      <c r="H74" s="7"/>
      <c r="I74" s="7"/>
    </row>
    <row r="75" spans="1:9" ht="21" customHeight="1">
      <c r="A75" s="15"/>
      <c r="B75" s="6"/>
      <c r="C75" s="9"/>
      <c r="D75" s="27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7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7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7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79"/>
      <c r="E79" s="260"/>
      <c r="F79" s="261"/>
      <c r="G79" s="260"/>
      <c r="H79" s="7"/>
      <c r="I79" s="7"/>
    </row>
    <row r="80" spans="1:9" ht="21" customHeight="1">
      <c r="A80" s="15"/>
      <c r="B80" s="6"/>
      <c r="C80" s="3"/>
      <c r="D80" s="279"/>
      <c r="E80" s="260"/>
      <c r="F80" s="261"/>
      <c r="G80" s="260"/>
      <c r="H80" s="7"/>
      <c r="I80" s="7"/>
    </row>
    <row r="81" spans="1:9" ht="21" customHeight="1">
      <c r="A81" s="15"/>
      <c r="B81" s="6"/>
      <c r="C81" s="3"/>
      <c r="D81" s="279"/>
      <c r="E81" s="260"/>
      <c r="F81" s="261"/>
      <c r="G81" s="260"/>
      <c r="H81" s="7"/>
      <c r="I81" s="7"/>
    </row>
    <row r="82" spans="1:9" ht="21" customHeight="1">
      <c r="A82" s="15"/>
      <c r="B82" s="6"/>
      <c r="C82" s="3"/>
      <c r="D82" s="27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7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9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</sheetData>
  <mergeCells count="186">
    <mergeCell ref="F90:G90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91:E91"/>
    <mergeCell ref="F8:G8"/>
    <mergeCell ref="F91:G91"/>
    <mergeCell ref="A5:B5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9:E69"/>
    <mergeCell ref="F69:G69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8:G78"/>
    <mergeCell ref="F65:G65"/>
    <mergeCell ref="D80:E80"/>
    <mergeCell ref="D87:E87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E4:G4"/>
    <mergeCell ref="F11:G11"/>
    <mergeCell ref="D46:E46"/>
    <mergeCell ref="H4:I4"/>
    <mergeCell ref="D40:E40"/>
    <mergeCell ref="D90:E90"/>
    <mergeCell ref="F19:G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66:E66"/>
    <mergeCell ref="F66:G66"/>
    <mergeCell ref="D75:E75"/>
    <mergeCell ref="F17:G17"/>
    <mergeCell ref="D53:E53"/>
    <mergeCell ref="F75:G75"/>
    <mergeCell ref="D47:E47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34:E34"/>
    <mergeCell ref="F47:G47"/>
    <mergeCell ref="F62:G62"/>
    <mergeCell ref="D37:E37"/>
    <mergeCell ref="F31:G31"/>
    <mergeCell ref="F46:G46"/>
    <mergeCell ref="F28:G28"/>
    <mergeCell ref="F40:G40"/>
    <mergeCell ref="D21:E21"/>
    <mergeCell ref="F59:G59"/>
    <mergeCell ref="F55:G55"/>
    <mergeCell ref="F12:G12"/>
    <mergeCell ref="F24:G24"/>
    <mergeCell ref="D57:E57"/>
    <mergeCell ref="B4:D4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51:E51"/>
    <mergeCell ref="D9:E9"/>
    <mergeCell ref="F9:G9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23:G23"/>
    <mergeCell ref="F81:G81"/>
    <mergeCell ref="D73:E7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/>
  <dimension ref="A1:O104"/>
  <sheetViews>
    <sheetView workbookViewId="0">
      <selection activeCell="M3" sqref="M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993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994</v>
      </c>
      <c r="C3" s="263"/>
      <c r="D3" s="260"/>
      <c r="E3" s="266" t="s">
        <v>11</v>
      </c>
      <c r="F3" s="263"/>
      <c r="G3" s="260"/>
      <c r="H3" s="268" t="s">
        <v>995</v>
      </c>
      <c r="I3" s="269"/>
      <c r="J3" s="19" t="str">
        <f>B3</f>
        <v>Lexotan 1.5mg</v>
      </c>
      <c r="K3" s="34" t="s">
        <v>996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641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997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0"/>
  <dimension ref="A1:O104"/>
  <sheetViews>
    <sheetView topLeftCell="A7" workbookViewId="0">
      <selection activeCell="I15" sqref="I15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998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999</v>
      </c>
      <c r="C3" s="263"/>
      <c r="D3" s="260"/>
      <c r="E3" s="266" t="s">
        <v>11</v>
      </c>
      <c r="F3" s="263"/>
      <c r="G3" s="260"/>
      <c r="H3" s="268" t="s">
        <v>460</v>
      </c>
      <c r="I3" s="269"/>
      <c r="J3" s="19" t="str">
        <f>B3</f>
        <v>Secorin 10mg</v>
      </c>
      <c r="K3" s="34" t="s">
        <v>1000</v>
      </c>
      <c r="L3" s="5">
        <v>0</v>
      </c>
      <c r="M3" s="3">
        <f>SUM(C:C)</f>
        <v>396</v>
      </c>
      <c r="N3" s="3">
        <f>SUM(F:F)</f>
        <v>286</v>
      </c>
      <c r="O3" s="3">
        <f>L3+M3-N3</f>
        <v>110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1001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1002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76</v>
      </c>
      <c r="D7" s="279"/>
      <c r="E7" s="260"/>
      <c r="F7" s="279"/>
      <c r="G7" s="260"/>
      <c r="H7" s="38">
        <v>76</v>
      </c>
      <c r="I7" s="37" t="s">
        <v>706</v>
      </c>
      <c r="J7" s="12"/>
      <c r="K7" s="3"/>
      <c r="L7" s="3"/>
      <c r="M7" s="3"/>
      <c r="N7" s="3"/>
      <c r="O7" s="3"/>
    </row>
    <row r="8" spans="1:15" s="88" customFormat="1" ht="26.7" customHeight="1">
      <c r="A8" s="107" t="s">
        <v>29</v>
      </c>
      <c r="B8" s="110" t="s">
        <v>323</v>
      </c>
      <c r="C8" s="91"/>
      <c r="D8" s="287"/>
      <c r="E8" s="260"/>
      <c r="F8" s="298">
        <v>56</v>
      </c>
      <c r="G8" s="260"/>
      <c r="H8" s="91">
        <f>H7-F8</f>
        <v>20</v>
      </c>
      <c r="I8" s="92" t="s">
        <v>916</v>
      </c>
      <c r="J8" s="12"/>
      <c r="K8" s="3"/>
      <c r="L8" s="3"/>
      <c r="M8" s="3"/>
      <c r="N8" s="3"/>
      <c r="O8" s="3"/>
    </row>
    <row r="9" spans="1:15" ht="26.7" customHeight="1">
      <c r="A9" s="107" t="s">
        <v>436</v>
      </c>
      <c r="B9" s="6" t="s">
        <v>324</v>
      </c>
      <c r="C9" s="7">
        <v>100</v>
      </c>
      <c r="D9" s="259" t="s">
        <v>1003</v>
      </c>
      <c r="E9" s="260"/>
      <c r="F9" s="261"/>
      <c r="G9" s="260"/>
      <c r="H9" s="7">
        <v>120</v>
      </c>
      <c r="I9" s="108" t="s">
        <v>437</v>
      </c>
      <c r="J9" s="12"/>
      <c r="K9" s="3"/>
      <c r="L9" s="3"/>
      <c r="M9" s="3"/>
      <c r="N9" s="3"/>
      <c r="O9" s="3"/>
    </row>
    <row r="10" spans="1:15" ht="26.7" customHeight="1">
      <c r="A10" s="107" t="s">
        <v>604</v>
      </c>
      <c r="B10" s="6" t="s">
        <v>323</v>
      </c>
      <c r="C10" s="7"/>
      <c r="D10" s="259"/>
      <c r="E10" s="260"/>
      <c r="F10" s="261">
        <v>56</v>
      </c>
      <c r="G10" s="260"/>
      <c r="H10" s="7">
        <f>H9-F10</f>
        <v>64</v>
      </c>
      <c r="J10" s="12"/>
      <c r="K10" s="3"/>
      <c r="L10" s="3"/>
      <c r="M10" s="3"/>
      <c r="N10" s="3"/>
      <c r="O10" s="3"/>
    </row>
    <row r="11" spans="1:15" ht="26.7" customHeight="1">
      <c r="A11" s="227" t="s">
        <v>537</v>
      </c>
      <c r="B11" s="6" t="s">
        <v>323</v>
      </c>
      <c r="C11" s="7"/>
      <c r="D11" s="259"/>
      <c r="E11" s="260"/>
      <c r="F11" s="261">
        <v>56</v>
      </c>
      <c r="G11" s="260"/>
      <c r="H11" s="7">
        <f>H10-F11</f>
        <v>8</v>
      </c>
      <c r="I11" s="27"/>
      <c r="J11" s="12"/>
      <c r="K11" s="3"/>
      <c r="L11" s="3"/>
      <c r="M11" s="3"/>
      <c r="N11" s="3"/>
      <c r="O11" s="3"/>
    </row>
    <row r="12" spans="1:15" ht="26.7" customHeight="1">
      <c r="A12" s="107" t="s">
        <v>391</v>
      </c>
      <c r="B12" s="6" t="s">
        <v>323</v>
      </c>
      <c r="C12" s="7"/>
      <c r="D12" s="259"/>
      <c r="E12" s="260"/>
      <c r="F12" s="261">
        <v>6</v>
      </c>
      <c r="G12" s="260"/>
      <c r="H12" s="7">
        <f>H11-F12</f>
        <v>2</v>
      </c>
      <c r="I12" s="108"/>
      <c r="J12" s="12"/>
      <c r="K12" s="3"/>
      <c r="L12" s="3"/>
      <c r="M12" s="3"/>
      <c r="N12" s="3"/>
      <c r="O12" s="3"/>
    </row>
    <row r="13" spans="1:15" ht="26.7" customHeight="1">
      <c r="A13" s="39" t="s">
        <v>490</v>
      </c>
      <c r="B13" s="38" t="s">
        <v>324</v>
      </c>
      <c r="C13" s="7">
        <v>100</v>
      </c>
      <c r="D13" s="259" t="s">
        <v>1004</v>
      </c>
      <c r="E13" s="260"/>
      <c r="F13" s="261"/>
      <c r="G13" s="260"/>
      <c r="H13" s="7">
        <v>102</v>
      </c>
      <c r="I13" s="26" t="s">
        <v>437</v>
      </c>
      <c r="J13" s="12"/>
      <c r="K13" s="3"/>
      <c r="L13" s="3"/>
      <c r="M13" s="3"/>
      <c r="N13" s="3"/>
      <c r="O13" s="3"/>
    </row>
    <row r="14" spans="1:15" ht="26.7" customHeight="1">
      <c r="A14" s="107" t="s">
        <v>544</v>
      </c>
      <c r="B14" s="6" t="s">
        <v>324</v>
      </c>
      <c r="C14" s="7">
        <v>120</v>
      </c>
      <c r="D14" s="259" t="s">
        <v>1004</v>
      </c>
      <c r="E14" s="260"/>
      <c r="F14" s="261"/>
      <c r="G14" s="260"/>
      <c r="H14" s="7">
        <v>222</v>
      </c>
      <c r="I14" s="108" t="s">
        <v>437</v>
      </c>
      <c r="J14" s="12"/>
      <c r="K14" s="3"/>
      <c r="L14" s="3"/>
      <c r="M14" s="3"/>
      <c r="N14" s="3"/>
      <c r="O14" s="3"/>
    </row>
    <row r="15" spans="1:15" ht="26.7" customHeight="1">
      <c r="A15" s="107" t="s">
        <v>498</v>
      </c>
      <c r="B15" s="38" t="s">
        <v>323</v>
      </c>
      <c r="C15" s="7"/>
      <c r="D15" s="259"/>
      <c r="E15" s="260"/>
      <c r="F15" s="261">
        <v>56</v>
      </c>
      <c r="G15" s="260"/>
      <c r="H15" s="7">
        <f>H14-F15</f>
        <v>166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25" t="s">
        <v>505</v>
      </c>
      <c r="B16" s="6" t="s">
        <v>323</v>
      </c>
      <c r="C16" s="7"/>
      <c r="D16" s="259"/>
      <c r="E16" s="260"/>
      <c r="F16" s="261">
        <v>56</v>
      </c>
      <c r="G16" s="260"/>
      <c r="H16" s="7">
        <f>H15-F16</f>
        <v>110</v>
      </c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/>
  <dimension ref="A1:O96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6.44140625" style="246" customWidth="1"/>
    <col min="6" max="6" width="6" style="246" customWidth="1"/>
    <col min="7" max="7" width="6.33203125" style="246" customWidth="1"/>
    <col min="8" max="8" width="11.77734375" style="246" customWidth="1"/>
    <col min="9" max="9" width="20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1005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1006</v>
      </c>
      <c r="C3" s="263"/>
      <c r="D3" s="260"/>
      <c r="E3" s="266" t="s">
        <v>11</v>
      </c>
      <c r="F3" s="263"/>
      <c r="G3" s="260"/>
      <c r="H3" s="268" t="s">
        <v>1007</v>
      </c>
      <c r="I3" s="269"/>
      <c r="J3" s="19" t="str">
        <f>B3</f>
        <v>Stilnox C.R 6.25 mg</v>
      </c>
      <c r="K3" s="34" t="s">
        <v>1008</v>
      </c>
      <c r="L3" s="5">
        <f>H7</f>
        <v>0</v>
      </c>
      <c r="M3" s="3">
        <f>SUM(C:C)</f>
        <v>112</v>
      </c>
      <c r="N3" s="3">
        <f>SUM(F:F)</f>
        <v>56</v>
      </c>
      <c r="O3" s="3">
        <f>L3+M3-N3</f>
        <v>56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666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1009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41" t="s">
        <v>694</v>
      </c>
      <c r="B8" s="38" t="s">
        <v>324</v>
      </c>
      <c r="C8" s="38">
        <v>56</v>
      </c>
      <c r="D8" s="259" t="s">
        <v>1010</v>
      </c>
      <c r="E8" s="260"/>
      <c r="F8" s="279"/>
      <c r="G8" s="260"/>
      <c r="H8" s="38">
        <v>56</v>
      </c>
      <c r="I8" s="108" t="s">
        <v>437</v>
      </c>
      <c r="J8" s="12"/>
      <c r="K8" s="3"/>
      <c r="L8" s="3"/>
      <c r="M8" s="3"/>
      <c r="N8" s="3"/>
      <c r="O8" s="3"/>
    </row>
    <row r="9" spans="1:15" ht="26.7" customHeight="1">
      <c r="A9" s="41" t="s">
        <v>409</v>
      </c>
      <c r="B9" s="38" t="s">
        <v>323</v>
      </c>
      <c r="C9" s="38"/>
      <c r="D9" s="259"/>
      <c r="E9" s="260"/>
      <c r="F9" s="279">
        <v>28</v>
      </c>
      <c r="G9" s="260"/>
      <c r="H9" s="38">
        <v>28</v>
      </c>
      <c r="I9" s="26"/>
      <c r="J9" s="12"/>
    </row>
    <row r="10" spans="1:15" ht="26.7" customHeight="1">
      <c r="A10" s="41" t="s">
        <v>339</v>
      </c>
      <c r="B10" s="38" t="s">
        <v>323</v>
      </c>
      <c r="C10" s="38"/>
      <c r="D10" s="259"/>
      <c r="E10" s="260"/>
      <c r="F10" s="279">
        <v>28</v>
      </c>
      <c r="G10" s="260"/>
      <c r="H10" s="38">
        <f>H9-F10</f>
        <v>0</v>
      </c>
      <c r="I10" s="108" t="s">
        <v>437</v>
      </c>
      <c r="J10" s="12"/>
    </row>
    <row r="11" spans="1:15" ht="26.7" customHeight="1">
      <c r="A11" s="41" t="s">
        <v>390</v>
      </c>
      <c r="B11" s="38" t="s">
        <v>324</v>
      </c>
      <c r="C11" s="38">
        <v>56</v>
      </c>
      <c r="D11" s="259" t="s">
        <v>1011</v>
      </c>
      <c r="E11" s="260"/>
      <c r="F11" s="279"/>
      <c r="G11" s="260"/>
      <c r="H11" s="38">
        <v>56</v>
      </c>
      <c r="I11" s="108" t="s">
        <v>437</v>
      </c>
      <c r="J11" s="12"/>
    </row>
    <row r="12" spans="1:15" ht="26.7" customHeight="1">
      <c r="A12" s="41"/>
      <c r="B12" s="38"/>
      <c r="C12" s="38"/>
      <c r="D12" s="259"/>
      <c r="E12" s="260"/>
      <c r="F12" s="279"/>
      <c r="G12" s="260"/>
      <c r="H12" s="38"/>
      <c r="J12" s="12"/>
    </row>
    <row r="13" spans="1:15" ht="26.7" customHeight="1">
      <c r="A13" s="41"/>
      <c r="B13" s="38"/>
      <c r="C13" s="38"/>
      <c r="D13" s="259"/>
      <c r="E13" s="260"/>
      <c r="F13" s="279"/>
      <c r="G13" s="260"/>
      <c r="H13" s="38"/>
      <c r="I13" s="26"/>
      <c r="J13" s="12"/>
    </row>
    <row r="14" spans="1:15" ht="26.7" customHeight="1">
      <c r="A14" s="41"/>
      <c r="B14" s="38"/>
      <c r="C14" s="38"/>
      <c r="D14" s="259"/>
      <c r="E14" s="260"/>
      <c r="F14" s="279"/>
      <c r="G14" s="260"/>
      <c r="H14" s="38"/>
      <c r="I14" s="26" t="s">
        <v>437</v>
      </c>
      <c r="J14" s="12"/>
    </row>
    <row r="15" spans="1:15" ht="26.7" customHeight="1">
      <c r="A15" s="39"/>
      <c r="B15" s="38"/>
      <c r="C15" s="38"/>
      <c r="D15" s="259"/>
      <c r="E15" s="260"/>
      <c r="F15" s="279"/>
      <c r="G15" s="260"/>
      <c r="H15" s="38"/>
      <c r="I15" s="26"/>
      <c r="J15" s="12"/>
    </row>
    <row r="16" spans="1:15" ht="26.7" customHeight="1">
      <c r="A16" s="41"/>
      <c r="B16" s="38"/>
      <c r="C16" s="38"/>
      <c r="D16" s="259"/>
      <c r="E16" s="260"/>
      <c r="F16" s="279"/>
      <c r="G16" s="260"/>
      <c r="H16" s="38"/>
      <c r="I16" s="26"/>
      <c r="J16" s="12"/>
    </row>
    <row r="17" spans="1:10" ht="26.7" customHeight="1">
      <c r="A17" s="41"/>
      <c r="B17" s="38"/>
      <c r="C17" s="38"/>
      <c r="D17" s="259"/>
      <c r="E17" s="260"/>
      <c r="F17" s="279"/>
      <c r="G17" s="260"/>
      <c r="H17" s="38"/>
      <c r="I17" s="26"/>
      <c r="J17" s="12"/>
    </row>
    <row r="18" spans="1:10" ht="26.7" customHeight="1">
      <c r="A18" s="41"/>
      <c r="B18" s="38"/>
      <c r="C18" s="38"/>
      <c r="D18" s="259"/>
      <c r="E18" s="260"/>
      <c r="F18" s="279"/>
      <c r="G18" s="260"/>
      <c r="H18" s="38"/>
      <c r="I18" s="26"/>
      <c r="J18" s="12"/>
    </row>
    <row r="19" spans="1:10" ht="26.7" customHeight="1">
      <c r="A19" s="41"/>
      <c r="B19" s="38"/>
      <c r="C19" s="38"/>
      <c r="D19" s="259"/>
      <c r="E19" s="260"/>
      <c r="F19" s="279"/>
      <c r="G19" s="260"/>
      <c r="H19" s="38"/>
      <c r="I19" s="26"/>
      <c r="J19" s="12"/>
    </row>
    <row r="20" spans="1:10" ht="26.7" customHeight="1">
      <c r="A20" s="41"/>
      <c r="B20" s="38"/>
      <c r="C20" s="38"/>
      <c r="D20" s="259"/>
      <c r="E20" s="260"/>
      <c r="F20" s="279"/>
      <c r="G20" s="260"/>
      <c r="H20" s="38"/>
      <c r="I20" s="26"/>
      <c r="J20" s="12"/>
    </row>
    <row r="21" spans="1:10" ht="26.7" customHeight="1">
      <c r="A21" s="41"/>
      <c r="B21" s="38"/>
      <c r="C21" s="38"/>
      <c r="D21" s="259"/>
      <c r="E21" s="260"/>
      <c r="F21" s="279"/>
      <c r="G21" s="260"/>
      <c r="H21" s="38"/>
      <c r="I21" s="26"/>
      <c r="J21" s="12"/>
    </row>
    <row r="22" spans="1:10" ht="26.7" customHeight="1">
      <c r="A22" s="41"/>
      <c r="B22" s="38"/>
      <c r="C22" s="38"/>
      <c r="D22" s="259"/>
      <c r="E22" s="260"/>
      <c r="F22" s="279"/>
      <c r="G22" s="260"/>
      <c r="H22" s="38"/>
      <c r="I22" s="26"/>
      <c r="J22" s="12"/>
    </row>
    <row r="23" spans="1:10" ht="26.7" customHeight="1">
      <c r="A23" s="41"/>
      <c r="B23" s="38"/>
      <c r="C23" s="38"/>
      <c r="D23" s="259"/>
      <c r="E23" s="260"/>
      <c r="F23" s="279"/>
      <c r="G23" s="260"/>
      <c r="H23" s="38"/>
      <c r="I23" s="26"/>
      <c r="J23" s="12"/>
    </row>
    <row r="24" spans="1:10" ht="21" customHeight="1">
      <c r="A24" s="41"/>
      <c r="B24" s="38"/>
      <c r="C24" s="38"/>
      <c r="D24" s="259"/>
      <c r="E24" s="260"/>
      <c r="F24" s="279"/>
      <c r="G24" s="260"/>
      <c r="H24" s="38"/>
      <c r="I24" s="26"/>
      <c r="J24" s="3"/>
    </row>
    <row r="25" spans="1:10" ht="21" customHeight="1">
      <c r="A25" s="41"/>
      <c r="B25" s="38"/>
      <c r="C25" s="38"/>
      <c r="D25" s="259"/>
      <c r="E25" s="260"/>
      <c r="F25" s="279"/>
      <c r="G25" s="260"/>
      <c r="H25" s="38"/>
      <c r="I25" s="26"/>
    </row>
    <row r="26" spans="1:10" ht="21" customHeight="1">
      <c r="A26" s="41"/>
      <c r="B26" s="38"/>
      <c r="C26" s="38"/>
      <c r="D26" s="259"/>
      <c r="E26" s="260"/>
      <c r="F26" s="279"/>
      <c r="G26" s="260"/>
      <c r="H26" s="38"/>
      <c r="I26" s="26"/>
    </row>
    <row r="27" spans="1:10" ht="21" customHeight="1">
      <c r="A27" s="41"/>
      <c r="B27" s="38"/>
      <c r="C27" s="38"/>
      <c r="D27" s="259"/>
      <c r="E27" s="260"/>
      <c r="F27" s="279"/>
      <c r="G27" s="260"/>
      <c r="H27" s="38"/>
      <c r="I27" s="26"/>
    </row>
    <row r="28" spans="1:10" ht="21" customHeight="1">
      <c r="A28" s="41"/>
      <c r="B28" s="38"/>
      <c r="C28" s="38"/>
      <c r="D28" s="259"/>
      <c r="E28" s="260"/>
      <c r="F28" s="279"/>
      <c r="G28" s="260"/>
      <c r="H28" s="38"/>
      <c r="I28" s="26"/>
    </row>
    <row r="29" spans="1:10" ht="21" customHeight="1">
      <c r="A29" s="41"/>
      <c r="B29" s="38"/>
      <c r="C29" s="38"/>
      <c r="D29" s="259"/>
      <c r="E29" s="260"/>
      <c r="F29" s="279"/>
      <c r="G29" s="260"/>
      <c r="H29" s="38"/>
      <c r="I29" s="26"/>
    </row>
    <row r="30" spans="1:10" ht="21" customHeight="1">
      <c r="A30" s="41"/>
      <c r="B30" s="38"/>
      <c r="C30" s="38"/>
      <c r="D30" s="259"/>
      <c r="E30" s="260"/>
      <c r="F30" s="279"/>
      <c r="G30" s="260"/>
      <c r="H30" s="38"/>
      <c r="I30" s="26"/>
    </row>
    <row r="31" spans="1:10" ht="21" customHeight="1">
      <c r="A31" s="41"/>
      <c r="B31" s="38"/>
      <c r="C31" s="38"/>
      <c r="D31" s="259"/>
      <c r="E31" s="260"/>
      <c r="F31" s="279"/>
      <c r="G31" s="260"/>
      <c r="H31" s="38"/>
      <c r="I31" s="26"/>
    </row>
    <row r="32" spans="1:10" ht="21" customHeight="1">
      <c r="A32" s="41"/>
      <c r="B32" s="38"/>
      <c r="C32" s="38"/>
      <c r="D32" s="259"/>
      <c r="E32" s="260"/>
      <c r="F32" s="279"/>
      <c r="G32" s="260"/>
      <c r="H32" s="38"/>
      <c r="I32" s="26"/>
    </row>
    <row r="33" spans="1:9" ht="21" customHeight="1">
      <c r="A33" s="41"/>
      <c r="B33" s="38"/>
      <c r="C33" s="38"/>
      <c r="D33" s="259"/>
      <c r="E33" s="260"/>
      <c r="F33" s="279"/>
      <c r="G33" s="260"/>
      <c r="H33" s="38"/>
      <c r="I33" s="26"/>
    </row>
    <row r="34" spans="1:9" ht="21" customHeight="1">
      <c r="A34" s="41"/>
      <c r="B34" s="38"/>
      <c r="C34" s="38"/>
      <c r="D34" s="259"/>
      <c r="E34" s="260"/>
      <c r="F34" s="279"/>
      <c r="G34" s="260"/>
      <c r="H34" s="38"/>
      <c r="I34" s="26"/>
    </row>
    <row r="35" spans="1:9" ht="21" customHeight="1">
      <c r="A35" s="41"/>
      <c r="B35" s="38"/>
      <c r="C35" s="38"/>
      <c r="D35" s="259"/>
      <c r="E35" s="260"/>
      <c r="F35" s="279"/>
      <c r="G35" s="260"/>
      <c r="H35" s="38"/>
      <c r="I35" s="26"/>
    </row>
    <row r="36" spans="1:9" ht="21" customHeight="1">
      <c r="A36" s="41"/>
      <c r="B36" s="38"/>
      <c r="C36" s="38"/>
      <c r="D36" s="259"/>
      <c r="E36" s="260"/>
      <c r="F36" s="279"/>
      <c r="G36" s="260"/>
      <c r="H36" s="38"/>
      <c r="I36" s="26"/>
    </row>
    <row r="37" spans="1:9" ht="21" customHeight="1">
      <c r="A37" s="41"/>
      <c r="B37" s="38"/>
      <c r="C37" s="38"/>
      <c r="D37" s="259"/>
      <c r="E37" s="260"/>
      <c r="F37" s="279"/>
      <c r="G37" s="260"/>
      <c r="H37" s="38"/>
      <c r="I37" s="26"/>
    </row>
    <row r="38" spans="1:9" ht="21" customHeight="1">
      <c r="A38" s="41"/>
      <c r="B38" s="38"/>
      <c r="C38" s="38"/>
      <c r="D38" s="259"/>
      <c r="E38" s="260"/>
      <c r="F38" s="279"/>
      <c r="G38" s="260"/>
      <c r="H38" s="38"/>
      <c r="I38" s="26"/>
    </row>
    <row r="39" spans="1:9" ht="21" customHeight="1">
      <c r="A39" s="41"/>
      <c r="B39" s="6"/>
      <c r="C39" s="38"/>
      <c r="D39" s="259"/>
      <c r="E39" s="260"/>
      <c r="F39" s="279"/>
      <c r="G39" s="260"/>
      <c r="H39" s="38"/>
      <c r="I39" s="7"/>
    </row>
    <row r="40" spans="1:9" ht="21" customHeight="1">
      <c r="A40" s="41"/>
      <c r="B40" s="6"/>
      <c r="C40" s="38"/>
      <c r="D40" s="259"/>
      <c r="E40" s="260"/>
      <c r="F40" s="279"/>
      <c r="G40" s="260"/>
      <c r="H40" s="38"/>
      <c r="I40" s="7"/>
    </row>
    <row r="41" spans="1:9" ht="21" customHeight="1">
      <c r="A41" s="41"/>
      <c r="B41" s="8"/>
      <c r="C41" s="38"/>
      <c r="D41" s="259"/>
      <c r="E41" s="260"/>
      <c r="F41" s="279"/>
      <c r="G41" s="260"/>
      <c r="H41" s="38"/>
      <c r="I41" s="11"/>
    </row>
    <row r="42" spans="1:9" ht="21" customHeight="1">
      <c r="A42" s="41"/>
      <c r="B42" s="6"/>
      <c r="C42" s="38"/>
      <c r="D42" s="259"/>
      <c r="E42" s="260"/>
      <c r="F42" s="279"/>
      <c r="G42" s="260"/>
      <c r="H42" s="38"/>
      <c r="I42" s="7"/>
    </row>
    <row r="43" spans="1:9" ht="21" customHeight="1">
      <c r="A43" s="41"/>
      <c r="B43" s="6"/>
      <c r="C43" s="38"/>
      <c r="D43" s="259"/>
      <c r="E43" s="260"/>
      <c r="F43" s="279"/>
      <c r="G43" s="260"/>
      <c r="H43" s="38"/>
      <c r="I43" s="7"/>
    </row>
    <row r="44" spans="1:9" ht="21" customHeight="1">
      <c r="A44" s="41"/>
      <c r="B44" s="6"/>
      <c r="C44" s="38"/>
      <c r="D44" s="259"/>
      <c r="E44" s="260"/>
      <c r="F44" s="279"/>
      <c r="G44" s="260"/>
      <c r="H44" s="38"/>
      <c r="I44" s="7"/>
    </row>
    <row r="45" spans="1:9" ht="21" customHeight="1">
      <c r="A45" s="41"/>
      <c r="B45" s="6"/>
      <c r="C45" s="38"/>
      <c r="D45" s="259"/>
      <c r="E45" s="260"/>
      <c r="F45" s="279"/>
      <c r="G45" s="260"/>
      <c r="H45" s="38"/>
      <c r="I45" s="7"/>
    </row>
    <row r="46" spans="1:9" ht="21" customHeight="1">
      <c r="A46" s="41"/>
      <c r="B46" s="6"/>
      <c r="C46" s="38"/>
      <c r="D46" s="259"/>
      <c r="E46" s="260"/>
      <c r="F46" s="279"/>
      <c r="G46" s="260"/>
      <c r="H46" s="38"/>
      <c r="I46" s="7"/>
    </row>
    <row r="47" spans="1:9" ht="21" customHeight="1">
      <c r="A47" s="41"/>
      <c r="B47" s="6"/>
      <c r="C47" s="38"/>
      <c r="D47" s="259"/>
      <c r="E47" s="260"/>
      <c r="F47" s="279"/>
      <c r="G47" s="260"/>
      <c r="H47" s="38"/>
      <c r="I47" s="7"/>
    </row>
    <row r="48" spans="1:9" ht="21" customHeight="1">
      <c r="A48" s="41"/>
      <c r="B48" s="6"/>
      <c r="C48" s="38"/>
      <c r="D48" s="259"/>
      <c r="E48" s="260"/>
      <c r="F48" s="279"/>
      <c r="G48" s="260"/>
      <c r="H48" s="38"/>
      <c r="I48" s="16"/>
    </row>
    <row r="49" spans="1:9" ht="21" customHeight="1">
      <c r="A49" s="41"/>
      <c r="B49" s="6"/>
      <c r="C49" s="38"/>
      <c r="D49" s="259"/>
      <c r="E49" s="260"/>
      <c r="F49" s="279"/>
      <c r="G49" s="260"/>
      <c r="H49" s="38"/>
      <c r="I49" s="7"/>
    </row>
    <row r="50" spans="1:9" ht="21" customHeight="1">
      <c r="A50" s="41"/>
      <c r="B50" s="6"/>
      <c r="C50" s="38"/>
      <c r="D50" s="259"/>
      <c r="E50" s="260"/>
      <c r="F50" s="279"/>
      <c r="G50" s="260"/>
      <c r="H50" s="38"/>
      <c r="I50" s="7"/>
    </row>
    <row r="51" spans="1:9" ht="21" customHeight="1">
      <c r="A51" s="41"/>
      <c r="B51" s="6"/>
      <c r="C51" s="38"/>
      <c r="D51" s="259"/>
      <c r="E51" s="260"/>
      <c r="F51" s="279"/>
      <c r="G51" s="260"/>
      <c r="H51" s="38"/>
      <c r="I51" s="7"/>
    </row>
    <row r="52" spans="1:9" ht="21" customHeight="1">
      <c r="A52" s="41"/>
      <c r="B52" s="6"/>
      <c r="C52" s="38"/>
      <c r="D52" s="259"/>
      <c r="E52" s="260"/>
      <c r="F52" s="279"/>
      <c r="G52" s="260"/>
      <c r="H52" s="38"/>
      <c r="I52" s="7"/>
    </row>
    <row r="53" spans="1:9" ht="21" customHeight="1">
      <c r="A53" s="41"/>
      <c r="B53" s="6"/>
      <c r="C53" s="38"/>
      <c r="D53" s="259"/>
      <c r="E53" s="260"/>
      <c r="F53" s="279"/>
      <c r="G53" s="260"/>
      <c r="H53" s="38"/>
      <c r="I53" s="7"/>
    </row>
    <row r="54" spans="1:9" ht="21" customHeight="1">
      <c r="A54" s="41"/>
      <c r="B54" s="6"/>
      <c r="C54" s="38"/>
      <c r="D54" s="259"/>
      <c r="E54" s="260"/>
      <c r="F54" s="279"/>
      <c r="G54" s="260"/>
      <c r="H54" s="38"/>
      <c r="I54" s="7"/>
    </row>
    <row r="55" spans="1:9" ht="21" customHeight="1">
      <c r="A55" s="41"/>
      <c r="B55" s="6"/>
      <c r="C55" s="38"/>
      <c r="D55" s="259"/>
      <c r="E55" s="260"/>
      <c r="F55" s="279"/>
      <c r="G55" s="260"/>
      <c r="H55" s="38"/>
      <c r="I55" s="7"/>
    </row>
    <row r="56" spans="1:9" ht="21" customHeight="1">
      <c r="A56" s="41"/>
      <c r="B56" s="6"/>
      <c r="C56" s="38"/>
      <c r="D56" s="259"/>
      <c r="E56" s="260"/>
      <c r="F56" s="279"/>
      <c r="G56" s="260"/>
      <c r="H56" s="38"/>
      <c r="I56" s="7"/>
    </row>
    <row r="57" spans="1:9" ht="21" customHeight="1">
      <c r="A57" s="41"/>
      <c r="B57" s="6"/>
      <c r="C57" s="38"/>
      <c r="D57" s="259"/>
      <c r="E57" s="260"/>
      <c r="F57" s="279"/>
      <c r="G57" s="260"/>
      <c r="H57" s="38"/>
      <c r="I57" s="7"/>
    </row>
    <row r="58" spans="1:9" ht="21" customHeight="1">
      <c r="A58" s="41"/>
      <c r="B58" s="6"/>
      <c r="C58" s="38"/>
      <c r="D58" s="259"/>
      <c r="E58" s="260"/>
      <c r="F58" s="279"/>
      <c r="G58" s="260"/>
      <c r="H58" s="38"/>
      <c r="I58" s="7"/>
    </row>
    <row r="59" spans="1:9" ht="21" customHeight="1">
      <c r="A59" s="41"/>
      <c r="B59" s="6"/>
      <c r="C59" s="38"/>
      <c r="D59" s="259"/>
      <c r="E59" s="260"/>
      <c r="F59" s="279"/>
      <c r="G59" s="260"/>
      <c r="H59" s="38"/>
      <c r="I59" s="7"/>
    </row>
    <row r="60" spans="1:9" ht="21" customHeight="1">
      <c r="A60" s="41"/>
      <c r="B60" s="6"/>
      <c r="C60" s="38"/>
      <c r="D60" s="259"/>
      <c r="E60" s="260"/>
      <c r="F60" s="279"/>
      <c r="G60" s="260"/>
      <c r="H60" s="38"/>
      <c r="I60" s="7"/>
    </row>
    <row r="61" spans="1:9" ht="21" customHeight="1">
      <c r="A61" s="41"/>
      <c r="B61" s="6"/>
      <c r="C61" s="3"/>
      <c r="D61" s="259"/>
      <c r="E61" s="260"/>
      <c r="F61" s="279"/>
      <c r="G61" s="260"/>
      <c r="H61" s="38"/>
      <c r="I61" s="7"/>
    </row>
    <row r="62" spans="1:9" ht="21" customHeight="1">
      <c r="A62" s="41"/>
      <c r="B62" s="6"/>
      <c r="C62" s="3"/>
      <c r="D62" s="259"/>
      <c r="E62" s="260"/>
      <c r="F62" s="279"/>
      <c r="G62" s="260"/>
      <c r="H62" s="38"/>
      <c r="I62" s="7"/>
    </row>
    <row r="63" spans="1:9" ht="21" customHeight="1">
      <c r="A63" s="41"/>
      <c r="B63" s="6"/>
      <c r="C63" s="3"/>
      <c r="D63" s="259"/>
      <c r="E63" s="260"/>
      <c r="F63" s="279"/>
      <c r="G63" s="260"/>
      <c r="H63" s="38"/>
      <c r="I63" s="7"/>
    </row>
    <row r="64" spans="1:9" ht="21" customHeight="1">
      <c r="A64" s="41"/>
      <c r="B64" s="6"/>
      <c r="C64" s="3"/>
      <c r="D64" s="259"/>
      <c r="E64" s="260"/>
      <c r="F64" s="279"/>
      <c r="G64" s="260"/>
      <c r="H64" s="38"/>
      <c r="I64" s="7"/>
    </row>
    <row r="65" spans="1:9" ht="21" customHeight="1">
      <c r="A65" s="41"/>
      <c r="B65" s="6"/>
      <c r="C65" s="3"/>
      <c r="D65" s="259"/>
      <c r="E65" s="260"/>
      <c r="F65" s="279"/>
      <c r="G65" s="260"/>
      <c r="H65" s="38"/>
      <c r="I65" s="7"/>
    </row>
    <row r="66" spans="1:9" ht="21" customHeight="1">
      <c r="A66" s="41"/>
      <c r="B66" s="6"/>
      <c r="C66" s="3"/>
      <c r="D66" s="259"/>
      <c r="E66" s="260"/>
      <c r="F66" s="279"/>
      <c r="G66" s="260"/>
      <c r="H66" s="38"/>
      <c r="I66" s="7"/>
    </row>
    <row r="67" spans="1:9" ht="21" customHeight="1">
      <c r="A67" s="41"/>
      <c r="B67" s="6"/>
      <c r="C67" s="3"/>
      <c r="D67" s="259"/>
      <c r="E67" s="260"/>
      <c r="F67" s="279"/>
      <c r="G67" s="260"/>
      <c r="H67" s="38"/>
      <c r="I67" s="7"/>
    </row>
    <row r="68" spans="1:9" ht="21" customHeight="1">
      <c r="A68" s="41"/>
      <c r="B68" s="6"/>
      <c r="C68" s="3"/>
      <c r="D68" s="259"/>
      <c r="E68" s="260"/>
      <c r="F68" s="279"/>
      <c r="G68" s="260"/>
      <c r="H68" s="38"/>
      <c r="I68" s="7"/>
    </row>
    <row r="69" spans="1:9" ht="21" customHeight="1">
      <c r="A69" s="41"/>
      <c r="B69" s="6"/>
      <c r="C69" s="3"/>
      <c r="D69" s="259"/>
      <c r="E69" s="260"/>
      <c r="F69" s="279"/>
      <c r="G69" s="260"/>
      <c r="H69" s="38"/>
      <c r="I69" s="7"/>
    </row>
    <row r="70" spans="1:9" ht="21" customHeight="1">
      <c r="A70" s="41"/>
      <c r="B70" s="6"/>
      <c r="C70" s="3"/>
      <c r="D70" s="259"/>
      <c r="E70" s="260"/>
      <c r="F70" s="279"/>
      <c r="G70" s="260"/>
      <c r="H70" s="38"/>
      <c r="I70" s="7"/>
    </row>
    <row r="71" spans="1:9" ht="21" customHeight="1">
      <c r="A71" s="41"/>
      <c r="B71" s="6"/>
      <c r="C71" s="3"/>
      <c r="D71" s="259"/>
      <c r="E71" s="260"/>
      <c r="F71" s="279"/>
      <c r="G71" s="260"/>
      <c r="H71" s="38"/>
      <c r="I71" s="7"/>
    </row>
    <row r="72" spans="1:9" ht="21" customHeight="1">
      <c r="A72" s="41"/>
      <c r="B72" s="6"/>
      <c r="C72" s="3"/>
      <c r="D72" s="259"/>
      <c r="E72" s="260"/>
      <c r="F72" s="279"/>
      <c r="G72" s="260"/>
      <c r="H72" s="38"/>
      <c r="I72" s="7"/>
    </row>
    <row r="73" spans="1:9" ht="21" customHeight="1">
      <c r="A73" s="41"/>
      <c r="B73" s="6"/>
      <c r="C73" s="3"/>
      <c r="D73" s="259"/>
      <c r="E73" s="260"/>
      <c r="F73" s="279"/>
      <c r="G73" s="260"/>
      <c r="H73" s="38"/>
      <c r="I73" s="7"/>
    </row>
    <row r="74" spans="1:9" ht="21" customHeight="1">
      <c r="A74" s="41"/>
      <c r="B74" s="8"/>
      <c r="C74" s="9"/>
      <c r="D74" s="259"/>
      <c r="E74" s="260"/>
      <c r="F74" s="279"/>
      <c r="G74" s="260"/>
      <c r="H74" s="38"/>
      <c r="I74" s="7"/>
    </row>
    <row r="75" spans="1:9" ht="21" customHeight="1">
      <c r="A75" s="41"/>
      <c r="B75" s="6"/>
      <c r="C75" s="3"/>
      <c r="D75" s="259"/>
      <c r="E75" s="260"/>
      <c r="F75" s="279"/>
      <c r="G75" s="260"/>
      <c r="H75" s="38"/>
      <c r="I75" s="7"/>
    </row>
    <row r="76" spans="1:9" ht="21" customHeight="1">
      <c r="A76" s="41"/>
      <c r="B76" s="8"/>
      <c r="C76" s="9"/>
      <c r="D76" s="259"/>
      <c r="E76" s="260"/>
      <c r="F76" s="279"/>
      <c r="G76" s="260"/>
      <c r="H76" s="38"/>
      <c r="I76" s="11"/>
    </row>
    <row r="77" spans="1:9" ht="21" customHeight="1">
      <c r="A77" s="15"/>
      <c r="B77" s="6"/>
      <c r="C77" s="3"/>
      <c r="D77" s="259"/>
      <c r="E77" s="260"/>
      <c r="F77" s="279"/>
      <c r="G77" s="260"/>
      <c r="H77" s="38"/>
      <c r="I77" s="7"/>
    </row>
    <row r="78" spans="1:9" ht="21" customHeight="1">
      <c r="A78" s="15"/>
      <c r="B78" s="6"/>
      <c r="C78" s="9"/>
      <c r="D78" s="259"/>
      <c r="E78" s="260"/>
      <c r="F78" s="279"/>
      <c r="G78" s="260"/>
      <c r="H78" s="38"/>
      <c r="I78" s="7"/>
    </row>
    <row r="79" spans="1:9" ht="21" customHeight="1">
      <c r="A79" s="14"/>
      <c r="B79" s="6"/>
      <c r="C79" s="3"/>
      <c r="D79" s="259"/>
      <c r="E79" s="260"/>
      <c r="F79" s="279"/>
      <c r="G79" s="260"/>
      <c r="H79" s="38"/>
      <c r="I79" s="7"/>
    </row>
    <row r="80" spans="1:9" ht="21" customHeight="1">
      <c r="A80" s="15"/>
      <c r="B80" s="6"/>
      <c r="C80" s="3"/>
      <c r="D80" s="259"/>
      <c r="E80" s="260"/>
      <c r="F80" s="279"/>
      <c r="G80" s="260"/>
      <c r="H80" s="38"/>
      <c r="I80" s="7"/>
    </row>
    <row r="81" spans="1:9" ht="21" customHeight="1">
      <c r="A81" s="15"/>
      <c r="B81" s="6"/>
      <c r="C81" s="3"/>
      <c r="D81" s="259"/>
      <c r="E81" s="260"/>
      <c r="F81" s="279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79"/>
      <c r="G82" s="260"/>
      <c r="H82" s="7"/>
      <c r="I82" s="7"/>
    </row>
    <row r="83" spans="1:9" ht="21" customHeight="1">
      <c r="A83" s="15"/>
      <c r="B83" s="6"/>
      <c r="C83" s="3"/>
      <c r="D83" s="259"/>
      <c r="E83" s="260"/>
      <c r="F83" s="279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79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79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79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79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79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79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79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9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</sheetData>
  <mergeCells count="192">
    <mergeCell ref="D95:E95"/>
    <mergeCell ref="F24:G24"/>
    <mergeCell ref="F12:G12"/>
    <mergeCell ref="F95:G95"/>
    <mergeCell ref="D57:E57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D87:E87"/>
    <mergeCell ref="F38:G38"/>
    <mergeCell ref="D43:E43"/>
    <mergeCell ref="F90:G90"/>
    <mergeCell ref="E3:G3"/>
    <mergeCell ref="D18:E18"/>
    <mergeCell ref="D58:E58"/>
    <mergeCell ref="F27:G27"/>
    <mergeCell ref="F58:G58"/>
    <mergeCell ref="F52:G52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F67:G67"/>
    <mergeCell ref="D8:E8"/>
    <mergeCell ref="F37:G37"/>
    <mergeCell ref="D74:E74"/>
    <mergeCell ref="D68:E68"/>
    <mergeCell ref="D42:E42"/>
    <mergeCell ref="D82:E82"/>
    <mergeCell ref="F82:G82"/>
    <mergeCell ref="F60:G60"/>
    <mergeCell ref="D50:E50"/>
    <mergeCell ref="D96:E96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D91:E91"/>
    <mergeCell ref="F8:G8"/>
    <mergeCell ref="F91:G91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D30:E30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44:G44"/>
    <mergeCell ref="A5:B5"/>
    <mergeCell ref="F49:G49"/>
    <mergeCell ref="D14:E14"/>
    <mergeCell ref="E4:G4"/>
    <mergeCell ref="F14:G14"/>
    <mergeCell ref="D54:E54"/>
    <mergeCell ref="B3:D3"/>
    <mergeCell ref="D44:E44"/>
    <mergeCell ref="D59:E59"/>
    <mergeCell ref="F53:G53"/>
    <mergeCell ref="F94:G94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89:E89"/>
    <mergeCell ref="D79:E79"/>
    <mergeCell ref="F64:G64"/>
    <mergeCell ref="F73:G73"/>
    <mergeCell ref="F87:G87"/>
    <mergeCell ref="D63:E63"/>
    <mergeCell ref="D81:E81"/>
    <mergeCell ref="F89:G89"/>
    <mergeCell ref="F92:G92"/>
    <mergeCell ref="D67:E67"/>
    <mergeCell ref="D90:E90"/>
    <mergeCell ref="F19:G19"/>
    <mergeCell ref="D19:E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76:G76"/>
    <mergeCell ref="F18:G18"/>
    <mergeCell ref="F45:G45"/>
    <mergeCell ref="F33:G33"/>
    <mergeCell ref="F85:G85"/>
    <mergeCell ref="F42:G42"/>
    <mergeCell ref="D9:E9"/>
    <mergeCell ref="F9:G9"/>
    <mergeCell ref="D85:E85"/>
    <mergeCell ref="B4:D4"/>
    <mergeCell ref="F23:G23"/>
    <mergeCell ref="F81:G81"/>
    <mergeCell ref="D62:E62"/>
    <mergeCell ref="D56:E56"/>
    <mergeCell ref="F13:G13"/>
    <mergeCell ref="D71:E71"/>
    <mergeCell ref="F96:G96"/>
    <mergeCell ref="F71:G71"/>
    <mergeCell ref="F56:G56"/>
    <mergeCell ref="F43:G43"/>
    <mergeCell ref="D24:E24"/>
    <mergeCell ref="D64:E64"/>
    <mergeCell ref="D33:E33"/>
    <mergeCell ref="D73:E73"/>
    <mergeCell ref="D51:E51"/>
    <mergeCell ref="D88:E88"/>
    <mergeCell ref="D26:E26"/>
    <mergeCell ref="F88:G88"/>
    <mergeCell ref="F57:G57"/>
    <mergeCell ref="D35:E35"/>
    <mergeCell ref="D10:E10"/>
    <mergeCell ref="F54:G54"/>
    <mergeCell ref="F10:G10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D34:E34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1012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1013</v>
      </c>
      <c r="C3" s="263"/>
      <c r="D3" s="260"/>
      <c r="E3" s="266" t="s">
        <v>11</v>
      </c>
      <c r="F3" s="263"/>
      <c r="G3" s="260"/>
      <c r="H3" s="268" t="s">
        <v>1014</v>
      </c>
      <c r="I3" s="269"/>
      <c r="J3" s="19" t="str">
        <f>B3</f>
        <v>Gendergin S.R 1mg</v>
      </c>
      <c r="K3" s="34" t="s">
        <v>1015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1016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1017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3">
    <tabColor theme="2" tint="-0.499984740745262"/>
  </sheetPr>
  <dimension ref="A1:O104"/>
  <sheetViews>
    <sheetView topLeftCell="A31" workbookViewId="0">
      <selection activeCell="I44" sqref="I4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1018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1019</v>
      </c>
      <c r="C3" s="263"/>
      <c r="D3" s="260"/>
      <c r="E3" s="266" t="s">
        <v>11</v>
      </c>
      <c r="F3" s="263"/>
      <c r="G3" s="260"/>
      <c r="H3" s="268" t="s">
        <v>1020</v>
      </c>
      <c r="I3" s="269"/>
      <c r="J3" s="19" t="str">
        <f>B3</f>
        <v>ANXIEDIN 1MG</v>
      </c>
      <c r="K3" s="34" t="s">
        <v>1021</v>
      </c>
      <c r="L3" s="5">
        <f>H7</f>
        <v>28</v>
      </c>
      <c r="M3" s="3">
        <f>SUM(C$8:C$1048576)</f>
        <v>1140</v>
      </c>
      <c r="N3" s="3">
        <f>SUM(F:G)</f>
        <v>1061</v>
      </c>
      <c r="O3" s="3">
        <f>L3+M3-N3</f>
        <v>107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978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1022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s="88" customFormat="1" ht="31.95" customHeight="1">
      <c r="A7" s="39" t="s">
        <v>29</v>
      </c>
      <c r="B7" s="38" t="s">
        <v>5</v>
      </c>
      <c r="C7" s="38">
        <v>28</v>
      </c>
      <c r="D7" s="279"/>
      <c r="E7" s="260"/>
      <c r="F7" s="279"/>
      <c r="G7" s="260"/>
      <c r="H7" s="38">
        <v>28</v>
      </c>
      <c r="I7" s="37" t="s">
        <v>571</v>
      </c>
      <c r="J7" s="12"/>
      <c r="K7" s="3"/>
      <c r="L7" s="3"/>
      <c r="M7" s="3"/>
      <c r="N7" s="3"/>
      <c r="O7" s="3"/>
    </row>
    <row r="8" spans="1:15" s="88" customFormat="1" ht="26.7" customHeight="1">
      <c r="A8" s="39" t="s">
        <v>694</v>
      </c>
      <c r="B8" s="38" t="s">
        <v>324</v>
      </c>
      <c r="C8" s="38">
        <v>60</v>
      </c>
      <c r="D8" s="279" t="s">
        <v>1023</v>
      </c>
      <c r="E8" s="260"/>
      <c r="F8" s="279"/>
      <c r="G8" s="260"/>
      <c r="H8" s="38">
        <v>88</v>
      </c>
      <c r="I8" s="114" t="s">
        <v>437</v>
      </c>
      <c r="J8" s="12"/>
      <c r="K8" s="3"/>
      <c r="L8" s="3"/>
      <c r="M8" s="3"/>
      <c r="N8" s="3"/>
      <c r="O8" s="3"/>
    </row>
    <row r="9" spans="1:15" s="88" customFormat="1" ht="26.7" customHeight="1">
      <c r="A9" s="39" t="s">
        <v>333</v>
      </c>
      <c r="B9" s="38" t="s">
        <v>324</v>
      </c>
      <c r="C9" s="38">
        <v>60</v>
      </c>
      <c r="D9" s="279" t="s">
        <v>1023</v>
      </c>
      <c r="E9" s="260"/>
      <c r="F9" s="279"/>
      <c r="G9" s="260"/>
      <c r="H9" s="38">
        <v>148</v>
      </c>
      <c r="I9" s="37" t="s">
        <v>437</v>
      </c>
      <c r="J9" s="12"/>
      <c r="K9" s="3"/>
      <c r="L9" s="3"/>
      <c r="M9" s="3"/>
      <c r="N9" s="3"/>
      <c r="O9" s="3"/>
    </row>
    <row r="10" spans="1:15" s="88" customFormat="1" ht="26.7" customHeight="1">
      <c r="A10" s="39" t="s">
        <v>334</v>
      </c>
      <c r="B10" s="38" t="s">
        <v>323</v>
      </c>
      <c r="C10" s="38"/>
      <c r="D10" s="279"/>
      <c r="E10" s="260"/>
      <c r="F10" s="279">
        <v>28</v>
      </c>
      <c r="G10" s="260"/>
      <c r="H10" s="38">
        <f>H9-F10</f>
        <v>120</v>
      </c>
      <c r="J10" s="12"/>
      <c r="K10" s="3"/>
      <c r="L10" s="3"/>
      <c r="M10" s="3"/>
      <c r="N10" s="3"/>
      <c r="O10" s="3"/>
    </row>
    <row r="11" spans="1:15" ht="26.7" customHeight="1">
      <c r="A11" s="39" t="s">
        <v>647</v>
      </c>
      <c r="B11" s="38" t="s">
        <v>323</v>
      </c>
      <c r="C11" s="38"/>
      <c r="D11" s="279"/>
      <c r="E11" s="260"/>
      <c r="F11" s="279">
        <v>30</v>
      </c>
      <c r="G11" s="260"/>
      <c r="H11" s="38">
        <f>H10-F11</f>
        <v>90</v>
      </c>
      <c r="I11" s="37"/>
      <c r="J11" s="12"/>
      <c r="K11" s="3"/>
      <c r="L11" s="3"/>
      <c r="M11" s="3"/>
      <c r="N11" s="3"/>
      <c r="O11" s="3"/>
    </row>
    <row r="12" spans="1:15" ht="26.7" customHeight="1">
      <c r="A12" s="39" t="s">
        <v>338</v>
      </c>
      <c r="B12" s="38" t="s">
        <v>323</v>
      </c>
      <c r="C12" s="38"/>
      <c r="D12" s="279"/>
      <c r="E12" s="260"/>
      <c r="F12" s="279">
        <v>28</v>
      </c>
      <c r="G12" s="260"/>
      <c r="H12" s="38">
        <f>H11-F12</f>
        <v>62</v>
      </c>
      <c r="I12" s="37"/>
      <c r="J12" s="12"/>
      <c r="K12" s="3"/>
      <c r="L12" s="3"/>
      <c r="M12" s="3"/>
      <c r="N12" s="3"/>
      <c r="O12" s="3"/>
    </row>
    <row r="13" spans="1:15" ht="26.7" customHeight="1">
      <c r="A13" s="39" t="s">
        <v>577</v>
      </c>
      <c r="B13" s="38" t="s">
        <v>324</v>
      </c>
      <c r="C13" s="38">
        <v>100</v>
      </c>
      <c r="D13" s="279" t="s">
        <v>1024</v>
      </c>
      <c r="E13" s="260"/>
      <c r="F13" s="307"/>
      <c r="G13" s="260"/>
      <c r="H13" s="38">
        <v>162</v>
      </c>
      <c r="I13" s="149" t="s">
        <v>566</v>
      </c>
      <c r="J13" s="12"/>
      <c r="K13" s="3"/>
      <c r="L13" s="3"/>
      <c r="M13" s="3"/>
      <c r="N13" s="3"/>
      <c r="O13" s="3"/>
    </row>
    <row r="14" spans="1:15" ht="26.7" customHeight="1">
      <c r="A14" s="39" t="s">
        <v>475</v>
      </c>
      <c r="B14" s="38" t="s">
        <v>323</v>
      </c>
      <c r="C14" s="40"/>
      <c r="D14" s="279"/>
      <c r="E14" s="260"/>
      <c r="F14" s="279">
        <v>30</v>
      </c>
      <c r="G14" s="260"/>
      <c r="H14" s="38">
        <f>H13-F14</f>
        <v>132</v>
      </c>
      <c r="I14" s="149" t="s">
        <v>437</v>
      </c>
      <c r="J14" s="12"/>
      <c r="K14" s="3"/>
      <c r="L14" s="3"/>
      <c r="M14" s="3"/>
      <c r="N14" s="3"/>
      <c r="O14" s="3"/>
    </row>
    <row r="15" spans="1:15" ht="26.7" customHeight="1">
      <c r="A15" s="39" t="s">
        <v>533</v>
      </c>
      <c r="B15" s="38" t="s">
        <v>324</v>
      </c>
      <c r="C15" s="38">
        <v>100</v>
      </c>
      <c r="D15" s="279" t="s">
        <v>1025</v>
      </c>
      <c r="E15" s="260"/>
      <c r="F15" s="307"/>
      <c r="G15" s="260"/>
      <c r="H15" s="38">
        <v>232</v>
      </c>
      <c r="I15" s="108" t="s">
        <v>437</v>
      </c>
      <c r="J15" s="12"/>
      <c r="K15" s="3"/>
      <c r="L15" s="3"/>
      <c r="M15" s="3"/>
      <c r="N15" s="3"/>
      <c r="O15" s="3"/>
    </row>
    <row r="16" spans="1:15" ht="26.7" customHeight="1">
      <c r="A16" s="39" t="s">
        <v>439</v>
      </c>
      <c r="B16" s="38" t="s">
        <v>323</v>
      </c>
      <c r="C16" s="40"/>
      <c r="D16" s="279"/>
      <c r="E16" s="260"/>
      <c r="F16" s="279">
        <v>56</v>
      </c>
      <c r="G16" s="260"/>
      <c r="H16" s="38">
        <f>H15-F16</f>
        <v>176</v>
      </c>
      <c r="I16" s="78"/>
      <c r="J16" s="12"/>
      <c r="K16" s="3"/>
      <c r="L16" s="3"/>
      <c r="M16" s="3"/>
      <c r="N16" s="3"/>
      <c r="O16" s="3"/>
    </row>
    <row r="17" spans="1:10" ht="26.7" customHeight="1">
      <c r="A17" s="39" t="s">
        <v>482</v>
      </c>
      <c r="B17" s="38" t="s">
        <v>323</v>
      </c>
      <c r="C17" s="40"/>
      <c r="D17" s="279"/>
      <c r="E17" s="260"/>
      <c r="F17" s="279">
        <v>28</v>
      </c>
      <c r="G17" s="260"/>
      <c r="H17" s="38">
        <f>H16-F17</f>
        <v>148</v>
      </c>
      <c r="I17" s="78"/>
      <c r="J17" s="12"/>
    </row>
    <row r="18" spans="1:10" ht="26.7" customHeight="1">
      <c r="A18" s="39" t="s">
        <v>536</v>
      </c>
      <c r="B18" s="38" t="s">
        <v>323</v>
      </c>
      <c r="C18" s="7"/>
      <c r="D18" s="259"/>
      <c r="E18" s="260"/>
      <c r="F18" s="287">
        <v>33</v>
      </c>
      <c r="G18" s="260"/>
      <c r="H18" s="110">
        <f>H17-F18</f>
        <v>115</v>
      </c>
      <c r="I18" s="26" t="s">
        <v>414</v>
      </c>
      <c r="J18" s="12"/>
    </row>
    <row r="19" spans="1:10" ht="26.7" customHeight="1">
      <c r="A19" s="39" t="s">
        <v>351</v>
      </c>
      <c r="B19" s="38" t="s">
        <v>323</v>
      </c>
      <c r="C19" s="7"/>
      <c r="D19" s="259"/>
      <c r="E19" s="260"/>
      <c r="F19" s="287">
        <v>14</v>
      </c>
      <c r="G19" s="260"/>
      <c r="H19" s="110">
        <f>H18-F19</f>
        <v>101</v>
      </c>
      <c r="I19" s="92"/>
      <c r="J19" s="12"/>
    </row>
    <row r="20" spans="1:10" ht="26.7" customHeight="1">
      <c r="A20" s="39" t="s">
        <v>485</v>
      </c>
      <c r="B20" s="38" t="s">
        <v>324</v>
      </c>
      <c r="C20" s="7">
        <v>100</v>
      </c>
      <c r="D20" s="259" t="s">
        <v>1026</v>
      </c>
      <c r="E20" s="260"/>
      <c r="F20" s="261"/>
      <c r="G20" s="260"/>
      <c r="H20" s="7">
        <v>201</v>
      </c>
      <c r="I20" s="108" t="s">
        <v>437</v>
      </c>
      <c r="J20" s="12"/>
    </row>
    <row r="21" spans="1:10" ht="26.7" customHeight="1">
      <c r="A21" s="39" t="s">
        <v>487</v>
      </c>
      <c r="B21" s="38" t="s">
        <v>323</v>
      </c>
      <c r="C21" s="7"/>
      <c r="D21" s="259"/>
      <c r="E21" s="260"/>
      <c r="F21" s="261">
        <v>28</v>
      </c>
      <c r="G21" s="260"/>
      <c r="H21" s="7">
        <f t="shared" ref="H21:H26" si="0">H20-F21</f>
        <v>173</v>
      </c>
      <c r="I21" s="108" t="s">
        <v>437</v>
      </c>
      <c r="J21" s="12"/>
    </row>
    <row r="22" spans="1:10" ht="26.7" customHeight="1">
      <c r="A22" s="39" t="s">
        <v>352</v>
      </c>
      <c r="B22" s="38" t="s">
        <v>323</v>
      </c>
      <c r="C22" s="7"/>
      <c r="D22" s="259"/>
      <c r="E22" s="260"/>
      <c r="F22" s="261">
        <v>14</v>
      </c>
      <c r="G22" s="260"/>
      <c r="H22" s="7">
        <f t="shared" si="0"/>
        <v>159</v>
      </c>
      <c r="I22" s="26"/>
      <c r="J22" s="12"/>
    </row>
    <row r="23" spans="1:10" ht="26.7" customHeight="1">
      <c r="A23" s="39" t="s">
        <v>580</v>
      </c>
      <c r="B23" s="38" t="s">
        <v>323</v>
      </c>
      <c r="C23" s="7"/>
      <c r="D23" s="259"/>
      <c r="E23" s="260"/>
      <c r="F23" s="261">
        <v>14</v>
      </c>
      <c r="G23" s="260"/>
      <c r="H23" s="7">
        <f t="shared" si="0"/>
        <v>145</v>
      </c>
      <c r="I23" s="26"/>
      <c r="J23" s="12"/>
    </row>
    <row r="24" spans="1:10" ht="26.7" customHeight="1">
      <c r="A24" s="39" t="s">
        <v>490</v>
      </c>
      <c r="B24" s="38" t="s">
        <v>323</v>
      </c>
      <c r="C24" s="7"/>
      <c r="D24" s="259"/>
      <c r="E24" s="260"/>
      <c r="F24" s="261">
        <v>60</v>
      </c>
      <c r="G24" s="260"/>
      <c r="H24" s="7">
        <f t="shared" si="0"/>
        <v>85</v>
      </c>
      <c r="I24" s="26" t="s">
        <v>414</v>
      </c>
      <c r="J24" s="12"/>
    </row>
    <row r="25" spans="1:10" ht="26.7" customHeight="1">
      <c r="A25" s="39" t="s">
        <v>355</v>
      </c>
      <c r="B25" s="38" t="s">
        <v>323</v>
      </c>
      <c r="C25" s="7"/>
      <c r="D25" s="259"/>
      <c r="E25" s="260"/>
      <c r="F25" s="261">
        <v>28</v>
      </c>
      <c r="G25" s="260"/>
      <c r="H25" s="7">
        <f t="shared" si="0"/>
        <v>57</v>
      </c>
      <c r="I25" s="28"/>
      <c r="J25" s="12"/>
    </row>
    <row r="26" spans="1:10" ht="26.7" customHeight="1">
      <c r="A26" s="39" t="s">
        <v>418</v>
      </c>
      <c r="B26" s="38" t="s">
        <v>323</v>
      </c>
      <c r="C26" s="7"/>
      <c r="D26" s="259"/>
      <c r="E26" s="260"/>
      <c r="F26" s="261">
        <v>30</v>
      </c>
      <c r="G26" s="260"/>
      <c r="H26" s="7">
        <f t="shared" si="0"/>
        <v>27</v>
      </c>
      <c r="I26" s="26"/>
      <c r="J26" s="12"/>
    </row>
    <row r="27" spans="1:10" ht="26.7" customHeight="1">
      <c r="A27" s="39" t="s">
        <v>418</v>
      </c>
      <c r="B27" s="38" t="s">
        <v>324</v>
      </c>
      <c r="C27" s="7">
        <v>200</v>
      </c>
      <c r="D27" s="259" t="s">
        <v>1027</v>
      </c>
      <c r="E27" s="260"/>
      <c r="F27" s="261"/>
      <c r="G27" s="260"/>
      <c r="H27" s="7">
        <v>227</v>
      </c>
      <c r="I27" s="26" t="s">
        <v>414</v>
      </c>
      <c r="J27" s="12"/>
    </row>
    <row r="28" spans="1:10" ht="26.7" customHeight="1">
      <c r="A28" s="39" t="s">
        <v>582</v>
      </c>
      <c r="B28" s="38" t="s">
        <v>323</v>
      </c>
      <c r="C28" s="7"/>
      <c r="D28" s="259"/>
      <c r="E28" s="260"/>
      <c r="F28" s="261">
        <v>28</v>
      </c>
      <c r="G28" s="260"/>
      <c r="H28" s="7">
        <f t="shared" ref="H28:H34" si="1">H27-F28</f>
        <v>199</v>
      </c>
      <c r="I28" s="26"/>
      <c r="J28" s="12"/>
    </row>
    <row r="29" spans="1:10" ht="26.7" customHeight="1">
      <c r="A29" s="39" t="s">
        <v>357</v>
      </c>
      <c r="B29" s="38" t="s">
        <v>323</v>
      </c>
      <c r="C29" s="7"/>
      <c r="D29" s="259"/>
      <c r="E29" s="260"/>
      <c r="F29" s="261">
        <v>56</v>
      </c>
      <c r="G29" s="260"/>
      <c r="H29" s="7">
        <f t="shared" si="1"/>
        <v>143</v>
      </c>
      <c r="I29" s="26"/>
      <c r="J29" s="12"/>
    </row>
    <row r="30" spans="1:10" ht="26.7" customHeight="1">
      <c r="A30" s="39" t="s">
        <v>497</v>
      </c>
      <c r="B30" s="38" t="s">
        <v>323</v>
      </c>
      <c r="C30" s="7"/>
      <c r="D30" s="259"/>
      <c r="E30" s="260"/>
      <c r="F30" s="261">
        <v>14</v>
      </c>
      <c r="G30" s="260"/>
      <c r="H30" s="7">
        <f t="shared" si="1"/>
        <v>129</v>
      </c>
      <c r="I30" s="26"/>
      <c r="J30" s="12"/>
    </row>
    <row r="31" spans="1:10" ht="26.7" customHeight="1" thickBot="1">
      <c r="A31" s="39" t="s">
        <v>358</v>
      </c>
      <c r="B31" s="30" t="s">
        <v>323</v>
      </c>
      <c r="C31" s="31"/>
      <c r="D31" s="264"/>
      <c r="E31" s="265"/>
      <c r="F31" s="267">
        <v>30</v>
      </c>
      <c r="G31" s="265"/>
      <c r="H31" s="31">
        <f t="shared" si="1"/>
        <v>99</v>
      </c>
      <c r="I31" s="32"/>
      <c r="J31" s="12"/>
    </row>
    <row r="32" spans="1:10" ht="21" customHeight="1">
      <c r="A32" s="39" t="s">
        <v>498</v>
      </c>
      <c r="B32" s="21" t="s">
        <v>323</v>
      </c>
      <c r="C32" s="22"/>
      <c r="D32" s="276"/>
      <c r="E32" s="277"/>
      <c r="F32" s="278">
        <v>30</v>
      </c>
      <c r="G32" s="277"/>
      <c r="H32" s="22">
        <f t="shared" si="1"/>
        <v>69</v>
      </c>
      <c r="I32" s="22"/>
      <c r="J32" s="3"/>
    </row>
    <row r="33" spans="1:9" ht="21" customHeight="1">
      <c r="A33" s="39" t="s">
        <v>449</v>
      </c>
      <c r="B33" s="6" t="s">
        <v>323</v>
      </c>
      <c r="C33" s="7"/>
      <c r="D33" s="259"/>
      <c r="E33" s="260"/>
      <c r="F33" s="261">
        <v>28</v>
      </c>
      <c r="G33" s="260"/>
      <c r="H33" s="7">
        <f t="shared" si="1"/>
        <v>41</v>
      </c>
      <c r="I33" s="7"/>
    </row>
    <row r="34" spans="1:9" ht="21" customHeight="1">
      <c r="A34" s="39" t="s">
        <v>360</v>
      </c>
      <c r="B34" s="6" t="s">
        <v>323</v>
      </c>
      <c r="C34" s="7"/>
      <c r="D34" s="259"/>
      <c r="E34" s="260"/>
      <c r="F34" s="261">
        <v>30</v>
      </c>
      <c r="G34" s="260"/>
      <c r="H34" s="7">
        <f t="shared" si="1"/>
        <v>11</v>
      </c>
      <c r="I34" s="16"/>
    </row>
    <row r="35" spans="1:9" ht="21" customHeight="1">
      <c r="A35" s="39" t="s">
        <v>503</v>
      </c>
      <c r="B35" s="6" t="s">
        <v>324</v>
      </c>
      <c r="C35" s="7">
        <v>100</v>
      </c>
      <c r="D35" s="259" t="s">
        <v>1028</v>
      </c>
      <c r="E35" s="260"/>
      <c r="F35" s="261"/>
      <c r="G35" s="260"/>
      <c r="H35" s="7">
        <v>111</v>
      </c>
      <c r="I35" s="7" t="s">
        <v>414</v>
      </c>
    </row>
    <row r="36" spans="1:9" ht="21" customHeight="1">
      <c r="A36" s="39" t="s">
        <v>504</v>
      </c>
      <c r="B36" s="6" t="s">
        <v>323</v>
      </c>
      <c r="C36" s="7"/>
      <c r="D36" s="259"/>
      <c r="E36" s="260"/>
      <c r="F36" s="261">
        <v>14</v>
      </c>
      <c r="G36" s="260"/>
      <c r="H36" s="7">
        <f>H35-F36</f>
        <v>97</v>
      </c>
      <c r="I36" s="7"/>
    </row>
    <row r="37" spans="1:9" ht="21" customHeight="1">
      <c r="A37" s="39" t="s">
        <v>362</v>
      </c>
      <c r="B37" s="6" t="s">
        <v>323</v>
      </c>
      <c r="C37" s="3"/>
      <c r="D37" s="259"/>
      <c r="E37" s="260"/>
      <c r="F37" s="261">
        <v>14</v>
      </c>
      <c r="G37" s="260"/>
      <c r="H37" s="7">
        <f>H36-F37</f>
        <v>83</v>
      </c>
      <c r="I37" s="16"/>
    </row>
    <row r="38" spans="1:9" ht="21" customHeight="1">
      <c r="A38" s="39" t="s">
        <v>452</v>
      </c>
      <c r="B38" s="6" t="s">
        <v>323</v>
      </c>
      <c r="C38" s="3"/>
      <c r="D38" s="259"/>
      <c r="E38" s="260"/>
      <c r="F38" s="261">
        <v>30</v>
      </c>
      <c r="G38" s="260"/>
      <c r="H38" s="7">
        <f>H37-F38</f>
        <v>53</v>
      </c>
      <c r="I38" s="7"/>
    </row>
    <row r="39" spans="1:9" ht="21" customHeight="1">
      <c r="A39" s="39" t="s">
        <v>399</v>
      </c>
      <c r="B39" s="6" t="s">
        <v>324</v>
      </c>
      <c r="C39" s="3">
        <v>100</v>
      </c>
      <c r="D39" s="259" t="s">
        <v>1029</v>
      </c>
      <c r="E39" s="260"/>
      <c r="F39" s="261"/>
      <c r="G39" s="260"/>
      <c r="H39" s="7">
        <v>153</v>
      </c>
      <c r="I39" s="7" t="s">
        <v>414</v>
      </c>
    </row>
    <row r="40" spans="1:9" ht="21" customHeight="1">
      <c r="A40" s="39" t="s">
        <v>624</v>
      </c>
      <c r="B40" s="6" t="s">
        <v>324</v>
      </c>
      <c r="C40" s="3">
        <v>120</v>
      </c>
      <c r="D40" s="259" t="s">
        <v>1029</v>
      </c>
      <c r="E40" s="260"/>
      <c r="F40" s="261"/>
      <c r="G40" s="260"/>
      <c r="H40" s="7">
        <v>273</v>
      </c>
      <c r="I40" s="109" t="s">
        <v>437</v>
      </c>
    </row>
    <row r="41" spans="1:9" ht="21" customHeight="1">
      <c r="A41" s="39" t="s">
        <v>766</v>
      </c>
      <c r="B41" s="6" t="s">
        <v>323</v>
      </c>
      <c r="C41" s="3"/>
      <c r="D41" s="259"/>
      <c r="E41" s="260"/>
      <c r="F41" s="261">
        <v>28</v>
      </c>
      <c r="G41" s="260"/>
      <c r="H41" s="7">
        <f>H40-F41</f>
        <v>245</v>
      </c>
      <c r="I41" s="7"/>
    </row>
    <row r="42" spans="1:9" ht="21" customHeight="1">
      <c r="A42" s="39" t="s">
        <v>366</v>
      </c>
      <c r="B42" s="6" t="s">
        <v>323</v>
      </c>
      <c r="C42" s="3"/>
      <c r="D42" s="259"/>
      <c r="E42" s="260"/>
      <c r="F42" s="261">
        <v>98</v>
      </c>
      <c r="G42" s="260"/>
      <c r="H42" s="7">
        <f>H41-F42</f>
        <v>147</v>
      </c>
      <c r="I42" s="7"/>
    </row>
    <row r="43" spans="1:9" ht="21" customHeight="1">
      <c r="A43" s="39" t="s">
        <v>626</v>
      </c>
      <c r="B43" s="6" t="s">
        <v>323</v>
      </c>
      <c r="C43" s="3"/>
      <c r="D43" s="259"/>
      <c r="E43" s="260"/>
      <c r="F43" s="261">
        <v>180</v>
      </c>
      <c r="G43" s="260"/>
      <c r="H43" s="7">
        <f>H42-F43</f>
        <v>-33</v>
      </c>
      <c r="I43" s="7"/>
    </row>
    <row r="44" spans="1:9" ht="21" customHeight="1">
      <c r="A44" s="39" t="s">
        <v>369</v>
      </c>
      <c r="B44" s="6" t="s">
        <v>324</v>
      </c>
      <c r="C44" s="3">
        <v>200</v>
      </c>
      <c r="D44" s="259" t="s">
        <v>1029</v>
      </c>
      <c r="E44" s="260"/>
      <c r="F44" s="261"/>
      <c r="G44" s="260"/>
      <c r="H44" s="7">
        <v>167</v>
      </c>
      <c r="I44" s="7" t="s">
        <v>414</v>
      </c>
    </row>
    <row r="45" spans="1:9" ht="21" customHeight="1">
      <c r="A45" s="39" t="s">
        <v>661</v>
      </c>
      <c r="B45" s="6" t="s">
        <v>323</v>
      </c>
      <c r="C45" s="3"/>
      <c r="D45" s="259"/>
      <c r="E45" s="260"/>
      <c r="F45" s="261">
        <v>60</v>
      </c>
      <c r="G45" s="260"/>
      <c r="H45" s="7">
        <f>H44-F45</f>
        <v>107</v>
      </c>
      <c r="I45" s="7"/>
    </row>
    <row r="46" spans="1:9" ht="21" customHeight="1">
      <c r="A46" s="39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39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39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39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39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39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39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39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39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39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39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39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39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39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39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39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39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39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39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39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39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39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39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39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39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39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39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39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39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39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39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39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39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39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39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39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39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39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39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39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39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39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39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4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1030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1031</v>
      </c>
      <c r="C3" s="263"/>
      <c r="D3" s="260"/>
      <c r="E3" s="266" t="s">
        <v>11</v>
      </c>
      <c r="F3" s="263"/>
      <c r="G3" s="260"/>
      <c r="H3" s="268" t="s">
        <v>591</v>
      </c>
      <c r="I3" s="269"/>
      <c r="J3" s="19" t="str">
        <f>B3</f>
        <v xml:space="preserve">Diapine 2mg </v>
      </c>
      <c r="K3" s="34" t="s">
        <v>1032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612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1033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5"/>
  <dimension ref="A1:O100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1034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1035</v>
      </c>
      <c r="C3" s="263"/>
      <c r="D3" s="260"/>
      <c r="E3" s="266" t="s">
        <v>11</v>
      </c>
      <c r="F3" s="263"/>
      <c r="G3" s="260"/>
      <c r="H3" s="268" t="s">
        <v>1035</v>
      </c>
      <c r="I3" s="269"/>
      <c r="J3" s="19" t="str">
        <f>B3</f>
        <v>Phenobarbital 30mg</v>
      </c>
      <c r="K3" s="34" t="s">
        <v>1036</v>
      </c>
      <c r="L3" s="5">
        <f>H7</f>
        <v>2</v>
      </c>
      <c r="M3" s="3">
        <f>SUM(C$8:C$1048576)</f>
        <v>0</v>
      </c>
      <c r="N3" s="3">
        <f>SUM(F:F)</f>
        <v>2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1037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1038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2</v>
      </c>
      <c r="D7" s="280"/>
      <c r="E7" s="260"/>
      <c r="F7" s="280"/>
      <c r="G7" s="260"/>
      <c r="H7" s="155">
        <v>2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334</v>
      </c>
      <c r="B8" s="38" t="s">
        <v>323</v>
      </c>
      <c r="C8" s="7"/>
      <c r="D8" s="259"/>
      <c r="E8" s="260"/>
      <c r="F8" s="261">
        <v>2</v>
      </c>
      <c r="G8" s="260"/>
      <c r="H8" s="38">
        <f>H7-F8</f>
        <v>0</v>
      </c>
      <c r="I8" s="26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7"/>
      <c r="D9" s="259"/>
      <c r="E9" s="260"/>
      <c r="F9" s="261"/>
      <c r="G9" s="260"/>
      <c r="H9" s="38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38"/>
      <c r="I11" s="26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6"/>
      <c r="C13" s="7"/>
      <c r="D13" s="259"/>
      <c r="E13" s="260"/>
      <c r="F13" s="261"/>
      <c r="G13" s="260"/>
      <c r="H13" s="7"/>
      <c r="I13" s="26"/>
      <c r="J13" s="12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8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6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 thickBot="1">
      <c r="A27" s="29"/>
      <c r="B27" s="30"/>
      <c r="C27" s="31"/>
      <c r="D27" s="264"/>
      <c r="E27" s="265"/>
      <c r="F27" s="267"/>
      <c r="G27" s="265"/>
      <c r="H27" s="31"/>
      <c r="I27" s="32"/>
      <c r="J27" s="12"/>
    </row>
    <row r="28" spans="1:10" ht="21" customHeight="1">
      <c r="A28" s="20"/>
      <c r="B28" s="21"/>
      <c r="C28" s="22"/>
      <c r="D28" s="276"/>
      <c r="E28" s="277"/>
      <c r="F28" s="278"/>
      <c r="G28" s="277"/>
      <c r="H28" s="22"/>
      <c r="I28" s="22"/>
      <c r="J28" s="3"/>
    </row>
    <row r="29" spans="1:10" ht="21" customHeight="1">
      <c r="A29" s="13"/>
      <c r="B29" s="6"/>
      <c r="C29" s="7"/>
      <c r="D29" s="259"/>
      <c r="E29" s="260"/>
      <c r="F29" s="261"/>
      <c r="G29" s="260"/>
      <c r="H29" s="7"/>
      <c r="I29" s="7"/>
    </row>
    <row r="30" spans="1:10" ht="21" customHeight="1">
      <c r="A30" s="13"/>
      <c r="B30" s="6"/>
      <c r="C30" s="7"/>
      <c r="D30" s="259"/>
      <c r="E30" s="260"/>
      <c r="F30" s="261"/>
      <c r="G30" s="260"/>
      <c r="H30" s="7"/>
      <c r="I30" s="16"/>
    </row>
    <row r="31" spans="1:10" ht="21" customHeight="1">
      <c r="A31" s="13"/>
      <c r="B31" s="6"/>
      <c r="C31" s="7"/>
      <c r="D31" s="259"/>
      <c r="E31" s="260"/>
      <c r="F31" s="261"/>
      <c r="G31" s="260"/>
      <c r="H31" s="7"/>
      <c r="I31" s="7"/>
    </row>
    <row r="32" spans="1:10" ht="21" customHeight="1">
      <c r="A32" s="13"/>
      <c r="B32" s="6"/>
      <c r="C32" s="7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3"/>
      <c r="D33" s="259"/>
      <c r="E33" s="260"/>
      <c r="F33" s="261"/>
      <c r="G33" s="260"/>
      <c r="H33" s="7"/>
      <c r="I33" s="16"/>
    </row>
    <row r="34" spans="1:9" ht="21" customHeight="1">
      <c r="A34" s="13"/>
      <c r="B34" s="6"/>
      <c r="C34" s="3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10"/>
      <c r="D44" s="259"/>
      <c r="E44" s="260"/>
      <c r="F44" s="261"/>
      <c r="G44" s="260"/>
      <c r="H44" s="7"/>
      <c r="I44" s="7"/>
    </row>
    <row r="45" spans="1:9" ht="21" customHeight="1">
      <c r="A45" s="13"/>
      <c r="B45" s="8"/>
      <c r="C45" s="10"/>
      <c r="D45" s="259"/>
      <c r="E45" s="260"/>
      <c r="F45" s="261"/>
      <c r="G45" s="260"/>
      <c r="H45" s="7"/>
      <c r="I45" s="11"/>
    </row>
    <row r="46" spans="1:9" ht="21" customHeight="1">
      <c r="A46" s="13"/>
      <c r="B46" s="6"/>
      <c r="C46" s="9"/>
      <c r="D46" s="259"/>
      <c r="E46" s="260"/>
      <c r="F46" s="261"/>
      <c r="G46" s="260"/>
      <c r="H46" s="7"/>
      <c r="I46" s="7"/>
    </row>
    <row r="47" spans="1:9" ht="21" customHeight="1">
      <c r="A47" s="14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5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16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9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8"/>
      <c r="C78" s="9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8"/>
      <c r="C80" s="9"/>
      <c r="D80" s="259"/>
      <c r="E80" s="260"/>
      <c r="F80" s="261"/>
      <c r="G80" s="260"/>
      <c r="H80" s="7"/>
      <c r="I80" s="11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9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</sheetData>
  <mergeCells count="200">
    <mergeCell ref="D95:E95"/>
    <mergeCell ref="F95:G95"/>
    <mergeCell ref="D57:E57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18:E18"/>
    <mergeCell ref="F27:G27"/>
    <mergeCell ref="F58:G58"/>
    <mergeCell ref="F52:G52"/>
    <mergeCell ref="F100:G100"/>
    <mergeCell ref="A5:B5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94:E94"/>
    <mergeCell ref="D69:E69"/>
    <mergeCell ref="F11:G11"/>
    <mergeCell ref="F69:G69"/>
    <mergeCell ref="D96:E96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D91:E91"/>
    <mergeCell ref="F8:G8"/>
    <mergeCell ref="F91:G91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F24:G24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F67:G67"/>
    <mergeCell ref="D74:E74"/>
    <mergeCell ref="D68:E68"/>
    <mergeCell ref="D82:E82"/>
    <mergeCell ref="F82:G82"/>
    <mergeCell ref="F60:G60"/>
    <mergeCell ref="D50:E50"/>
    <mergeCell ref="D44:E44"/>
    <mergeCell ref="D59:E59"/>
    <mergeCell ref="F53:G53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E4:G4"/>
    <mergeCell ref="H4:I4"/>
    <mergeCell ref="D8:E8"/>
    <mergeCell ref="F37:G37"/>
    <mergeCell ref="B3:D3"/>
    <mergeCell ref="D42:E42"/>
    <mergeCell ref="D99:E99"/>
    <mergeCell ref="D19:E19"/>
    <mergeCell ref="F6:G6"/>
    <mergeCell ref="F99:G99"/>
    <mergeCell ref="F74:G74"/>
    <mergeCell ref="F83:G83"/>
    <mergeCell ref="F30:G30"/>
    <mergeCell ref="D11:E11"/>
    <mergeCell ref="D76:E76"/>
    <mergeCell ref="F20:G20"/>
    <mergeCell ref="F18:G18"/>
    <mergeCell ref="F33:G33"/>
    <mergeCell ref="F76:G76"/>
    <mergeCell ref="F45:G45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D47:E47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F47:G47"/>
    <mergeCell ref="F62:G62"/>
    <mergeCell ref="D37:E37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F19:G19"/>
    <mergeCell ref="F31:G31"/>
    <mergeCell ref="F46:G46"/>
    <mergeCell ref="F28:G28"/>
    <mergeCell ref="D9:E9"/>
    <mergeCell ref="F9:G9"/>
    <mergeCell ref="D20:E20"/>
    <mergeCell ref="D60:E60"/>
    <mergeCell ref="D100:E10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  <mergeCell ref="D48:E4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/>
  <dimension ref="A1:O101"/>
  <sheetViews>
    <sheetView topLeftCell="A10" workbookViewId="0">
      <selection activeCell="I15" sqref="I15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4.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08" t="s">
        <v>596</v>
      </c>
      <c r="K1" s="108" t="s">
        <v>608</v>
      </c>
      <c r="L1" s="38" t="s">
        <v>515</v>
      </c>
      <c r="M1" s="38" t="s">
        <v>324</v>
      </c>
      <c r="N1" s="1"/>
      <c r="O1" s="1"/>
    </row>
    <row r="2" spans="1:15" ht="34.950000000000003" customHeight="1">
      <c r="A2" s="33" t="s">
        <v>1039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1040</v>
      </c>
      <c r="C3" s="263"/>
      <c r="D3" s="260"/>
      <c r="E3" s="266" t="s">
        <v>11</v>
      </c>
      <c r="F3" s="263"/>
      <c r="G3" s="260"/>
      <c r="H3" s="268" t="s">
        <v>379</v>
      </c>
      <c r="I3" s="269"/>
      <c r="J3" s="19" t="str">
        <f>B3</f>
        <v>Kinzolam 2mg</v>
      </c>
      <c r="K3" s="34" t="s">
        <v>1041</v>
      </c>
      <c r="L3" s="5">
        <f>H7</f>
        <v>2</v>
      </c>
      <c r="M3" s="3">
        <f>SUM(C$8:C$1048576)</f>
        <v>170</v>
      </c>
      <c r="N3" s="3">
        <f>SUM(F:F)</f>
        <v>140</v>
      </c>
      <c r="O3" s="3">
        <f>L3+M3-N3</f>
        <v>32</v>
      </c>
    </row>
    <row r="4" spans="1:15" ht="30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954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1042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2</v>
      </c>
      <c r="D7" s="280"/>
      <c r="E7" s="260"/>
      <c r="F7" s="280"/>
      <c r="G7" s="260"/>
      <c r="H7" s="155">
        <v>2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524</v>
      </c>
      <c r="B8" s="38" t="s">
        <v>324</v>
      </c>
      <c r="C8" s="38">
        <v>60</v>
      </c>
      <c r="D8" s="279" t="s">
        <v>1043</v>
      </c>
      <c r="E8" s="260"/>
      <c r="F8" s="279"/>
      <c r="G8" s="260"/>
      <c r="H8" s="38">
        <v>62</v>
      </c>
      <c r="I8" s="37" t="s">
        <v>437</v>
      </c>
      <c r="J8" s="12"/>
      <c r="K8" s="3"/>
      <c r="L8" s="3"/>
      <c r="M8" s="3"/>
      <c r="N8" s="3"/>
      <c r="O8" s="3"/>
    </row>
    <row r="9" spans="1:15" ht="26.7" customHeight="1">
      <c r="A9" s="39" t="s">
        <v>474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34</v>
      </c>
      <c r="I9" s="37"/>
      <c r="J9" s="12"/>
      <c r="K9" s="3"/>
      <c r="L9" s="3"/>
      <c r="M9" s="3"/>
      <c r="N9" s="3"/>
      <c r="O9" s="3"/>
    </row>
    <row r="10" spans="1:15" ht="26.7" customHeight="1">
      <c r="A10" s="39" t="s">
        <v>634</v>
      </c>
      <c r="B10" s="38" t="s">
        <v>323</v>
      </c>
      <c r="C10" s="38"/>
      <c r="D10" s="279"/>
      <c r="E10" s="260"/>
      <c r="F10" s="279">
        <v>28</v>
      </c>
      <c r="G10" s="260"/>
      <c r="H10" s="38">
        <f>H9-F10</f>
        <v>6</v>
      </c>
      <c r="I10" s="108" t="s">
        <v>414</v>
      </c>
      <c r="J10" s="12"/>
      <c r="K10" s="3"/>
      <c r="L10" s="3"/>
      <c r="M10" s="3"/>
      <c r="N10" s="3"/>
      <c r="O10" s="3"/>
    </row>
    <row r="11" spans="1:15" ht="26.7" customHeight="1">
      <c r="A11" s="39" t="s">
        <v>490</v>
      </c>
      <c r="B11" s="38" t="s">
        <v>324</v>
      </c>
      <c r="C11" s="38">
        <v>30</v>
      </c>
      <c r="D11" s="279" t="s">
        <v>1044</v>
      </c>
      <c r="E11" s="260"/>
      <c r="F11" s="279"/>
      <c r="G11" s="260"/>
      <c r="H11" s="38">
        <v>36</v>
      </c>
      <c r="I11" s="37" t="s">
        <v>414</v>
      </c>
      <c r="J11" s="12"/>
      <c r="K11" s="3"/>
      <c r="L11" s="3"/>
      <c r="M11" s="3"/>
      <c r="N11" s="3"/>
      <c r="O11" s="3"/>
    </row>
    <row r="12" spans="1:15" ht="26.7" customHeight="1">
      <c r="A12" s="39" t="s">
        <v>394</v>
      </c>
      <c r="B12" s="38" t="s">
        <v>323</v>
      </c>
      <c r="C12" s="38"/>
      <c r="D12" s="279"/>
      <c r="E12" s="260"/>
      <c r="F12" s="279">
        <v>28</v>
      </c>
      <c r="G12" s="260"/>
      <c r="H12" s="38">
        <f>H11-F12</f>
        <v>8</v>
      </c>
      <c r="I12" s="37" t="s">
        <v>437</v>
      </c>
      <c r="J12" s="12"/>
      <c r="K12" s="3"/>
      <c r="L12" s="3"/>
      <c r="M12" s="3"/>
      <c r="N12" s="3"/>
      <c r="O12" s="3"/>
    </row>
    <row r="13" spans="1:15" ht="26.7" customHeight="1">
      <c r="A13" s="39" t="s">
        <v>493</v>
      </c>
      <c r="B13" s="38" t="s">
        <v>324</v>
      </c>
      <c r="C13" s="38">
        <v>20</v>
      </c>
      <c r="D13" s="279" t="s">
        <v>1044</v>
      </c>
      <c r="E13" s="260"/>
      <c r="F13" s="279"/>
      <c r="G13" s="260"/>
      <c r="H13" s="38">
        <v>28</v>
      </c>
      <c r="I13" s="37" t="s">
        <v>437</v>
      </c>
      <c r="J13" s="12"/>
      <c r="K13" s="3"/>
      <c r="L13" s="3"/>
      <c r="M13" s="3"/>
      <c r="N13" s="3"/>
      <c r="O13" s="3"/>
    </row>
    <row r="14" spans="1:15" ht="26.7" customHeight="1">
      <c r="A14" s="39" t="s">
        <v>395</v>
      </c>
      <c r="B14" s="38" t="s">
        <v>323</v>
      </c>
      <c r="C14" s="38"/>
      <c r="D14" s="279"/>
      <c r="E14" s="260"/>
      <c r="F14" s="279">
        <v>28</v>
      </c>
      <c r="G14" s="260"/>
      <c r="H14" s="38">
        <f>H13-F14</f>
        <v>0</v>
      </c>
      <c r="I14" s="26" t="s">
        <v>414</v>
      </c>
      <c r="J14" s="12"/>
    </row>
    <row r="15" spans="1:15" ht="26.7" customHeight="1">
      <c r="A15" s="39" t="s">
        <v>508</v>
      </c>
      <c r="B15" s="38" t="s">
        <v>324</v>
      </c>
      <c r="C15" s="38">
        <v>60</v>
      </c>
      <c r="D15" s="279" t="s">
        <v>1045</v>
      </c>
      <c r="E15" s="260"/>
      <c r="F15" s="279"/>
      <c r="G15" s="260"/>
      <c r="H15" s="38">
        <v>60</v>
      </c>
      <c r="I15" s="108" t="s">
        <v>608</v>
      </c>
      <c r="J15" s="12"/>
    </row>
    <row r="16" spans="1:15" ht="26.7" customHeight="1">
      <c r="A16" s="39" t="s">
        <v>661</v>
      </c>
      <c r="B16" s="38" t="s">
        <v>323</v>
      </c>
      <c r="C16" s="38"/>
      <c r="D16" s="279"/>
      <c r="E16" s="260"/>
      <c r="F16" s="279">
        <v>28</v>
      </c>
      <c r="G16" s="260"/>
      <c r="H16" s="38">
        <f>H15-F16</f>
        <v>32</v>
      </c>
      <c r="I16" s="26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26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108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26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26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26"/>
      <c r="J21" s="12"/>
    </row>
    <row r="22" spans="1:10" ht="26.7" customHeight="1">
      <c r="A22" s="39"/>
      <c r="B22" s="38"/>
      <c r="C22" s="38"/>
      <c r="D22" s="279"/>
      <c r="E22" s="260"/>
      <c r="F22" s="279"/>
      <c r="G22" s="260"/>
      <c r="H22" s="38"/>
      <c r="I22" s="28"/>
      <c r="J22" s="12"/>
    </row>
    <row r="23" spans="1:10" ht="26.7" customHeight="1">
      <c r="A23" s="39"/>
      <c r="B23" s="38"/>
      <c r="C23" s="38"/>
      <c r="D23" s="279"/>
      <c r="E23" s="260"/>
      <c r="F23" s="279"/>
      <c r="G23" s="260"/>
      <c r="H23" s="38"/>
      <c r="I23" s="26"/>
      <c r="J23" s="12"/>
    </row>
    <row r="24" spans="1:10" ht="26.7" customHeight="1">
      <c r="A24" s="39"/>
      <c r="B24" s="38"/>
      <c r="C24" s="38"/>
      <c r="D24" s="279"/>
      <c r="E24" s="260"/>
      <c r="F24" s="279"/>
      <c r="G24" s="260"/>
      <c r="H24" s="38"/>
      <c r="I24" s="26"/>
      <c r="J24" s="12"/>
    </row>
    <row r="25" spans="1:10" ht="26.7" customHeight="1">
      <c r="A25" s="39"/>
      <c r="B25" s="38"/>
      <c r="C25" s="38"/>
      <c r="D25" s="279"/>
      <c r="E25" s="260"/>
      <c r="F25" s="279"/>
      <c r="G25" s="260"/>
      <c r="H25" s="38"/>
      <c r="I25" s="26"/>
      <c r="J25" s="12"/>
    </row>
    <row r="26" spans="1:10" ht="26.7" customHeight="1">
      <c r="A26" s="39"/>
      <c r="B26" s="38"/>
      <c r="C26" s="38"/>
      <c r="D26" s="279"/>
      <c r="E26" s="260"/>
      <c r="F26" s="279"/>
      <c r="G26" s="260"/>
      <c r="H26" s="38"/>
      <c r="I26" s="26"/>
      <c r="J26" s="12"/>
    </row>
    <row r="27" spans="1:10" ht="26.7" customHeight="1">
      <c r="A27" s="39"/>
      <c r="B27" s="38"/>
      <c r="C27" s="38"/>
      <c r="D27" s="279"/>
      <c r="E27" s="260"/>
      <c r="F27" s="279"/>
      <c r="G27" s="260"/>
      <c r="H27" s="38"/>
      <c r="I27" s="26"/>
      <c r="J27" s="12"/>
    </row>
    <row r="28" spans="1:10" ht="26.7" customHeight="1" thickBot="1">
      <c r="A28" s="39"/>
      <c r="B28" s="38"/>
      <c r="C28" s="38"/>
      <c r="D28" s="279"/>
      <c r="E28" s="260"/>
      <c r="F28" s="279"/>
      <c r="G28" s="260"/>
      <c r="H28" s="38"/>
      <c r="I28" s="32"/>
      <c r="J28" s="12"/>
    </row>
    <row r="29" spans="1:10" ht="21" customHeight="1">
      <c r="A29" s="39"/>
      <c r="B29" s="38"/>
      <c r="C29" s="38"/>
      <c r="D29" s="279"/>
      <c r="E29" s="260"/>
      <c r="F29" s="279"/>
      <c r="G29" s="260"/>
      <c r="H29" s="38"/>
      <c r="I29" s="22"/>
      <c r="J29" s="3"/>
    </row>
    <row r="30" spans="1:10" ht="21" customHeight="1">
      <c r="A30" s="39"/>
      <c r="B30" s="38"/>
      <c r="C30" s="38"/>
      <c r="D30" s="279"/>
      <c r="E30" s="260"/>
      <c r="F30" s="279"/>
      <c r="G30" s="260"/>
      <c r="H30" s="38"/>
      <c r="I30" s="7"/>
    </row>
    <row r="31" spans="1:10" ht="21" customHeight="1">
      <c r="A31" s="39"/>
      <c r="B31" s="38"/>
      <c r="C31" s="38"/>
      <c r="D31" s="279"/>
      <c r="E31" s="260"/>
      <c r="F31" s="279"/>
      <c r="G31" s="260"/>
      <c r="H31" s="38"/>
      <c r="I31" s="16"/>
    </row>
    <row r="32" spans="1:10" ht="21" customHeight="1">
      <c r="A32" s="39"/>
      <c r="B32" s="38"/>
      <c r="C32" s="38"/>
      <c r="D32" s="279"/>
      <c r="E32" s="260"/>
      <c r="F32" s="279"/>
      <c r="G32" s="260"/>
      <c r="H32" s="38"/>
      <c r="I32" s="7"/>
    </row>
    <row r="33" spans="1:9" ht="21" customHeight="1">
      <c r="A33" s="39"/>
      <c r="B33" s="38"/>
      <c r="C33" s="38"/>
      <c r="D33" s="279"/>
      <c r="E33" s="260"/>
      <c r="F33" s="279"/>
      <c r="G33" s="260"/>
      <c r="H33" s="38"/>
      <c r="I33" s="7"/>
    </row>
    <row r="34" spans="1:9" ht="21" customHeight="1">
      <c r="A34" s="39"/>
      <c r="B34" s="38"/>
      <c r="C34" s="38"/>
      <c r="D34" s="279"/>
      <c r="E34" s="260"/>
      <c r="F34" s="279"/>
      <c r="G34" s="260"/>
      <c r="H34" s="38"/>
      <c r="I34" s="16"/>
    </row>
    <row r="35" spans="1:9" ht="21" customHeight="1">
      <c r="A35" s="39"/>
      <c r="B35" s="6"/>
      <c r="C35" s="38"/>
      <c r="D35" s="279"/>
      <c r="E35" s="260"/>
      <c r="F35" s="279"/>
      <c r="G35" s="260"/>
      <c r="H35" s="38"/>
      <c r="I35" s="7"/>
    </row>
    <row r="36" spans="1:9" ht="21" customHeight="1">
      <c r="A36" s="39"/>
      <c r="B36" s="6"/>
      <c r="C36" s="38"/>
      <c r="D36" s="279"/>
      <c r="E36" s="260"/>
      <c r="F36" s="279"/>
      <c r="G36" s="260"/>
      <c r="H36" s="38"/>
      <c r="I36" s="7"/>
    </row>
    <row r="37" spans="1:9" ht="21" customHeight="1">
      <c r="A37" s="13"/>
      <c r="B37" s="6"/>
      <c r="C37" s="38"/>
      <c r="D37" s="279"/>
      <c r="E37" s="260"/>
      <c r="F37" s="279"/>
      <c r="G37" s="260"/>
      <c r="H37" s="38"/>
      <c r="I37" s="7"/>
    </row>
    <row r="38" spans="1:9" ht="21" customHeight="1">
      <c r="A38" s="13"/>
      <c r="B38" s="6"/>
      <c r="C38" s="38"/>
      <c r="D38" s="279"/>
      <c r="E38" s="260"/>
      <c r="F38" s="279"/>
      <c r="G38" s="260"/>
      <c r="H38" s="38"/>
      <c r="I38" s="7"/>
    </row>
    <row r="39" spans="1:9" ht="21" customHeight="1">
      <c r="A39" s="13"/>
      <c r="B39" s="6"/>
      <c r="C39" s="38"/>
      <c r="D39" s="279"/>
      <c r="E39" s="260"/>
      <c r="F39" s="279"/>
      <c r="G39" s="260"/>
      <c r="H39" s="38"/>
      <c r="I39" s="7"/>
    </row>
    <row r="40" spans="1:9" ht="21" customHeight="1">
      <c r="A40" s="13"/>
      <c r="B40" s="6"/>
      <c r="C40" s="38"/>
      <c r="D40" s="279"/>
      <c r="E40" s="260"/>
      <c r="F40" s="279"/>
      <c r="G40" s="260"/>
      <c r="H40" s="38"/>
      <c r="I40" s="7"/>
    </row>
    <row r="41" spans="1:9" ht="21" customHeight="1">
      <c r="A41" s="13"/>
      <c r="B41" s="6"/>
      <c r="C41" s="38"/>
      <c r="D41" s="279"/>
      <c r="E41" s="260"/>
      <c r="F41" s="279"/>
      <c r="G41" s="260"/>
      <c r="H41" s="38"/>
      <c r="I41" s="7"/>
    </row>
    <row r="42" spans="1:9" ht="21" customHeight="1">
      <c r="A42" s="13"/>
      <c r="B42" s="6"/>
      <c r="C42" s="38"/>
      <c r="D42" s="279"/>
      <c r="E42" s="260"/>
      <c r="F42" s="279"/>
      <c r="G42" s="260"/>
      <c r="H42" s="38"/>
      <c r="I42" s="7"/>
    </row>
    <row r="43" spans="1:9" ht="21" customHeight="1">
      <c r="A43" s="13"/>
      <c r="B43" s="6"/>
      <c r="C43" s="38"/>
      <c r="D43" s="279"/>
      <c r="E43" s="260"/>
      <c r="F43" s="279"/>
      <c r="G43" s="260"/>
      <c r="H43" s="38"/>
      <c r="I43" s="7"/>
    </row>
    <row r="44" spans="1:9" ht="21" customHeight="1">
      <c r="A44" s="13"/>
      <c r="B44" s="6"/>
      <c r="C44" s="38"/>
      <c r="D44" s="279"/>
      <c r="E44" s="260"/>
      <c r="F44" s="279"/>
      <c r="G44" s="260"/>
      <c r="H44" s="38"/>
      <c r="I44" s="7"/>
    </row>
    <row r="45" spans="1:9" ht="21" customHeight="1">
      <c r="A45" s="13"/>
      <c r="B45" s="6"/>
      <c r="C45" s="38"/>
      <c r="D45" s="279"/>
      <c r="E45" s="260"/>
      <c r="F45" s="279"/>
      <c r="G45" s="260"/>
      <c r="H45" s="38"/>
      <c r="I45" s="7"/>
    </row>
    <row r="46" spans="1:9" ht="21" customHeight="1">
      <c r="A46" s="13"/>
      <c r="B46" s="8"/>
      <c r="C46" s="38"/>
      <c r="D46" s="279"/>
      <c r="E46" s="260"/>
      <c r="F46" s="279"/>
      <c r="G46" s="260"/>
      <c r="H46" s="38"/>
      <c r="I46" s="11"/>
    </row>
    <row r="47" spans="1:9" ht="21" customHeight="1">
      <c r="A47" s="13"/>
      <c r="B47" s="6"/>
      <c r="C47" s="38"/>
      <c r="D47" s="279"/>
      <c r="E47" s="260"/>
      <c r="F47" s="279"/>
      <c r="G47" s="260"/>
      <c r="H47" s="38"/>
      <c r="I47" s="7"/>
    </row>
    <row r="48" spans="1:9" ht="21" customHeight="1">
      <c r="A48" s="14"/>
      <c r="B48" s="6"/>
      <c r="C48" s="38"/>
      <c r="D48" s="279"/>
      <c r="E48" s="260"/>
      <c r="F48" s="279"/>
      <c r="G48" s="260"/>
      <c r="H48" s="38"/>
      <c r="I48" s="7"/>
    </row>
    <row r="49" spans="1:9" ht="21" customHeight="1">
      <c r="A49" s="14"/>
      <c r="B49" s="6"/>
      <c r="C49" s="38"/>
      <c r="D49" s="279"/>
      <c r="E49" s="260"/>
      <c r="F49" s="279"/>
      <c r="G49" s="260"/>
      <c r="H49" s="38"/>
      <c r="I49" s="7"/>
    </row>
    <row r="50" spans="1:9" ht="21" customHeight="1">
      <c r="A50" s="15"/>
      <c r="B50" s="6"/>
      <c r="C50" s="38"/>
      <c r="D50" s="279"/>
      <c r="E50" s="260"/>
      <c r="F50" s="279"/>
      <c r="G50" s="260"/>
      <c r="H50" s="38"/>
      <c r="I50" s="7"/>
    </row>
    <row r="51" spans="1:9" ht="21" customHeight="1">
      <c r="A51" s="14"/>
      <c r="B51" s="6"/>
      <c r="C51" s="38"/>
      <c r="D51" s="279"/>
      <c r="E51" s="260"/>
      <c r="F51" s="279"/>
      <c r="G51" s="260"/>
      <c r="H51" s="38"/>
      <c r="I51" s="7"/>
    </row>
    <row r="52" spans="1:9" ht="21" customHeight="1">
      <c r="A52" s="14"/>
      <c r="B52" s="6"/>
      <c r="C52" s="38"/>
      <c r="D52" s="279"/>
      <c r="E52" s="260"/>
      <c r="F52" s="279"/>
      <c r="G52" s="260"/>
      <c r="H52" s="38"/>
      <c r="I52" s="7"/>
    </row>
    <row r="53" spans="1:9" ht="21" customHeight="1">
      <c r="A53" s="14"/>
      <c r="B53" s="6"/>
      <c r="C53" s="38"/>
      <c r="D53" s="279"/>
      <c r="E53" s="260"/>
      <c r="F53" s="279"/>
      <c r="G53" s="260"/>
      <c r="H53" s="38"/>
      <c r="I53" s="16"/>
    </row>
    <row r="54" spans="1:9" ht="21" customHeight="1">
      <c r="A54" s="15"/>
      <c r="B54" s="6"/>
      <c r="C54" s="38"/>
      <c r="D54" s="279"/>
      <c r="E54" s="260"/>
      <c r="F54" s="279"/>
      <c r="G54" s="260"/>
      <c r="H54" s="38"/>
      <c r="I54" s="7"/>
    </row>
    <row r="55" spans="1:9" ht="21" customHeight="1">
      <c r="A55" s="15"/>
      <c r="B55" s="6"/>
      <c r="C55" s="38"/>
      <c r="D55" s="279"/>
      <c r="E55" s="260"/>
      <c r="F55" s="279"/>
      <c r="G55" s="260"/>
      <c r="H55" s="38"/>
      <c r="I55" s="7"/>
    </row>
    <row r="56" spans="1:9" ht="21" customHeight="1">
      <c r="A56" s="15"/>
      <c r="B56" s="6"/>
      <c r="C56" s="38"/>
      <c r="D56" s="279"/>
      <c r="E56" s="260"/>
      <c r="F56" s="279"/>
      <c r="G56" s="260"/>
      <c r="H56" s="38"/>
      <c r="I56" s="7"/>
    </row>
    <row r="57" spans="1:9" ht="21" customHeight="1">
      <c r="A57" s="14"/>
      <c r="B57" s="6"/>
      <c r="C57" s="38"/>
      <c r="D57" s="279"/>
      <c r="E57" s="260"/>
      <c r="F57" s="279"/>
      <c r="G57" s="260"/>
      <c r="H57" s="38"/>
      <c r="I57" s="7"/>
    </row>
    <row r="58" spans="1:9" ht="21" customHeight="1">
      <c r="A58" s="14"/>
      <c r="B58" s="6"/>
      <c r="C58" s="38"/>
      <c r="D58" s="279"/>
      <c r="E58" s="260"/>
      <c r="F58" s="279"/>
      <c r="G58" s="260"/>
      <c r="H58" s="38"/>
      <c r="I58" s="7"/>
    </row>
    <row r="59" spans="1:9" ht="21" customHeight="1">
      <c r="A59" s="14"/>
      <c r="B59" s="6"/>
      <c r="C59" s="38"/>
      <c r="D59" s="279"/>
      <c r="E59" s="260"/>
      <c r="F59" s="279"/>
      <c r="G59" s="260"/>
      <c r="H59" s="38"/>
      <c r="I59" s="7"/>
    </row>
    <row r="60" spans="1:9" ht="21" customHeight="1">
      <c r="A60" s="15"/>
      <c r="B60" s="6"/>
      <c r="C60" s="38"/>
      <c r="D60" s="279"/>
      <c r="E60" s="260"/>
      <c r="F60" s="279"/>
      <c r="G60" s="260"/>
      <c r="H60" s="38"/>
      <c r="I60" s="7"/>
    </row>
    <row r="61" spans="1:9" ht="21" customHeight="1">
      <c r="A61" s="15"/>
      <c r="B61" s="6"/>
      <c r="C61" s="38"/>
      <c r="D61" s="279"/>
      <c r="E61" s="260"/>
      <c r="F61" s="279"/>
      <c r="G61" s="260"/>
      <c r="H61" s="38"/>
      <c r="I61" s="7"/>
    </row>
    <row r="62" spans="1:9" ht="21" customHeight="1">
      <c r="A62" s="14"/>
      <c r="B62" s="6"/>
      <c r="C62" s="38"/>
      <c r="D62" s="279"/>
      <c r="E62" s="260"/>
      <c r="F62" s="279"/>
      <c r="G62" s="260"/>
      <c r="H62" s="38"/>
      <c r="I62" s="7"/>
    </row>
    <row r="63" spans="1:9" ht="21" customHeight="1">
      <c r="A63" s="15"/>
      <c r="B63" s="6"/>
      <c r="C63" s="38"/>
      <c r="D63" s="279"/>
      <c r="E63" s="260"/>
      <c r="F63" s="279"/>
      <c r="G63" s="260"/>
      <c r="H63" s="38"/>
      <c r="I63" s="7"/>
    </row>
    <row r="64" spans="1:9" ht="21" customHeight="1">
      <c r="A64" s="15"/>
      <c r="B64" s="6"/>
      <c r="C64" s="38"/>
      <c r="D64" s="279"/>
      <c r="E64" s="260"/>
      <c r="F64" s="279"/>
      <c r="G64" s="260"/>
      <c r="H64" s="38"/>
      <c r="I64" s="7"/>
    </row>
    <row r="65" spans="1:9" ht="21" customHeight="1">
      <c r="A65" s="14"/>
      <c r="B65" s="6"/>
      <c r="C65" s="38"/>
      <c r="D65" s="279"/>
      <c r="E65" s="260"/>
      <c r="F65" s="279"/>
      <c r="G65" s="260"/>
      <c r="H65" s="38"/>
      <c r="I65" s="7"/>
    </row>
    <row r="66" spans="1:9" ht="21" customHeight="1">
      <c r="A66" s="15"/>
      <c r="B66" s="6"/>
      <c r="C66" s="38"/>
      <c r="D66" s="279"/>
      <c r="E66" s="260"/>
      <c r="F66" s="279"/>
      <c r="G66" s="260"/>
      <c r="H66" s="38"/>
      <c r="I66" s="7"/>
    </row>
    <row r="67" spans="1:9" ht="21" customHeight="1">
      <c r="A67" s="15"/>
      <c r="B67" s="6"/>
      <c r="C67" s="38"/>
      <c r="D67" s="279"/>
      <c r="E67" s="260"/>
      <c r="F67" s="279"/>
      <c r="G67" s="260"/>
      <c r="H67" s="38"/>
      <c r="I67" s="7"/>
    </row>
    <row r="68" spans="1:9" ht="21" customHeight="1">
      <c r="A68" s="15"/>
      <c r="B68" s="6"/>
      <c r="C68" s="38"/>
      <c r="D68" s="279"/>
      <c r="E68" s="260"/>
      <c r="F68" s="279"/>
      <c r="G68" s="260"/>
      <c r="H68" s="38"/>
      <c r="I68" s="7"/>
    </row>
    <row r="69" spans="1:9" ht="21" customHeight="1">
      <c r="A69" s="14"/>
      <c r="B69" s="6"/>
      <c r="C69" s="38"/>
      <c r="D69" s="279"/>
      <c r="E69" s="260"/>
      <c r="F69" s="279"/>
      <c r="G69" s="260"/>
      <c r="H69" s="38"/>
      <c r="I69" s="7"/>
    </row>
    <row r="70" spans="1:9" ht="21" customHeight="1">
      <c r="A70" s="14"/>
      <c r="B70" s="6"/>
      <c r="C70" s="38"/>
      <c r="D70" s="279"/>
      <c r="E70" s="260"/>
      <c r="F70" s="279"/>
      <c r="G70" s="260"/>
      <c r="H70" s="38"/>
      <c r="I70" s="7"/>
    </row>
    <row r="71" spans="1:9" ht="21" customHeight="1">
      <c r="A71" s="14"/>
      <c r="B71" s="6"/>
      <c r="C71" s="38"/>
      <c r="D71" s="279"/>
      <c r="E71" s="260"/>
      <c r="F71" s="279"/>
      <c r="G71" s="260"/>
      <c r="H71" s="38"/>
      <c r="I71" s="7"/>
    </row>
    <row r="72" spans="1:9" ht="21" customHeight="1">
      <c r="A72" s="15"/>
      <c r="B72" s="6"/>
      <c r="C72" s="38"/>
      <c r="D72" s="279"/>
      <c r="E72" s="260"/>
      <c r="F72" s="279"/>
      <c r="G72" s="260"/>
      <c r="H72" s="38"/>
      <c r="I72" s="7"/>
    </row>
    <row r="73" spans="1:9" ht="21" customHeight="1">
      <c r="A73" s="15"/>
      <c r="B73" s="6"/>
      <c r="C73" s="38"/>
      <c r="D73" s="279"/>
      <c r="E73" s="260"/>
      <c r="F73" s="279"/>
      <c r="G73" s="260"/>
      <c r="H73" s="38"/>
      <c r="I73" s="7"/>
    </row>
    <row r="74" spans="1:9" ht="21" customHeight="1">
      <c r="A74" s="15"/>
      <c r="B74" s="6"/>
      <c r="C74" s="38"/>
      <c r="D74" s="279"/>
      <c r="E74" s="260"/>
      <c r="F74" s="279"/>
      <c r="G74" s="260"/>
      <c r="H74" s="38"/>
      <c r="I74" s="7"/>
    </row>
    <row r="75" spans="1:9" ht="21" customHeight="1">
      <c r="A75" s="14"/>
      <c r="B75" s="6"/>
      <c r="C75" s="38"/>
      <c r="D75" s="279"/>
      <c r="E75" s="260"/>
      <c r="F75" s="279"/>
      <c r="G75" s="260"/>
      <c r="H75" s="38"/>
      <c r="I75" s="7"/>
    </row>
    <row r="76" spans="1:9" ht="21" customHeight="1">
      <c r="A76" s="15"/>
      <c r="B76" s="6"/>
      <c r="C76" s="38"/>
      <c r="D76" s="279"/>
      <c r="E76" s="260"/>
      <c r="F76" s="279"/>
      <c r="G76" s="260"/>
      <c r="H76" s="38"/>
      <c r="I76" s="7"/>
    </row>
    <row r="77" spans="1:9" ht="21" customHeight="1">
      <c r="A77" s="14"/>
      <c r="B77" s="6"/>
      <c r="C77" s="38"/>
      <c r="D77" s="279"/>
      <c r="E77" s="260"/>
      <c r="F77" s="279"/>
      <c r="G77" s="260"/>
      <c r="H77" s="38"/>
      <c r="I77" s="7"/>
    </row>
    <row r="78" spans="1:9" ht="21" customHeight="1">
      <c r="A78" s="14"/>
      <c r="B78" s="6"/>
      <c r="C78" s="38"/>
      <c r="D78" s="279"/>
      <c r="E78" s="260"/>
      <c r="F78" s="279"/>
      <c r="G78" s="260"/>
      <c r="H78" s="38"/>
      <c r="I78" s="7"/>
    </row>
    <row r="79" spans="1:9" ht="21" customHeight="1">
      <c r="A79" s="14"/>
      <c r="B79" s="8"/>
      <c r="C79" s="38"/>
      <c r="D79" s="279"/>
      <c r="E79" s="260"/>
      <c r="F79" s="279"/>
      <c r="G79" s="260"/>
      <c r="H79" s="38"/>
      <c r="I79" s="7"/>
    </row>
    <row r="80" spans="1:9" ht="21" customHeight="1">
      <c r="A80" s="14"/>
      <c r="B80" s="6"/>
      <c r="C80" s="38"/>
      <c r="D80" s="279"/>
      <c r="E80" s="260"/>
      <c r="F80" s="279"/>
      <c r="G80" s="260"/>
      <c r="H80" s="38"/>
      <c r="I80" s="7"/>
    </row>
    <row r="81" spans="1:9" ht="21" customHeight="1">
      <c r="A81" s="15"/>
      <c r="B81" s="8"/>
      <c r="C81" s="38"/>
      <c r="D81" s="279"/>
      <c r="E81" s="260"/>
      <c r="F81" s="279"/>
      <c r="G81" s="260"/>
      <c r="H81" s="38"/>
      <c r="I81" s="11"/>
    </row>
    <row r="82" spans="1:9" ht="21" customHeight="1">
      <c r="A82" s="15"/>
      <c r="B82" s="6"/>
      <c r="C82" s="3"/>
      <c r="D82" s="279"/>
      <c r="E82" s="260"/>
      <c r="F82" s="261"/>
      <c r="G82" s="260"/>
      <c r="H82" s="38"/>
      <c r="I82" s="7"/>
    </row>
    <row r="83" spans="1:9" ht="21" customHeight="1">
      <c r="A83" s="15"/>
      <c r="B83" s="6"/>
      <c r="C83" s="9"/>
      <c r="D83" s="279"/>
      <c r="E83" s="260"/>
      <c r="F83" s="261"/>
      <c r="G83" s="260"/>
      <c r="H83" s="38"/>
      <c r="I83" s="7"/>
    </row>
    <row r="84" spans="1:9" ht="21" customHeight="1">
      <c r="A84" s="14"/>
      <c r="B84" s="6"/>
      <c r="C84" s="3"/>
      <c r="D84" s="279"/>
      <c r="E84" s="260"/>
      <c r="F84" s="261"/>
      <c r="G84" s="260"/>
      <c r="H84" s="38"/>
      <c r="I84" s="7"/>
    </row>
    <row r="85" spans="1:9" ht="21" customHeight="1">
      <c r="A85" s="15"/>
      <c r="B85" s="6"/>
      <c r="C85" s="3"/>
      <c r="D85" s="279"/>
      <c r="E85" s="260"/>
      <c r="F85" s="261"/>
      <c r="G85" s="260"/>
      <c r="H85" s="38"/>
      <c r="I85" s="7"/>
    </row>
    <row r="86" spans="1:9" ht="21" customHeight="1">
      <c r="A86" s="15"/>
      <c r="B86" s="6"/>
      <c r="C86" s="3"/>
      <c r="D86" s="279"/>
      <c r="E86" s="260"/>
      <c r="F86" s="261"/>
      <c r="G86" s="260"/>
      <c r="H86" s="38"/>
      <c r="I86" s="7"/>
    </row>
    <row r="87" spans="1:9" ht="21" customHeight="1">
      <c r="A87" s="14"/>
      <c r="B87" s="6"/>
      <c r="C87" s="3"/>
      <c r="D87" s="279"/>
      <c r="E87" s="260"/>
      <c r="F87" s="261"/>
      <c r="G87" s="260"/>
      <c r="H87" s="38"/>
      <c r="I87" s="7"/>
    </row>
    <row r="88" spans="1:9" ht="21" customHeight="1">
      <c r="A88" s="15"/>
      <c r="B88" s="6"/>
      <c r="C88" s="3"/>
      <c r="D88" s="279"/>
      <c r="E88" s="260"/>
      <c r="F88" s="261"/>
      <c r="G88" s="260"/>
      <c r="H88" s="38"/>
      <c r="I88" s="7"/>
    </row>
    <row r="89" spans="1:9" ht="21" customHeight="1">
      <c r="A89" s="15"/>
      <c r="B89" s="6"/>
      <c r="C89" s="3"/>
      <c r="D89" s="279"/>
      <c r="E89" s="260"/>
      <c r="F89" s="261"/>
      <c r="G89" s="260"/>
      <c r="H89" s="38"/>
      <c r="I89" s="7"/>
    </row>
    <row r="90" spans="1:9" ht="21" customHeight="1">
      <c r="A90" s="15"/>
      <c r="B90" s="6"/>
      <c r="C90" s="3"/>
      <c r="D90" s="279"/>
      <c r="E90" s="260"/>
      <c r="F90" s="261"/>
      <c r="G90" s="260"/>
      <c r="H90" s="38"/>
      <c r="I90" s="7"/>
    </row>
    <row r="91" spans="1:9" ht="21" customHeight="1">
      <c r="A91" s="14"/>
      <c r="B91" s="6"/>
      <c r="C91" s="3"/>
      <c r="D91" s="279"/>
      <c r="E91" s="260"/>
      <c r="F91" s="261"/>
      <c r="G91" s="260"/>
      <c r="H91" s="38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38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38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38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38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38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38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38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38"/>
      <c r="I99" s="7"/>
    </row>
    <row r="100" spans="1:9" ht="21" customHeight="1">
      <c r="A100" s="14"/>
      <c r="B100" s="6"/>
      <c r="C100" s="9"/>
      <c r="D100" s="259"/>
      <c r="E100" s="260"/>
      <c r="F100" s="261"/>
      <c r="G100" s="260"/>
      <c r="H100" s="38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38"/>
      <c r="I101" s="7"/>
    </row>
  </sheetData>
  <mergeCells count="202">
    <mergeCell ref="D95:E95"/>
    <mergeCell ref="F95:G95"/>
    <mergeCell ref="D57:E57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18:E18"/>
    <mergeCell ref="D58:E58"/>
    <mergeCell ref="F27:G27"/>
    <mergeCell ref="F58:G58"/>
    <mergeCell ref="F52:G52"/>
    <mergeCell ref="F101:G101"/>
    <mergeCell ref="D17:E17"/>
    <mergeCell ref="D91:E91"/>
    <mergeCell ref="F8:G8"/>
    <mergeCell ref="F91:G91"/>
    <mergeCell ref="F100:G100"/>
    <mergeCell ref="A5:B5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96:E96"/>
    <mergeCell ref="D65:E65"/>
    <mergeCell ref="F7:G7"/>
    <mergeCell ref="F21:G21"/>
    <mergeCell ref="D52:E52"/>
    <mergeCell ref="D49:E49"/>
    <mergeCell ref="D27:E27"/>
    <mergeCell ref="F36:G36"/>
    <mergeCell ref="F50:G50"/>
    <mergeCell ref="D54:E54"/>
    <mergeCell ref="D94:E94"/>
    <mergeCell ref="D69:E69"/>
    <mergeCell ref="F69:G69"/>
    <mergeCell ref="F11:G11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F67:G67"/>
    <mergeCell ref="D74:E74"/>
    <mergeCell ref="D68:E68"/>
    <mergeCell ref="D82:E82"/>
    <mergeCell ref="F82:G82"/>
    <mergeCell ref="F60:G60"/>
    <mergeCell ref="D50:E50"/>
    <mergeCell ref="D44:E44"/>
    <mergeCell ref="D59:E59"/>
    <mergeCell ref="F53:G53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E4:G4"/>
    <mergeCell ref="H4:I4"/>
    <mergeCell ref="F24:G24"/>
    <mergeCell ref="D8:E8"/>
    <mergeCell ref="F37:G37"/>
    <mergeCell ref="B3:D3"/>
    <mergeCell ref="D42:E42"/>
    <mergeCell ref="D99:E99"/>
    <mergeCell ref="F10:G10"/>
    <mergeCell ref="F99:G99"/>
    <mergeCell ref="F6:G6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D90:E90"/>
    <mergeCell ref="F63:G63"/>
    <mergeCell ref="F34:G34"/>
    <mergeCell ref="D47:E47"/>
    <mergeCell ref="F47:G47"/>
    <mergeCell ref="F62:G62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D19:E19"/>
    <mergeCell ref="F19:G19"/>
    <mergeCell ref="D37:E37"/>
    <mergeCell ref="F31:G31"/>
    <mergeCell ref="F46:G46"/>
    <mergeCell ref="F28:G28"/>
    <mergeCell ref="D9:E9"/>
    <mergeCell ref="F9:G9"/>
    <mergeCell ref="D20:E20"/>
    <mergeCell ref="D60:E60"/>
    <mergeCell ref="D100:E10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  <mergeCell ref="D48:E4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7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1046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1047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Vanipen 0.5mg</v>
      </c>
      <c r="K3" s="34" t="s">
        <v>1048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519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1049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8">
    <tabColor theme="2" tint="-0.499984740745262"/>
  </sheetPr>
  <dimension ref="A1:O95"/>
  <sheetViews>
    <sheetView zoomScale="90" zoomScaleNormal="90" workbookViewId="0">
      <pane ySplit="6" topLeftCell="A7" activePane="bottomLeft" state="frozen"/>
      <selection pane="bottomLeft" activeCell="I14" sqref="I1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1050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7.25" customHeight="1">
      <c r="A3" s="71" t="s">
        <v>9</v>
      </c>
      <c r="B3" s="317" t="s">
        <v>1051</v>
      </c>
      <c r="C3" s="263"/>
      <c r="D3" s="260"/>
      <c r="E3" s="313" t="s">
        <v>11</v>
      </c>
      <c r="F3" s="263"/>
      <c r="G3" s="260"/>
      <c r="H3" s="314" t="s">
        <v>712</v>
      </c>
      <c r="I3" s="269"/>
      <c r="J3" s="19" t="str">
        <f>B3</f>
        <v>Genclone 7.5mg</v>
      </c>
      <c r="K3" s="34" t="s">
        <v>1052</v>
      </c>
      <c r="L3" s="5">
        <f>H7</f>
        <v>84</v>
      </c>
      <c r="M3" s="3">
        <f>SUM(C$8:C$1048576)</f>
        <v>260</v>
      </c>
      <c r="N3" s="3">
        <f>SUM(F:F)</f>
        <v>280</v>
      </c>
      <c r="O3" s="3">
        <f>L3+M3-N3</f>
        <v>64</v>
      </c>
    </row>
    <row r="4" spans="1:15" ht="17.25" customHeight="1">
      <c r="A4" s="71" t="s">
        <v>14</v>
      </c>
      <c r="B4" s="313" t="s">
        <v>15</v>
      </c>
      <c r="C4" s="263"/>
      <c r="D4" s="260"/>
      <c r="E4" s="313" t="s">
        <v>16</v>
      </c>
      <c r="F4" s="263"/>
      <c r="G4" s="260"/>
      <c r="H4" s="316" t="s">
        <v>1016</v>
      </c>
      <c r="I4" s="269"/>
      <c r="J4" s="12"/>
      <c r="K4" s="3"/>
      <c r="L4" s="3"/>
      <c r="M4" s="3"/>
      <c r="N4" s="3"/>
      <c r="O4" s="3"/>
    </row>
    <row r="5" spans="1:15" ht="17.25" customHeight="1">
      <c r="A5" s="315" t="s">
        <v>18</v>
      </c>
      <c r="B5" s="260"/>
      <c r="C5" s="311" t="s">
        <v>1053</v>
      </c>
      <c r="D5" s="263"/>
      <c r="E5" s="263"/>
      <c r="F5" s="263"/>
      <c r="G5" s="260"/>
      <c r="H5" s="72" t="s">
        <v>20</v>
      </c>
      <c r="I5" s="73" t="s">
        <v>21</v>
      </c>
      <c r="J5" s="12"/>
      <c r="K5" s="3"/>
      <c r="L5" s="3"/>
      <c r="M5" s="3"/>
      <c r="N5" s="3"/>
      <c r="O5" s="3"/>
    </row>
    <row r="6" spans="1:15" ht="18" customHeight="1" thickBot="1">
      <c r="A6" s="74" t="s">
        <v>22</v>
      </c>
      <c r="B6" s="75" t="s">
        <v>23</v>
      </c>
      <c r="C6" s="75" t="s">
        <v>24</v>
      </c>
      <c r="D6" s="312" t="s">
        <v>25</v>
      </c>
      <c r="E6" s="286"/>
      <c r="F6" s="312" t="s">
        <v>26</v>
      </c>
      <c r="G6" s="286"/>
      <c r="H6" s="75" t="s">
        <v>27</v>
      </c>
      <c r="I6" s="76" t="s">
        <v>28</v>
      </c>
      <c r="J6" s="12"/>
      <c r="K6" s="3"/>
      <c r="L6" s="3"/>
      <c r="M6" s="3"/>
      <c r="N6" s="3"/>
      <c r="O6" s="3"/>
    </row>
    <row r="7" spans="1:15" ht="26.7" customHeight="1" thickTop="1">
      <c r="A7" s="196" t="s">
        <v>29</v>
      </c>
      <c r="B7" s="155" t="s">
        <v>5</v>
      </c>
      <c r="C7" s="155">
        <v>84</v>
      </c>
      <c r="D7" s="280"/>
      <c r="E7" s="260"/>
      <c r="F7" s="280"/>
      <c r="G7" s="260"/>
      <c r="H7" s="155">
        <v>84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68" t="s">
        <v>432</v>
      </c>
      <c r="B8" s="39" t="s">
        <v>323</v>
      </c>
      <c r="C8" s="40"/>
      <c r="D8" s="279"/>
      <c r="E8" s="260"/>
      <c r="F8" s="279">
        <v>56</v>
      </c>
      <c r="G8" s="260"/>
      <c r="H8" s="38">
        <f>H7-F8</f>
        <v>28</v>
      </c>
      <c r="I8" s="78"/>
      <c r="J8" s="12"/>
    </row>
    <row r="9" spans="1:15" ht="26.7" customHeight="1">
      <c r="A9" s="68" t="s">
        <v>604</v>
      </c>
      <c r="B9" s="39" t="s">
        <v>324</v>
      </c>
      <c r="C9" s="40">
        <v>60</v>
      </c>
      <c r="D9" s="279" t="s">
        <v>1054</v>
      </c>
      <c r="E9" s="260"/>
      <c r="F9" s="279"/>
      <c r="G9" s="260"/>
      <c r="H9" s="38">
        <v>88</v>
      </c>
      <c r="I9" s="78" t="s">
        <v>414</v>
      </c>
      <c r="J9" s="12"/>
    </row>
    <row r="10" spans="1:15" ht="26.7" customHeight="1">
      <c r="A10" s="39" t="s">
        <v>438</v>
      </c>
      <c r="B10" s="38" t="s">
        <v>323</v>
      </c>
      <c r="C10" s="40"/>
      <c r="D10" s="279"/>
      <c r="E10" s="260"/>
      <c r="F10" s="279">
        <v>56</v>
      </c>
      <c r="G10" s="260"/>
      <c r="H10" s="38">
        <f>H9-F10</f>
        <v>32</v>
      </c>
      <c r="I10" s="78"/>
      <c r="J10" s="12"/>
    </row>
    <row r="11" spans="1:15" ht="26.7" customHeight="1">
      <c r="A11" s="68" t="s">
        <v>533</v>
      </c>
      <c r="B11" s="39" t="s">
        <v>324</v>
      </c>
      <c r="C11" s="40">
        <v>30</v>
      </c>
      <c r="D11" s="279" t="s">
        <v>1054</v>
      </c>
      <c r="E11" s="260"/>
      <c r="F11" s="279"/>
      <c r="G11" s="260"/>
      <c r="H11" s="38">
        <v>62</v>
      </c>
      <c r="I11" s="78" t="s">
        <v>754</v>
      </c>
      <c r="J11" s="12"/>
    </row>
    <row r="12" spans="1:15" ht="26.7" customHeight="1">
      <c r="A12" s="39" t="s">
        <v>415</v>
      </c>
      <c r="B12" s="38" t="s">
        <v>323</v>
      </c>
      <c r="C12" s="40"/>
      <c r="D12" s="279"/>
      <c r="E12" s="260"/>
      <c r="F12" s="279">
        <v>56</v>
      </c>
      <c r="G12" s="260"/>
      <c r="H12" s="38">
        <f>H11-F12</f>
        <v>6</v>
      </c>
      <c r="I12" s="78"/>
      <c r="J12" s="12"/>
    </row>
    <row r="13" spans="1:15" ht="26.7" customHeight="1">
      <c r="A13" s="39" t="s">
        <v>583</v>
      </c>
      <c r="B13" s="38" t="s">
        <v>324</v>
      </c>
      <c r="C13" s="40">
        <v>70</v>
      </c>
      <c r="D13" s="279" t="s">
        <v>1055</v>
      </c>
      <c r="E13" s="260"/>
      <c r="F13" s="279"/>
      <c r="G13" s="260"/>
      <c r="H13" s="38">
        <v>76</v>
      </c>
      <c r="I13" s="78" t="s">
        <v>414</v>
      </c>
      <c r="J13" s="12"/>
    </row>
    <row r="14" spans="1:15" ht="26.7" customHeight="1">
      <c r="A14" s="68" t="s">
        <v>449</v>
      </c>
      <c r="B14" s="38" t="s">
        <v>323</v>
      </c>
      <c r="C14" s="40"/>
      <c r="D14" s="279"/>
      <c r="E14" s="260"/>
      <c r="F14" s="279">
        <v>56</v>
      </c>
      <c r="G14" s="260"/>
      <c r="H14" s="38">
        <f>H13-F14</f>
        <v>20</v>
      </c>
      <c r="I14" s="149" t="s">
        <v>437</v>
      </c>
      <c r="J14" s="12"/>
    </row>
    <row r="15" spans="1:15" ht="26.7" customHeight="1">
      <c r="A15" s="39" t="s">
        <v>362</v>
      </c>
      <c r="B15" s="38" t="s">
        <v>324</v>
      </c>
      <c r="C15" s="40">
        <v>100</v>
      </c>
      <c r="D15" s="279" t="s">
        <v>1056</v>
      </c>
      <c r="E15" s="260"/>
      <c r="F15" s="279"/>
      <c r="G15" s="260"/>
      <c r="H15" s="38">
        <v>120</v>
      </c>
      <c r="I15" s="79"/>
      <c r="J15" s="12"/>
    </row>
    <row r="16" spans="1:15" ht="26.7" customHeight="1">
      <c r="A16" s="39" t="s">
        <v>452</v>
      </c>
      <c r="B16" s="38" t="s">
        <v>323</v>
      </c>
      <c r="C16" s="40"/>
      <c r="D16" s="279"/>
      <c r="E16" s="260"/>
      <c r="F16" s="279">
        <v>56</v>
      </c>
      <c r="G16" s="260"/>
      <c r="H16" s="38">
        <f>H15-F16</f>
        <v>64</v>
      </c>
      <c r="I16" s="78"/>
      <c r="J16" s="12"/>
    </row>
    <row r="17" spans="1:10" ht="26.7" customHeight="1">
      <c r="A17" s="39"/>
      <c r="B17" s="38"/>
      <c r="C17" s="40"/>
      <c r="D17" s="279"/>
      <c r="E17" s="260"/>
      <c r="F17" s="279"/>
      <c r="G17" s="260"/>
      <c r="H17" s="38"/>
      <c r="I17" s="78"/>
      <c r="J17" s="12"/>
    </row>
    <row r="18" spans="1:10" ht="26.7" customHeight="1">
      <c r="A18" s="39"/>
      <c r="B18" s="38"/>
      <c r="C18" s="40"/>
      <c r="D18" s="279"/>
      <c r="E18" s="260"/>
      <c r="F18" s="279"/>
      <c r="G18" s="260"/>
      <c r="H18" s="38"/>
      <c r="I18" s="78"/>
      <c r="J18" s="12"/>
    </row>
    <row r="19" spans="1:10" ht="26.7" customHeight="1">
      <c r="A19" s="39"/>
      <c r="B19" s="38"/>
      <c r="C19" s="40"/>
      <c r="D19" s="279"/>
      <c r="E19" s="260"/>
      <c r="F19" s="279"/>
      <c r="G19" s="260"/>
      <c r="H19" s="38"/>
      <c r="I19" s="78"/>
      <c r="J19" s="12"/>
    </row>
    <row r="20" spans="1:10" ht="26.7" customHeight="1">
      <c r="A20" s="39"/>
      <c r="B20" s="38"/>
      <c r="C20" s="40"/>
      <c r="D20" s="279"/>
      <c r="E20" s="260"/>
      <c r="F20" s="279"/>
      <c r="G20" s="260"/>
      <c r="H20" s="38"/>
      <c r="I20" s="78"/>
      <c r="J20" s="12"/>
    </row>
    <row r="21" spans="1:10" ht="17.25" customHeight="1" thickBot="1">
      <c r="A21" s="39"/>
      <c r="B21" s="54"/>
      <c r="C21" s="80"/>
      <c r="D21" s="309"/>
      <c r="E21" s="265"/>
      <c r="F21" s="279"/>
      <c r="G21" s="260"/>
      <c r="H21" s="38"/>
      <c r="I21" s="81"/>
      <c r="J21" s="3"/>
    </row>
    <row r="22" spans="1:10">
      <c r="A22" s="133"/>
      <c r="B22" s="140"/>
      <c r="C22" s="140"/>
      <c r="D22" s="289"/>
      <c r="E22" s="260"/>
      <c r="F22" s="289"/>
      <c r="G22" s="260"/>
      <c r="H22" s="140"/>
      <c r="I22" s="202"/>
    </row>
    <row r="23" spans="1:10">
      <c r="A23" s="39"/>
      <c r="B23" s="38"/>
      <c r="C23" s="40"/>
      <c r="D23" s="279"/>
      <c r="E23" s="260"/>
      <c r="F23" s="279"/>
      <c r="G23" s="260"/>
      <c r="H23" s="38"/>
      <c r="I23" s="40"/>
    </row>
    <row r="24" spans="1:10">
      <c r="A24" s="39"/>
      <c r="B24" s="38"/>
      <c r="C24" s="40"/>
      <c r="D24" s="279"/>
      <c r="E24" s="260"/>
      <c r="F24" s="279"/>
      <c r="G24" s="260"/>
      <c r="H24" s="38"/>
      <c r="I24" s="82"/>
    </row>
    <row r="25" spans="1:10">
      <c r="A25" s="39"/>
      <c r="B25" s="38"/>
      <c r="C25" s="40"/>
      <c r="D25" s="279"/>
      <c r="E25" s="260"/>
      <c r="F25" s="279"/>
      <c r="G25" s="260"/>
      <c r="H25" s="38"/>
      <c r="I25" s="40"/>
    </row>
    <row r="26" spans="1:10">
      <c r="A26" s="39"/>
      <c r="B26" s="38"/>
      <c r="C26" s="40"/>
      <c r="D26" s="279"/>
      <c r="E26" s="260"/>
      <c r="F26" s="279"/>
      <c r="G26" s="260"/>
      <c r="H26" s="38"/>
      <c r="I26" s="40"/>
    </row>
    <row r="27" spans="1:10">
      <c r="A27" s="39"/>
      <c r="B27" s="38"/>
      <c r="C27" s="83"/>
      <c r="D27" s="279"/>
      <c r="E27" s="260"/>
      <c r="F27" s="279"/>
      <c r="G27" s="260"/>
      <c r="H27" s="38"/>
      <c r="I27" s="82"/>
    </row>
    <row r="28" spans="1:10">
      <c r="A28" s="39"/>
      <c r="B28" s="38"/>
      <c r="C28" s="83"/>
      <c r="D28" s="279"/>
      <c r="E28" s="260"/>
      <c r="F28" s="279"/>
      <c r="G28" s="260"/>
      <c r="H28" s="38"/>
      <c r="I28" s="40"/>
    </row>
    <row r="29" spans="1:10">
      <c r="A29" s="39"/>
      <c r="B29" s="38"/>
      <c r="C29" s="83"/>
      <c r="D29" s="279"/>
      <c r="E29" s="260"/>
      <c r="F29" s="279"/>
      <c r="G29" s="260"/>
      <c r="H29" s="38"/>
      <c r="I29" s="40"/>
    </row>
    <row r="30" spans="1:10">
      <c r="A30" s="39"/>
      <c r="B30" s="38"/>
      <c r="C30" s="83"/>
      <c r="D30" s="279"/>
      <c r="E30" s="260"/>
      <c r="F30" s="279"/>
      <c r="G30" s="260"/>
      <c r="H30" s="38"/>
      <c r="I30" s="40"/>
    </row>
    <row r="31" spans="1:10">
      <c r="A31" s="39"/>
      <c r="B31" s="38"/>
      <c r="C31" s="83"/>
      <c r="D31" s="279"/>
      <c r="E31" s="260"/>
      <c r="F31" s="279"/>
      <c r="G31" s="260"/>
      <c r="H31" s="38"/>
      <c r="I31" s="40"/>
    </row>
    <row r="32" spans="1:10">
      <c r="A32" s="39"/>
      <c r="B32" s="38"/>
      <c r="C32" s="83"/>
      <c r="D32" s="279"/>
      <c r="E32" s="260"/>
      <c r="F32" s="279"/>
      <c r="G32" s="260"/>
      <c r="H32" s="38"/>
      <c r="I32" s="40"/>
    </row>
    <row r="33" spans="1:9">
      <c r="A33" s="39"/>
      <c r="B33" s="38"/>
      <c r="C33" s="83"/>
      <c r="D33" s="279"/>
      <c r="E33" s="260"/>
      <c r="F33" s="279"/>
      <c r="G33" s="260"/>
      <c r="H33" s="38"/>
      <c r="I33" s="40"/>
    </row>
    <row r="34" spans="1:9">
      <c r="A34" s="39"/>
      <c r="B34" s="38"/>
      <c r="C34" s="83"/>
      <c r="D34" s="279"/>
      <c r="E34" s="260"/>
      <c r="F34" s="279"/>
      <c r="G34" s="260"/>
      <c r="H34" s="38"/>
      <c r="I34" s="40"/>
    </row>
    <row r="35" spans="1:9">
      <c r="A35" s="39"/>
      <c r="B35" s="38"/>
      <c r="C35" s="83"/>
      <c r="D35" s="279"/>
      <c r="E35" s="260"/>
      <c r="F35" s="279"/>
      <c r="G35" s="260"/>
      <c r="H35" s="38"/>
      <c r="I35" s="40"/>
    </row>
    <row r="36" spans="1:9">
      <c r="A36" s="39"/>
      <c r="B36" s="38"/>
      <c r="C36" s="83"/>
      <c r="D36" s="279"/>
      <c r="E36" s="260"/>
      <c r="F36" s="279"/>
      <c r="G36" s="260"/>
      <c r="H36" s="40"/>
      <c r="I36" s="40"/>
    </row>
    <row r="37" spans="1:9">
      <c r="A37" s="39"/>
      <c r="B37" s="38"/>
      <c r="C37" s="83"/>
      <c r="D37" s="279"/>
      <c r="E37" s="260"/>
      <c r="F37" s="307"/>
      <c r="G37" s="260"/>
      <c r="H37" s="40"/>
      <c r="I37" s="40"/>
    </row>
    <row r="38" spans="1:9">
      <c r="A38" s="39"/>
      <c r="B38" s="38"/>
      <c r="C38" s="83"/>
      <c r="D38" s="279"/>
      <c r="E38" s="260"/>
      <c r="F38" s="307"/>
      <c r="G38" s="260"/>
      <c r="H38" s="40"/>
      <c r="I38" s="40"/>
    </row>
    <row r="39" spans="1:9">
      <c r="A39" s="39"/>
      <c r="B39" s="84"/>
      <c r="C39" s="83"/>
      <c r="D39" s="279"/>
      <c r="E39" s="260"/>
      <c r="F39" s="307"/>
      <c r="G39" s="260"/>
      <c r="H39" s="40"/>
      <c r="I39" s="52"/>
    </row>
    <row r="40" spans="1:9">
      <c r="A40" s="39"/>
      <c r="B40" s="38"/>
      <c r="C40" s="85"/>
      <c r="D40" s="279"/>
      <c r="E40" s="260"/>
      <c r="F40" s="307"/>
      <c r="G40" s="260"/>
      <c r="H40" s="40"/>
      <c r="I40" s="40"/>
    </row>
    <row r="41" spans="1:9">
      <c r="A41" s="39"/>
      <c r="B41" s="38"/>
      <c r="C41" s="83"/>
      <c r="D41" s="279"/>
      <c r="E41" s="260"/>
      <c r="F41" s="307"/>
      <c r="G41" s="260"/>
      <c r="H41" s="40"/>
      <c r="I41" s="40"/>
    </row>
    <row r="42" spans="1:9">
      <c r="A42" s="39"/>
      <c r="B42" s="38"/>
      <c r="C42" s="83"/>
      <c r="D42" s="279"/>
      <c r="E42" s="260"/>
      <c r="F42" s="307"/>
      <c r="G42" s="260"/>
      <c r="H42" s="40"/>
      <c r="I42" s="40"/>
    </row>
    <row r="43" spans="1:9">
      <c r="A43" s="39"/>
      <c r="B43" s="38"/>
      <c r="C43" s="83"/>
      <c r="D43" s="279"/>
      <c r="E43" s="260"/>
      <c r="F43" s="307"/>
      <c r="G43" s="260"/>
      <c r="H43" s="40"/>
      <c r="I43" s="40"/>
    </row>
    <row r="44" spans="1:9">
      <c r="A44" s="86"/>
      <c r="B44" s="38"/>
      <c r="C44" s="83"/>
      <c r="D44" s="279"/>
      <c r="E44" s="260"/>
      <c r="F44" s="307"/>
      <c r="G44" s="260"/>
      <c r="H44" s="40"/>
      <c r="I44" s="40"/>
    </row>
    <row r="45" spans="1:9">
      <c r="A45" s="86"/>
      <c r="B45" s="38"/>
      <c r="C45" s="83"/>
      <c r="D45" s="279"/>
      <c r="E45" s="260"/>
      <c r="F45" s="307"/>
      <c r="G45" s="260"/>
      <c r="H45" s="40"/>
      <c r="I45" s="40"/>
    </row>
    <row r="46" spans="1:9">
      <c r="A46" s="86"/>
      <c r="B46" s="38"/>
      <c r="C46" s="83"/>
      <c r="D46" s="279"/>
      <c r="E46" s="260"/>
      <c r="F46" s="307"/>
      <c r="G46" s="260"/>
      <c r="H46" s="40"/>
      <c r="I46" s="82"/>
    </row>
    <row r="47" spans="1:9">
      <c r="A47" s="87"/>
      <c r="B47" s="38"/>
      <c r="C47" s="83"/>
      <c r="D47" s="279"/>
      <c r="E47" s="260"/>
      <c r="F47" s="307"/>
      <c r="G47" s="260"/>
      <c r="H47" s="40"/>
      <c r="I47" s="40"/>
    </row>
    <row r="48" spans="1:9">
      <c r="A48" s="87"/>
      <c r="B48" s="38"/>
      <c r="C48" s="83"/>
      <c r="D48" s="279"/>
      <c r="E48" s="260"/>
      <c r="F48" s="307"/>
      <c r="G48" s="260"/>
      <c r="H48" s="40"/>
      <c r="I48" s="40"/>
    </row>
    <row r="49" spans="1:9">
      <c r="A49" s="87"/>
      <c r="B49" s="38"/>
      <c r="C49" s="83"/>
      <c r="D49" s="279"/>
      <c r="E49" s="260"/>
      <c r="F49" s="307"/>
      <c r="G49" s="260"/>
      <c r="H49" s="40"/>
      <c r="I49" s="40"/>
    </row>
    <row r="50" spans="1:9">
      <c r="A50" s="86"/>
      <c r="B50" s="38"/>
      <c r="C50" s="83"/>
      <c r="D50" s="279"/>
      <c r="E50" s="260"/>
      <c r="F50" s="307"/>
      <c r="G50" s="260"/>
      <c r="H50" s="40"/>
      <c r="I50" s="40"/>
    </row>
    <row r="51" spans="1:9">
      <c r="A51" s="86"/>
      <c r="B51" s="38"/>
      <c r="C51" s="85"/>
      <c r="D51" s="279"/>
      <c r="E51" s="260"/>
      <c r="F51" s="307"/>
      <c r="G51" s="260"/>
      <c r="H51" s="40"/>
      <c r="I51" s="40"/>
    </row>
    <row r="52" spans="1:9">
      <c r="A52" s="86"/>
      <c r="B52" s="38"/>
      <c r="C52" s="83"/>
      <c r="D52" s="279"/>
      <c r="E52" s="260"/>
      <c r="F52" s="307"/>
      <c r="G52" s="260"/>
      <c r="H52" s="40"/>
      <c r="I52" s="40"/>
    </row>
    <row r="53" spans="1:9">
      <c r="A53" s="87"/>
      <c r="B53" s="38"/>
      <c r="C53" s="83"/>
      <c r="D53" s="279"/>
      <c r="E53" s="260"/>
      <c r="F53" s="307"/>
      <c r="G53" s="260"/>
      <c r="H53" s="40"/>
      <c r="I53" s="40"/>
    </row>
    <row r="54" spans="1:9">
      <c r="A54" s="87"/>
      <c r="B54" s="38"/>
      <c r="C54" s="83"/>
      <c r="D54" s="279"/>
      <c r="E54" s="260"/>
      <c r="F54" s="307"/>
      <c r="G54" s="260"/>
      <c r="H54" s="40"/>
      <c r="I54" s="40"/>
    </row>
    <row r="55" spans="1:9">
      <c r="A55" s="86"/>
      <c r="B55" s="38"/>
      <c r="C55" s="83"/>
      <c r="D55" s="279"/>
      <c r="E55" s="260"/>
      <c r="F55" s="307"/>
      <c r="G55" s="260"/>
      <c r="H55" s="40"/>
      <c r="I55" s="40"/>
    </row>
    <row r="56" spans="1:9">
      <c r="A56" s="87"/>
      <c r="B56" s="38"/>
      <c r="C56" s="83"/>
      <c r="D56" s="279"/>
      <c r="E56" s="260"/>
      <c r="F56" s="307"/>
      <c r="G56" s="260"/>
      <c r="H56" s="40"/>
      <c r="I56" s="40"/>
    </row>
    <row r="57" spans="1:9">
      <c r="A57" s="87"/>
      <c r="B57" s="38"/>
      <c r="C57" s="83"/>
      <c r="D57" s="279"/>
      <c r="E57" s="260"/>
      <c r="F57" s="307"/>
      <c r="G57" s="260"/>
      <c r="H57" s="40"/>
      <c r="I57" s="40"/>
    </row>
    <row r="58" spans="1:9">
      <c r="A58" s="86"/>
      <c r="B58" s="38"/>
      <c r="C58" s="83"/>
      <c r="D58" s="279"/>
      <c r="E58" s="260"/>
      <c r="F58" s="307"/>
      <c r="G58" s="260"/>
      <c r="H58" s="40"/>
      <c r="I58" s="40"/>
    </row>
    <row r="59" spans="1:9">
      <c r="A59" s="87"/>
      <c r="B59" s="38"/>
      <c r="C59" s="83"/>
      <c r="D59" s="279"/>
      <c r="E59" s="260"/>
      <c r="F59" s="307"/>
      <c r="G59" s="260"/>
      <c r="H59" s="40"/>
      <c r="I59" s="40"/>
    </row>
    <row r="60" spans="1:9">
      <c r="A60" s="87"/>
      <c r="B60" s="38"/>
      <c r="C60" s="83"/>
      <c r="D60" s="279"/>
      <c r="E60" s="260"/>
      <c r="F60" s="307"/>
      <c r="G60" s="260"/>
      <c r="H60" s="40"/>
      <c r="I60" s="40"/>
    </row>
    <row r="61" spans="1:9">
      <c r="A61" s="87"/>
      <c r="B61" s="38"/>
      <c r="C61" s="83"/>
      <c r="D61" s="279"/>
      <c r="E61" s="260"/>
      <c r="F61" s="307"/>
      <c r="G61" s="260"/>
      <c r="H61" s="40"/>
      <c r="I61" s="40"/>
    </row>
    <row r="62" spans="1:9">
      <c r="A62" s="86"/>
      <c r="B62" s="38"/>
      <c r="C62" s="83"/>
      <c r="D62" s="279"/>
      <c r="E62" s="260"/>
      <c r="F62" s="307"/>
      <c r="G62" s="260"/>
      <c r="H62" s="40"/>
      <c r="I62" s="40"/>
    </row>
    <row r="63" spans="1:9">
      <c r="A63" s="86"/>
      <c r="B63" s="38"/>
      <c r="C63" s="83"/>
      <c r="D63" s="279"/>
      <c r="E63" s="260"/>
      <c r="F63" s="307"/>
      <c r="G63" s="260"/>
      <c r="H63" s="40"/>
      <c r="I63" s="40"/>
    </row>
    <row r="64" spans="1:9">
      <c r="A64" s="86"/>
      <c r="B64" s="38"/>
      <c r="C64" s="83"/>
      <c r="D64" s="279"/>
      <c r="E64" s="260"/>
      <c r="F64" s="307"/>
      <c r="G64" s="260"/>
      <c r="H64" s="40"/>
      <c r="I64" s="40"/>
    </row>
    <row r="65" spans="1:9">
      <c r="A65" s="87"/>
      <c r="B65" s="38"/>
      <c r="C65" s="83"/>
      <c r="D65" s="279"/>
      <c r="E65" s="260"/>
      <c r="F65" s="307"/>
      <c r="G65" s="260"/>
      <c r="H65" s="40"/>
      <c r="I65" s="40"/>
    </row>
    <row r="66" spans="1:9">
      <c r="A66" s="87"/>
      <c r="B66" s="38"/>
      <c r="C66" s="83"/>
      <c r="D66" s="279"/>
      <c r="E66" s="260"/>
      <c r="F66" s="307"/>
      <c r="G66" s="260"/>
      <c r="H66" s="40"/>
      <c r="I66" s="40"/>
    </row>
    <row r="67" spans="1:9">
      <c r="A67" s="87"/>
      <c r="B67" s="38"/>
      <c r="C67" s="83"/>
      <c r="D67" s="279"/>
      <c r="E67" s="260"/>
      <c r="F67" s="307"/>
      <c r="G67" s="260"/>
      <c r="H67" s="40"/>
      <c r="I67" s="40"/>
    </row>
    <row r="68" spans="1:9">
      <c r="A68" s="86"/>
      <c r="B68" s="38"/>
      <c r="C68" s="83"/>
      <c r="D68" s="279"/>
      <c r="E68" s="260"/>
      <c r="F68" s="307"/>
      <c r="G68" s="260"/>
      <c r="H68" s="40"/>
      <c r="I68" s="40"/>
    </row>
    <row r="69" spans="1:9">
      <c r="A69" s="87"/>
      <c r="B69" s="38"/>
      <c r="C69" s="83"/>
      <c r="D69" s="279"/>
      <c r="E69" s="260"/>
      <c r="F69" s="307"/>
      <c r="G69" s="260"/>
      <c r="H69" s="40"/>
      <c r="I69" s="40"/>
    </row>
    <row r="70" spans="1:9">
      <c r="A70" s="86"/>
      <c r="B70" s="38"/>
      <c r="C70" s="83"/>
      <c r="D70" s="279"/>
      <c r="E70" s="260"/>
      <c r="F70" s="307"/>
      <c r="G70" s="260"/>
      <c r="H70" s="40"/>
      <c r="I70" s="40"/>
    </row>
    <row r="71" spans="1:9">
      <c r="A71" s="86"/>
      <c r="B71" s="38"/>
      <c r="C71" s="83"/>
      <c r="D71" s="279"/>
      <c r="E71" s="260"/>
      <c r="F71" s="307"/>
      <c r="G71" s="260"/>
      <c r="H71" s="40"/>
      <c r="I71" s="40"/>
    </row>
    <row r="72" spans="1:9">
      <c r="A72" s="86"/>
      <c r="B72" s="84"/>
      <c r="C72" s="85"/>
      <c r="D72" s="279"/>
      <c r="E72" s="260"/>
      <c r="F72" s="307"/>
      <c r="G72" s="260"/>
      <c r="H72" s="40"/>
      <c r="I72" s="40"/>
    </row>
    <row r="73" spans="1:9">
      <c r="A73" s="86"/>
      <c r="B73" s="38"/>
      <c r="C73" s="83"/>
      <c r="D73" s="279"/>
      <c r="E73" s="260"/>
      <c r="F73" s="307"/>
      <c r="G73" s="260"/>
      <c r="H73" s="40"/>
      <c r="I73" s="40"/>
    </row>
    <row r="74" spans="1:9">
      <c r="A74" s="87"/>
      <c r="B74" s="84"/>
      <c r="C74" s="85"/>
      <c r="D74" s="279"/>
      <c r="E74" s="260"/>
      <c r="F74" s="307"/>
      <c r="G74" s="260"/>
      <c r="H74" s="40"/>
      <c r="I74" s="52"/>
    </row>
    <row r="75" spans="1:9">
      <c r="A75" s="87"/>
      <c r="B75" s="38"/>
      <c r="C75" s="83"/>
      <c r="D75" s="279"/>
      <c r="E75" s="260"/>
      <c r="F75" s="307"/>
      <c r="G75" s="260"/>
      <c r="H75" s="40"/>
      <c r="I75" s="40"/>
    </row>
    <row r="76" spans="1:9">
      <c r="A76" s="87"/>
      <c r="B76" s="38"/>
      <c r="C76" s="85"/>
      <c r="D76" s="279"/>
      <c r="E76" s="260"/>
      <c r="F76" s="307"/>
      <c r="G76" s="260"/>
      <c r="H76" s="40"/>
      <c r="I76" s="40"/>
    </row>
    <row r="77" spans="1:9">
      <c r="A77" s="86"/>
      <c r="B77" s="38"/>
      <c r="C77" s="83"/>
      <c r="D77" s="279"/>
      <c r="E77" s="260"/>
      <c r="F77" s="307"/>
      <c r="G77" s="260"/>
      <c r="H77" s="40"/>
      <c r="I77" s="40"/>
    </row>
    <row r="78" spans="1:9">
      <c r="A78" s="87"/>
      <c r="B78" s="38"/>
      <c r="C78" s="83"/>
      <c r="D78" s="279"/>
      <c r="E78" s="260"/>
      <c r="F78" s="307"/>
      <c r="G78" s="260"/>
      <c r="H78" s="40"/>
      <c r="I78" s="40"/>
    </row>
    <row r="79" spans="1:9">
      <c r="A79" s="87"/>
      <c r="B79" s="38"/>
      <c r="C79" s="83"/>
      <c r="D79" s="279"/>
      <c r="E79" s="260"/>
      <c r="F79" s="307"/>
      <c r="G79" s="260"/>
      <c r="H79" s="40"/>
      <c r="I79" s="40"/>
    </row>
    <row r="80" spans="1:9">
      <c r="A80" s="86"/>
      <c r="B80" s="38"/>
      <c r="C80" s="83"/>
      <c r="D80" s="279"/>
      <c r="E80" s="260"/>
      <c r="F80" s="307"/>
      <c r="G80" s="260"/>
      <c r="H80" s="40"/>
      <c r="I80" s="40"/>
    </row>
    <row r="81" spans="1:9">
      <c r="A81" s="87"/>
      <c r="B81" s="38"/>
      <c r="C81" s="83"/>
      <c r="D81" s="279"/>
      <c r="E81" s="260"/>
      <c r="F81" s="307"/>
      <c r="G81" s="260"/>
      <c r="H81" s="40"/>
      <c r="I81" s="40"/>
    </row>
    <row r="82" spans="1:9">
      <c r="A82" s="87"/>
      <c r="B82" s="38"/>
      <c r="C82" s="83"/>
      <c r="D82" s="279"/>
      <c r="E82" s="260"/>
      <c r="F82" s="307"/>
      <c r="G82" s="260"/>
      <c r="H82" s="40"/>
      <c r="I82" s="40"/>
    </row>
    <row r="83" spans="1:9">
      <c r="A83" s="87"/>
      <c r="B83" s="38"/>
      <c r="C83" s="83"/>
      <c r="D83" s="279"/>
      <c r="E83" s="260"/>
      <c r="F83" s="307"/>
      <c r="G83" s="260"/>
      <c r="H83" s="40"/>
      <c r="I83" s="40"/>
    </row>
    <row r="84" spans="1:9">
      <c r="A84" s="86"/>
      <c r="B84" s="38"/>
      <c r="C84" s="83"/>
      <c r="D84" s="279"/>
      <c r="E84" s="260"/>
      <c r="F84" s="307"/>
      <c r="G84" s="260"/>
      <c r="H84" s="40"/>
      <c r="I84" s="40"/>
    </row>
    <row r="85" spans="1:9">
      <c r="A85" s="86"/>
      <c r="B85" s="38"/>
      <c r="C85" s="83"/>
      <c r="D85" s="279"/>
      <c r="E85" s="260"/>
      <c r="F85" s="307"/>
      <c r="G85" s="260"/>
      <c r="H85" s="40"/>
      <c r="I85" s="40"/>
    </row>
    <row r="86" spans="1:9">
      <c r="A86" s="86"/>
      <c r="B86" s="38"/>
      <c r="C86" s="83"/>
      <c r="D86" s="279"/>
      <c r="E86" s="260"/>
      <c r="F86" s="307"/>
      <c r="G86" s="260"/>
      <c r="H86" s="40"/>
      <c r="I86" s="40"/>
    </row>
    <row r="87" spans="1:9">
      <c r="A87" s="86"/>
      <c r="B87" s="38"/>
      <c r="C87" s="83"/>
      <c r="D87" s="279"/>
      <c r="E87" s="260"/>
      <c r="F87" s="307"/>
      <c r="G87" s="260"/>
      <c r="H87" s="40"/>
      <c r="I87" s="40"/>
    </row>
    <row r="88" spans="1:9">
      <c r="A88" s="86"/>
      <c r="B88" s="38"/>
      <c r="C88" s="83"/>
      <c r="D88" s="279"/>
      <c r="E88" s="260"/>
      <c r="F88" s="307"/>
      <c r="G88" s="260"/>
      <c r="H88" s="40"/>
      <c r="I88" s="40"/>
    </row>
    <row r="89" spans="1:9">
      <c r="A89" s="86"/>
      <c r="B89" s="38"/>
      <c r="C89" s="83"/>
      <c r="D89" s="279"/>
      <c r="E89" s="260"/>
      <c r="F89" s="307"/>
      <c r="G89" s="260"/>
      <c r="H89" s="40"/>
      <c r="I89" s="40"/>
    </row>
    <row r="90" spans="1:9">
      <c r="A90" s="86"/>
      <c r="B90" s="38"/>
      <c r="C90" s="83"/>
      <c r="D90" s="279"/>
      <c r="E90" s="260"/>
      <c r="F90" s="307"/>
      <c r="G90" s="260"/>
      <c r="H90" s="40"/>
      <c r="I90" s="40"/>
    </row>
    <row r="91" spans="1:9">
      <c r="A91" s="86"/>
      <c r="B91" s="38"/>
      <c r="C91" s="83"/>
      <c r="D91" s="279"/>
      <c r="E91" s="260"/>
      <c r="F91" s="307"/>
      <c r="G91" s="260"/>
      <c r="H91" s="40"/>
      <c r="I91" s="40"/>
    </row>
    <row r="92" spans="1:9">
      <c r="A92" s="86"/>
      <c r="B92" s="38"/>
      <c r="C92" s="83"/>
      <c r="D92" s="279"/>
      <c r="E92" s="260"/>
      <c r="F92" s="307"/>
      <c r="G92" s="260"/>
      <c r="H92" s="40"/>
      <c r="I92" s="40"/>
    </row>
    <row r="93" spans="1:9">
      <c r="A93" s="86"/>
      <c r="B93" s="38"/>
      <c r="C93" s="85"/>
      <c r="D93" s="279"/>
      <c r="E93" s="260"/>
      <c r="F93" s="307"/>
      <c r="G93" s="260"/>
      <c r="H93" s="40"/>
      <c r="I93" s="40"/>
    </row>
    <row r="94" spans="1:9">
      <c r="A94" s="86"/>
      <c r="B94" s="38"/>
      <c r="C94" s="83"/>
      <c r="D94" s="279"/>
      <c r="E94" s="260"/>
      <c r="F94" s="307"/>
      <c r="G94" s="260"/>
      <c r="H94" s="40"/>
      <c r="I94" s="40"/>
    </row>
    <row r="95" spans="1:9">
      <c r="A95" s="88"/>
      <c r="B95" s="88"/>
      <c r="C95" s="88"/>
      <c r="D95" s="88"/>
      <c r="E95" s="88"/>
      <c r="F95" s="88"/>
      <c r="G95" s="88"/>
      <c r="H95" s="88"/>
      <c r="I95" s="88"/>
    </row>
  </sheetData>
  <mergeCells count="188"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D44:E44"/>
    <mergeCell ref="F44:G44"/>
    <mergeCell ref="D94:E94"/>
    <mergeCell ref="D69:E69"/>
    <mergeCell ref="F69:G69"/>
    <mergeCell ref="F11:G11"/>
    <mergeCell ref="F78:G78"/>
    <mergeCell ref="F65:G65"/>
    <mergeCell ref="D46:E46"/>
    <mergeCell ref="D40:E40"/>
    <mergeCell ref="H4:I4"/>
    <mergeCell ref="D80:E80"/>
    <mergeCell ref="F40:G40"/>
    <mergeCell ref="D21:E21"/>
    <mergeCell ref="F59:G59"/>
    <mergeCell ref="F55:G55"/>
    <mergeCell ref="F12:G12"/>
    <mergeCell ref="F24:G24"/>
    <mergeCell ref="D57:E57"/>
    <mergeCell ref="D87:E87"/>
    <mergeCell ref="F90:G90"/>
    <mergeCell ref="D58:E58"/>
    <mergeCell ref="F58:G58"/>
    <mergeCell ref="F52:G52"/>
    <mergeCell ref="F67:G67"/>
    <mergeCell ref="D74:E74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8:E68"/>
    <mergeCell ref="D82:E82"/>
    <mergeCell ref="F82:G82"/>
    <mergeCell ref="F60:G60"/>
    <mergeCell ref="D59:E59"/>
    <mergeCell ref="H3:I3"/>
    <mergeCell ref="F39:G39"/>
    <mergeCell ref="F48:G48"/>
    <mergeCell ref="D15:E15"/>
    <mergeCell ref="D29:E29"/>
    <mergeCell ref="D23:E23"/>
    <mergeCell ref="D38:E38"/>
    <mergeCell ref="A1:I1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F53:G53"/>
    <mergeCell ref="D49:E49"/>
    <mergeCell ref="D27:E27"/>
    <mergeCell ref="F36:G36"/>
    <mergeCell ref="F94:G94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39:E39"/>
    <mergeCell ref="F61:G61"/>
    <mergeCell ref="F50:G50"/>
    <mergeCell ref="D17:E17"/>
    <mergeCell ref="D91:E91"/>
    <mergeCell ref="F91:G91"/>
    <mergeCell ref="D28:E28"/>
    <mergeCell ref="D93:E93"/>
    <mergeCell ref="F22:G22"/>
    <mergeCell ref="F93:G93"/>
    <mergeCell ref="D90:E90"/>
    <mergeCell ref="F19:G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9:E9"/>
    <mergeCell ref="F9:G9"/>
    <mergeCell ref="F8:G8"/>
    <mergeCell ref="D12:E12"/>
    <mergeCell ref="D83:E83"/>
    <mergeCell ref="D25:E25"/>
    <mergeCell ref="F77:G77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34:E34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A5:B5"/>
    <mergeCell ref="E4:G4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9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1057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1058</v>
      </c>
      <c r="C3" s="263"/>
      <c r="D3" s="260"/>
      <c r="E3" s="266" t="s">
        <v>11</v>
      </c>
      <c r="F3" s="263"/>
      <c r="G3" s="260"/>
      <c r="H3" s="268" t="s">
        <v>1059</v>
      </c>
      <c r="I3" s="269"/>
      <c r="J3" s="19" t="str">
        <f>B3</f>
        <v>Calmday 5mg</v>
      </c>
      <c r="K3" s="34" t="s">
        <v>1060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1061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1062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0"/>
  <dimension ref="A1:O104"/>
  <sheetViews>
    <sheetView topLeftCell="C1" workbookViewId="0">
      <selection activeCell="H9" sqref="H9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1063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/>
      <c r="C3" s="263"/>
      <c r="D3" s="260"/>
      <c r="E3" s="266" t="s">
        <v>11</v>
      </c>
      <c r="F3" s="263"/>
      <c r="G3" s="260"/>
      <c r="H3" s="268"/>
      <c r="I3" s="269"/>
      <c r="J3" s="19">
        <f>B3</f>
        <v>0</v>
      </c>
      <c r="K3" s="34"/>
      <c r="L3" s="5">
        <v>0</v>
      </c>
      <c r="M3" s="3">
        <v>0</v>
      </c>
      <c r="N3" s="3">
        <v>0</v>
      </c>
      <c r="O3" s="3"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/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/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1"/>
  <dimension ref="A1:O100"/>
  <sheetViews>
    <sheetView workbookViewId="0">
      <selection activeCell="I8" sqref="I8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1064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1065</v>
      </c>
      <c r="C3" s="263"/>
      <c r="D3" s="260"/>
      <c r="E3" s="266" t="s">
        <v>11</v>
      </c>
      <c r="F3" s="263"/>
      <c r="G3" s="260"/>
      <c r="H3" s="268" t="s">
        <v>327</v>
      </c>
      <c r="I3" s="269"/>
      <c r="J3" s="19" t="str">
        <f>B3</f>
        <v>Anxiedin 0.5mg</v>
      </c>
      <c r="K3" s="34" t="s">
        <v>1066</v>
      </c>
      <c r="L3" s="5">
        <f>H7</f>
        <v>64</v>
      </c>
      <c r="M3" s="3">
        <f>SUM(C$8:C$1048576)</f>
        <v>100</v>
      </c>
      <c r="N3" s="3">
        <f>SUM(F:F)</f>
        <v>0</v>
      </c>
      <c r="O3" s="3">
        <f>L3+M3-N3</f>
        <v>164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1067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1068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140">
        <v>64</v>
      </c>
      <c r="D7" s="289"/>
      <c r="E7" s="260"/>
      <c r="F7" s="289"/>
      <c r="G7" s="260"/>
      <c r="H7" s="140">
        <v>64</v>
      </c>
      <c r="I7" s="202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577</v>
      </c>
      <c r="B8" s="38" t="s">
        <v>324</v>
      </c>
      <c r="C8" s="38">
        <v>100</v>
      </c>
      <c r="D8" s="279" t="s">
        <v>1069</v>
      </c>
      <c r="E8" s="260"/>
      <c r="F8" s="266"/>
      <c r="G8" s="260"/>
      <c r="H8" s="17">
        <v>164</v>
      </c>
      <c r="I8" s="108" t="s">
        <v>566</v>
      </c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66"/>
      <c r="G9" s="260"/>
      <c r="H9" s="17"/>
      <c r="I9" s="26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66"/>
      <c r="G10" s="260"/>
      <c r="H10" s="17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66"/>
      <c r="G11" s="260"/>
      <c r="H11" s="17"/>
      <c r="I11" s="26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66"/>
      <c r="G12" s="260"/>
      <c r="H12" s="17"/>
      <c r="I12" s="26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38"/>
      <c r="D13" s="279"/>
      <c r="E13" s="260"/>
      <c r="F13" s="266"/>
      <c r="G13" s="260"/>
      <c r="H13" s="17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38"/>
      <c r="D14" s="279"/>
      <c r="E14" s="260"/>
      <c r="F14" s="266"/>
      <c r="G14" s="260"/>
      <c r="H14" s="17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38"/>
      <c r="C15" s="38"/>
      <c r="D15" s="279"/>
      <c r="E15" s="260"/>
      <c r="F15" s="266"/>
      <c r="G15" s="260"/>
      <c r="H15" s="17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38"/>
      <c r="C16" s="38"/>
      <c r="D16" s="279"/>
      <c r="E16" s="260"/>
      <c r="F16" s="266"/>
      <c r="G16" s="260"/>
      <c r="H16" s="17"/>
      <c r="I16" s="26"/>
      <c r="J16" s="12"/>
    </row>
    <row r="17" spans="1:10" ht="26.7" customHeight="1">
      <c r="A17" s="39"/>
      <c r="B17" s="38"/>
      <c r="C17" s="38"/>
      <c r="D17" s="279"/>
      <c r="E17" s="260"/>
      <c r="F17" s="266"/>
      <c r="G17" s="260"/>
      <c r="H17" s="17"/>
      <c r="I17" s="26"/>
      <c r="J17" s="12"/>
    </row>
    <row r="18" spans="1:10" ht="26.7" customHeight="1">
      <c r="A18" s="39"/>
      <c r="B18" s="38"/>
      <c r="C18" s="38"/>
      <c r="D18" s="279"/>
      <c r="E18" s="260"/>
      <c r="F18" s="266"/>
      <c r="G18" s="260"/>
      <c r="H18" s="17"/>
      <c r="I18" s="26"/>
      <c r="J18" s="12"/>
    </row>
    <row r="19" spans="1:10" ht="26.7" customHeight="1">
      <c r="A19" s="39"/>
      <c r="B19" s="38"/>
      <c r="C19" s="38"/>
      <c r="D19" s="279"/>
      <c r="E19" s="260"/>
      <c r="F19" s="266"/>
      <c r="G19" s="260"/>
      <c r="H19" s="17"/>
      <c r="I19" s="26"/>
      <c r="J19" s="12"/>
    </row>
    <row r="20" spans="1:10" ht="26.7" customHeight="1">
      <c r="A20" s="39"/>
      <c r="B20" s="38"/>
      <c r="C20" s="38"/>
      <c r="D20" s="279"/>
      <c r="E20" s="260"/>
      <c r="F20" s="266"/>
      <c r="G20" s="260"/>
      <c r="H20" s="17"/>
      <c r="I20" s="26"/>
      <c r="J20" s="12"/>
    </row>
    <row r="21" spans="1:10" ht="26.7" customHeight="1">
      <c r="A21" s="39"/>
      <c r="B21" s="38"/>
      <c r="C21" s="38"/>
      <c r="D21" s="279"/>
      <c r="E21" s="260"/>
      <c r="F21" s="266"/>
      <c r="G21" s="260"/>
      <c r="H21" s="17"/>
      <c r="I21" s="26"/>
      <c r="J21" s="12"/>
    </row>
    <row r="22" spans="1:10" ht="26.7" customHeight="1">
      <c r="A22" s="39"/>
      <c r="B22" s="38"/>
      <c r="C22" s="38"/>
      <c r="D22" s="279"/>
      <c r="E22" s="260"/>
      <c r="F22" s="266"/>
      <c r="G22" s="260"/>
      <c r="H22" s="17"/>
      <c r="I22" s="26"/>
      <c r="J22" s="12"/>
    </row>
    <row r="23" spans="1:10" ht="26.7" customHeight="1">
      <c r="A23" s="39"/>
      <c r="B23" s="38"/>
      <c r="C23" s="38"/>
      <c r="D23" s="279"/>
      <c r="E23" s="260"/>
      <c r="F23" s="266"/>
      <c r="G23" s="260"/>
      <c r="H23" s="17"/>
      <c r="I23" s="26"/>
      <c r="J23" s="12"/>
    </row>
    <row r="24" spans="1:10" ht="26.7" customHeight="1">
      <c r="A24" s="39"/>
      <c r="B24" s="38"/>
      <c r="C24" s="38"/>
      <c r="D24" s="279"/>
      <c r="E24" s="260"/>
      <c r="F24" s="266"/>
      <c r="G24" s="260"/>
      <c r="H24" s="17"/>
      <c r="I24" s="26"/>
      <c r="J24" s="12"/>
    </row>
    <row r="25" spans="1:10" ht="26.7" customHeight="1">
      <c r="A25" s="39"/>
      <c r="B25" s="38"/>
      <c r="C25" s="38"/>
      <c r="D25" s="279"/>
      <c r="E25" s="260"/>
      <c r="F25" s="266"/>
      <c r="G25" s="260"/>
      <c r="H25" s="17"/>
      <c r="I25" s="26"/>
      <c r="J25" s="12"/>
    </row>
    <row r="26" spans="1:10" ht="26.7" customHeight="1">
      <c r="A26" s="39"/>
      <c r="B26" s="38"/>
      <c r="C26" s="38"/>
      <c r="D26" s="279"/>
      <c r="E26" s="260"/>
      <c r="F26" s="266"/>
      <c r="G26" s="260"/>
      <c r="H26" s="17"/>
      <c r="I26" s="26"/>
      <c r="J26" s="12"/>
    </row>
    <row r="27" spans="1:10" ht="26.7" customHeight="1">
      <c r="A27" s="39"/>
      <c r="B27" s="38"/>
      <c r="C27" s="38"/>
      <c r="D27" s="279"/>
      <c r="E27" s="260"/>
      <c r="F27" s="266"/>
      <c r="G27" s="260"/>
      <c r="H27" s="17"/>
      <c r="I27" s="26"/>
      <c r="J27" s="12"/>
    </row>
    <row r="28" spans="1:10" ht="21" customHeight="1">
      <c r="A28" s="39"/>
      <c r="B28" s="38"/>
      <c r="C28" s="38"/>
      <c r="D28" s="279"/>
      <c r="E28" s="260"/>
      <c r="F28" s="266"/>
      <c r="G28" s="260"/>
      <c r="H28" s="17"/>
      <c r="I28" s="26"/>
      <c r="J28" s="3"/>
    </row>
    <row r="29" spans="1:10" ht="21" customHeight="1">
      <c r="A29" s="39"/>
      <c r="B29" s="38"/>
      <c r="C29" s="38"/>
      <c r="D29" s="279"/>
      <c r="E29" s="260"/>
      <c r="F29" s="266"/>
      <c r="G29" s="260"/>
      <c r="H29" s="17"/>
      <c r="I29" s="26"/>
    </row>
    <row r="30" spans="1:10" ht="21" customHeight="1">
      <c r="A30" s="39"/>
      <c r="B30" s="38"/>
      <c r="C30" s="38"/>
      <c r="D30" s="279"/>
      <c r="E30" s="260"/>
      <c r="F30" s="266"/>
      <c r="G30" s="260"/>
      <c r="H30" s="17"/>
      <c r="I30" s="26"/>
    </row>
    <row r="31" spans="1:10" ht="21" customHeight="1">
      <c r="A31" s="39"/>
      <c r="B31" s="38"/>
      <c r="C31" s="38"/>
      <c r="D31" s="279"/>
      <c r="E31" s="260"/>
      <c r="F31" s="266"/>
      <c r="G31" s="260"/>
      <c r="H31" s="17"/>
      <c r="I31" s="26"/>
    </row>
    <row r="32" spans="1:10" ht="21" customHeight="1">
      <c r="A32" s="39"/>
      <c r="B32" s="38"/>
      <c r="C32" s="38"/>
      <c r="D32" s="279"/>
      <c r="E32" s="260"/>
      <c r="F32" s="266"/>
      <c r="G32" s="260"/>
      <c r="H32" s="17"/>
      <c r="I32" s="26"/>
    </row>
    <row r="33" spans="1:9" ht="21" customHeight="1">
      <c r="A33" s="39"/>
      <c r="B33" s="38"/>
      <c r="C33" s="38"/>
      <c r="D33" s="279"/>
      <c r="E33" s="260"/>
      <c r="F33" s="266"/>
      <c r="G33" s="260"/>
      <c r="H33" s="17"/>
      <c r="I33" s="26"/>
    </row>
    <row r="34" spans="1:9" ht="21" customHeight="1">
      <c r="A34" s="39"/>
      <c r="B34" s="38"/>
      <c r="C34" s="38"/>
      <c r="D34" s="279"/>
      <c r="E34" s="260"/>
      <c r="F34" s="266"/>
      <c r="G34" s="260"/>
      <c r="H34" s="17"/>
      <c r="I34" s="26"/>
    </row>
    <row r="35" spans="1:9" ht="21" customHeight="1">
      <c r="A35" s="39"/>
      <c r="B35" s="38"/>
      <c r="C35" s="38"/>
      <c r="D35" s="279"/>
      <c r="E35" s="260"/>
      <c r="F35" s="266"/>
      <c r="G35" s="260"/>
      <c r="H35" s="17"/>
      <c r="I35" s="26"/>
    </row>
    <row r="36" spans="1:9" ht="21" customHeight="1">
      <c r="A36" s="39"/>
      <c r="B36" s="38"/>
      <c r="C36" s="38"/>
      <c r="D36" s="279"/>
      <c r="E36" s="260"/>
      <c r="F36" s="266"/>
      <c r="G36" s="260"/>
      <c r="H36" s="17"/>
      <c r="I36" s="26"/>
    </row>
    <row r="37" spans="1:9" ht="21" customHeight="1">
      <c r="A37" s="39"/>
      <c r="B37" s="38"/>
      <c r="C37" s="38"/>
      <c r="D37" s="279"/>
      <c r="E37" s="260"/>
      <c r="F37" s="266"/>
      <c r="G37" s="260"/>
      <c r="H37" s="17"/>
      <c r="I37" s="26"/>
    </row>
    <row r="38" spans="1:9" ht="21" customHeight="1">
      <c r="A38" s="39"/>
      <c r="B38" s="38"/>
      <c r="C38" s="38"/>
      <c r="D38" s="279"/>
      <c r="E38" s="260"/>
      <c r="F38" s="266"/>
      <c r="G38" s="260"/>
      <c r="H38" s="17"/>
      <c r="I38" s="26"/>
    </row>
    <row r="39" spans="1:9" ht="21" customHeight="1">
      <c r="A39" s="39"/>
      <c r="B39" s="38"/>
      <c r="C39" s="38"/>
      <c r="D39" s="279"/>
      <c r="E39" s="260"/>
      <c r="F39" s="266"/>
      <c r="G39" s="260"/>
      <c r="H39" s="17"/>
      <c r="I39" s="26"/>
    </row>
    <row r="40" spans="1:9" ht="21" customHeight="1">
      <c r="A40" s="39"/>
      <c r="B40" s="38"/>
      <c r="C40" s="38"/>
      <c r="D40" s="279"/>
      <c r="E40" s="260"/>
      <c r="F40" s="266"/>
      <c r="G40" s="260"/>
      <c r="H40" s="17"/>
      <c r="I40" s="26"/>
    </row>
    <row r="41" spans="1:9" ht="21" customHeight="1">
      <c r="A41" s="39"/>
      <c r="B41" s="38"/>
      <c r="C41" s="38"/>
      <c r="D41" s="279"/>
      <c r="E41" s="260"/>
      <c r="F41" s="266"/>
      <c r="G41" s="260"/>
      <c r="H41" s="17"/>
      <c r="I41" s="26"/>
    </row>
    <row r="42" spans="1:9" ht="21" customHeight="1">
      <c r="A42" s="39"/>
      <c r="B42" s="38"/>
      <c r="C42" s="38"/>
      <c r="D42" s="279"/>
      <c r="E42" s="260"/>
      <c r="F42" s="266"/>
      <c r="G42" s="260"/>
      <c r="H42" s="17"/>
      <c r="I42" s="26"/>
    </row>
    <row r="43" spans="1:9" ht="21" customHeight="1">
      <c r="A43" s="39"/>
      <c r="B43" s="38"/>
      <c r="C43" s="38"/>
      <c r="D43" s="279"/>
      <c r="E43" s="260"/>
      <c r="F43" s="266"/>
      <c r="G43" s="260"/>
      <c r="H43" s="17"/>
      <c r="I43" s="26"/>
    </row>
    <row r="44" spans="1:9" ht="21" customHeight="1">
      <c r="A44" s="39"/>
      <c r="B44" s="38"/>
      <c r="C44" s="38"/>
      <c r="D44" s="279"/>
      <c r="E44" s="260"/>
      <c r="F44" s="266"/>
      <c r="G44" s="260"/>
      <c r="H44" s="17"/>
      <c r="I44" s="26"/>
    </row>
    <row r="45" spans="1:9" ht="21" customHeight="1">
      <c r="A45" s="39"/>
      <c r="B45" s="38"/>
      <c r="C45" s="38"/>
      <c r="D45" s="279"/>
      <c r="E45" s="260"/>
      <c r="F45" s="266"/>
      <c r="G45" s="260"/>
      <c r="H45" s="17"/>
      <c r="I45" s="26"/>
    </row>
    <row r="46" spans="1:9" ht="21" customHeight="1">
      <c r="A46" s="39"/>
      <c r="B46" s="38"/>
      <c r="C46" s="38"/>
      <c r="D46" s="279"/>
      <c r="E46" s="260"/>
      <c r="F46" s="266"/>
      <c r="G46" s="260"/>
      <c r="H46" s="17"/>
      <c r="I46" s="26"/>
    </row>
    <row r="47" spans="1:9" ht="21" customHeight="1">
      <c r="A47" s="39"/>
      <c r="B47" s="38"/>
      <c r="C47" s="38"/>
      <c r="D47" s="279"/>
      <c r="E47" s="260"/>
      <c r="F47" s="266"/>
      <c r="G47" s="260"/>
      <c r="H47" s="17"/>
      <c r="I47" s="26"/>
    </row>
    <row r="48" spans="1:9" ht="21" customHeight="1">
      <c r="A48" s="39"/>
      <c r="B48" s="38"/>
      <c r="C48" s="38"/>
      <c r="D48" s="279"/>
      <c r="E48" s="260"/>
      <c r="F48" s="266"/>
      <c r="G48" s="260"/>
      <c r="H48" s="17"/>
      <c r="I48" s="26"/>
    </row>
    <row r="49" spans="1:9" ht="21" customHeight="1">
      <c r="A49" s="39"/>
      <c r="B49" s="38"/>
      <c r="C49" s="38"/>
      <c r="D49" s="279"/>
      <c r="E49" s="260"/>
      <c r="F49" s="266"/>
      <c r="G49" s="260"/>
      <c r="H49" s="17"/>
      <c r="I49" s="26"/>
    </row>
    <row r="50" spans="1:9" ht="21" customHeight="1">
      <c r="A50" s="39"/>
      <c r="B50" s="38"/>
      <c r="C50" s="38"/>
      <c r="D50" s="279"/>
      <c r="E50" s="260"/>
      <c r="F50" s="266"/>
      <c r="G50" s="260"/>
      <c r="H50" s="17"/>
      <c r="I50" s="26"/>
    </row>
    <row r="51" spans="1:9" ht="21" customHeight="1">
      <c r="A51" s="39"/>
      <c r="B51" s="38"/>
      <c r="C51" s="38"/>
      <c r="D51" s="279"/>
      <c r="E51" s="260"/>
      <c r="F51" s="266"/>
      <c r="G51" s="260"/>
      <c r="H51" s="17"/>
      <c r="I51" s="26"/>
    </row>
    <row r="52" spans="1:9" ht="21" customHeight="1">
      <c r="A52" s="39"/>
      <c r="B52" s="38"/>
      <c r="C52" s="38"/>
      <c r="D52" s="279"/>
      <c r="E52" s="260"/>
      <c r="F52" s="266"/>
      <c r="G52" s="260"/>
      <c r="H52" s="17"/>
      <c r="I52" s="26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9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8"/>
      <c r="C78" s="9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8"/>
      <c r="C80" s="9"/>
      <c r="D80" s="259"/>
      <c r="E80" s="260"/>
      <c r="F80" s="261"/>
      <c r="G80" s="260"/>
      <c r="H80" s="7"/>
      <c r="I80" s="11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9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</sheetData>
  <mergeCells count="200">
    <mergeCell ref="D95:E95"/>
    <mergeCell ref="F95:G95"/>
    <mergeCell ref="D57:E57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18:E18"/>
    <mergeCell ref="F27:G27"/>
    <mergeCell ref="F58:G58"/>
    <mergeCell ref="F52:G52"/>
    <mergeCell ref="F100:G100"/>
    <mergeCell ref="A5:B5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94:E94"/>
    <mergeCell ref="D69:E69"/>
    <mergeCell ref="F11:G11"/>
    <mergeCell ref="F69:G69"/>
    <mergeCell ref="D96:E96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D91:E91"/>
    <mergeCell ref="F8:G8"/>
    <mergeCell ref="F91:G91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F24:G24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F67:G67"/>
    <mergeCell ref="D74:E74"/>
    <mergeCell ref="D68:E68"/>
    <mergeCell ref="D82:E82"/>
    <mergeCell ref="F82:G82"/>
    <mergeCell ref="F60:G60"/>
    <mergeCell ref="D50:E50"/>
    <mergeCell ref="D44:E44"/>
    <mergeCell ref="D59:E59"/>
    <mergeCell ref="F53:G53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E4:G4"/>
    <mergeCell ref="H4:I4"/>
    <mergeCell ref="D8:E8"/>
    <mergeCell ref="F37:G37"/>
    <mergeCell ref="B3:D3"/>
    <mergeCell ref="D42:E42"/>
    <mergeCell ref="D99:E99"/>
    <mergeCell ref="D19:E19"/>
    <mergeCell ref="F6:G6"/>
    <mergeCell ref="F99:G99"/>
    <mergeCell ref="F74:G74"/>
    <mergeCell ref="F83:G83"/>
    <mergeCell ref="F30:G30"/>
    <mergeCell ref="D11:E11"/>
    <mergeCell ref="D76:E76"/>
    <mergeCell ref="F20:G20"/>
    <mergeCell ref="F18:G18"/>
    <mergeCell ref="F33:G33"/>
    <mergeCell ref="F76:G76"/>
    <mergeCell ref="F45:G45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D47:E47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F47:G47"/>
    <mergeCell ref="F62:G62"/>
    <mergeCell ref="D37:E37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F19:G19"/>
    <mergeCell ref="F31:G31"/>
    <mergeCell ref="F46:G46"/>
    <mergeCell ref="F28:G28"/>
    <mergeCell ref="D9:E9"/>
    <mergeCell ref="F9:G9"/>
    <mergeCell ref="D20:E20"/>
    <mergeCell ref="D60:E60"/>
    <mergeCell ref="D100:E10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  <mergeCell ref="D48:E4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2"/>
  <dimension ref="A1:O141"/>
  <sheetViews>
    <sheetView zoomScaleNormal="100" workbookViewId="0">
      <pane ySplit="6" topLeftCell="A119" activePane="bottomLeft" state="frozen"/>
      <selection pane="bottomLeft"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21" style="246" bestFit="1" customWidth="1"/>
    <col min="11" max="11" width="11.109375" style="246" bestFit="1" customWidth="1"/>
    <col min="12" max="12" width="10.6640625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1070</v>
      </c>
      <c r="B2" s="273" t="s">
        <v>2</v>
      </c>
      <c r="C2" s="274"/>
      <c r="D2" s="274"/>
      <c r="E2" s="274"/>
      <c r="F2" s="274"/>
      <c r="G2" s="274"/>
      <c r="H2" s="274"/>
      <c r="I2" s="275"/>
      <c r="J2" s="63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1071</v>
      </c>
      <c r="C3" s="263"/>
      <c r="D3" s="260"/>
      <c r="E3" s="266" t="s">
        <v>11</v>
      </c>
      <c r="F3" s="263"/>
      <c r="G3" s="260"/>
      <c r="H3" s="268" t="s">
        <v>374</v>
      </c>
      <c r="I3" s="269"/>
      <c r="J3" s="59" t="str">
        <f>B3</f>
        <v>Erispan-S 0.25mg</v>
      </c>
      <c r="K3" s="60" t="s">
        <v>1072</v>
      </c>
      <c r="L3" s="61">
        <f>SUM(H7)</f>
        <v>860.5</v>
      </c>
      <c r="M3" s="62">
        <f>SUM(C$8:C$1048576)</f>
        <v>6000</v>
      </c>
      <c r="N3" s="62">
        <f>SUM(F:F)</f>
        <v>5210</v>
      </c>
      <c r="O3" s="62">
        <f>L3+M3-N3</f>
        <v>1650.5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612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1073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0.25" customHeight="1" thickBot="1">
      <c r="A6" s="64" t="s">
        <v>22</v>
      </c>
      <c r="B6" s="65" t="s">
        <v>23</v>
      </c>
      <c r="C6" s="65" t="s">
        <v>24</v>
      </c>
      <c r="D6" s="318" t="s">
        <v>25</v>
      </c>
      <c r="E6" s="286"/>
      <c r="F6" s="318" t="s">
        <v>26</v>
      </c>
      <c r="G6" s="286"/>
      <c r="H6" s="66" t="s">
        <v>27</v>
      </c>
      <c r="I6" s="67" t="s">
        <v>28</v>
      </c>
      <c r="J6" s="12"/>
      <c r="K6" s="3"/>
      <c r="L6" s="3"/>
      <c r="M6" s="3"/>
      <c r="N6" s="3"/>
      <c r="O6" s="3"/>
    </row>
    <row r="7" spans="1:15" ht="31.95" customHeight="1" thickTop="1">
      <c r="A7" s="196" t="s">
        <v>29</v>
      </c>
      <c r="B7" s="155" t="s">
        <v>5</v>
      </c>
      <c r="C7" s="155">
        <v>860.5</v>
      </c>
      <c r="D7" s="280"/>
      <c r="E7" s="260"/>
      <c r="F7" s="280"/>
      <c r="G7" s="260"/>
      <c r="H7" s="155">
        <v>860.5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29</v>
      </c>
      <c r="B8" s="38" t="s">
        <v>323</v>
      </c>
      <c r="C8" s="38"/>
      <c r="D8" s="279"/>
      <c r="E8" s="260"/>
      <c r="F8" s="279">
        <v>56</v>
      </c>
      <c r="G8" s="260"/>
      <c r="H8" s="38">
        <f t="shared" ref="H8:H18" si="0">H7-F8</f>
        <v>804.5</v>
      </c>
      <c r="I8" s="175"/>
    </row>
    <row r="9" spans="1:15" ht="26.7" customHeight="1">
      <c r="A9" s="39" t="s">
        <v>521</v>
      </c>
      <c r="B9" s="38" t="s">
        <v>323</v>
      </c>
      <c r="C9" s="38"/>
      <c r="D9" s="279"/>
      <c r="E9" s="260"/>
      <c r="F9" s="279">
        <v>28</v>
      </c>
      <c r="G9" s="260"/>
      <c r="H9" s="38">
        <f t="shared" si="0"/>
        <v>776.5</v>
      </c>
      <c r="I9" s="175"/>
    </row>
    <row r="10" spans="1:15" ht="26.7" customHeight="1">
      <c r="A10" s="39" t="s">
        <v>333</v>
      </c>
      <c r="B10" s="38" t="s">
        <v>323</v>
      </c>
      <c r="C10" s="38"/>
      <c r="D10" s="279"/>
      <c r="E10" s="260"/>
      <c r="F10" s="279">
        <v>58</v>
      </c>
      <c r="G10" s="260"/>
      <c r="H10" s="38">
        <f t="shared" si="0"/>
        <v>718.5</v>
      </c>
      <c r="I10" s="175"/>
    </row>
    <row r="11" spans="1:15" ht="26.7" customHeight="1">
      <c r="A11" s="39" t="s">
        <v>522</v>
      </c>
      <c r="B11" s="38" t="s">
        <v>323</v>
      </c>
      <c r="C11" s="38"/>
      <c r="D11" s="279"/>
      <c r="E11" s="260"/>
      <c r="F11" s="279">
        <v>28</v>
      </c>
      <c r="G11" s="260"/>
      <c r="H11" s="38">
        <f t="shared" si="0"/>
        <v>690.5</v>
      </c>
      <c r="I11" s="175"/>
    </row>
    <row r="12" spans="1:15" ht="26.7" customHeight="1">
      <c r="A12" s="39" t="s">
        <v>409</v>
      </c>
      <c r="B12" s="38" t="s">
        <v>323</v>
      </c>
      <c r="C12" s="38"/>
      <c r="D12" s="279"/>
      <c r="E12" s="260"/>
      <c r="F12" s="279">
        <v>30</v>
      </c>
      <c r="G12" s="260"/>
      <c r="H12" s="38">
        <f t="shared" si="0"/>
        <v>660.5</v>
      </c>
      <c r="I12" s="175"/>
    </row>
    <row r="13" spans="1:15" ht="26.7" customHeight="1">
      <c r="A13" s="39" t="s">
        <v>335</v>
      </c>
      <c r="B13" s="38" t="s">
        <v>323</v>
      </c>
      <c r="C13" s="38"/>
      <c r="D13" s="279"/>
      <c r="E13" s="260"/>
      <c r="F13" s="279">
        <v>114</v>
      </c>
      <c r="G13" s="260"/>
      <c r="H13" s="38">
        <f t="shared" si="0"/>
        <v>546.5</v>
      </c>
      <c r="I13" s="175"/>
    </row>
    <row r="14" spans="1:15" ht="26.7" customHeight="1">
      <c r="A14" s="39" t="s">
        <v>716</v>
      </c>
      <c r="B14" s="38" t="s">
        <v>323</v>
      </c>
      <c r="C14" s="38"/>
      <c r="D14" s="279"/>
      <c r="E14" s="260"/>
      <c r="F14" s="279">
        <v>60</v>
      </c>
      <c r="G14" s="260"/>
      <c r="H14" s="38">
        <f t="shared" si="0"/>
        <v>486.5</v>
      </c>
      <c r="I14" s="175"/>
    </row>
    <row r="15" spans="1:15" ht="26.7" customHeight="1">
      <c r="A15" s="39" t="s">
        <v>463</v>
      </c>
      <c r="B15" s="38" t="s">
        <v>323</v>
      </c>
      <c r="C15" s="38"/>
      <c r="D15" s="279"/>
      <c r="E15" s="260"/>
      <c r="F15" s="279">
        <v>15</v>
      </c>
      <c r="G15" s="260"/>
      <c r="H15" s="38">
        <f t="shared" si="0"/>
        <v>471.5</v>
      </c>
      <c r="I15" s="175"/>
    </row>
    <row r="16" spans="1:15" ht="26.7" customHeight="1">
      <c r="A16" s="39" t="s">
        <v>432</v>
      </c>
      <c r="B16" s="38" t="s">
        <v>323</v>
      </c>
      <c r="C16" s="38"/>
      <c r="D16" s="279"/>
      <c r="E16" s="260"/>
      <c r="F16" s="279">
        <v>9</v>
      </c>
      <c r="G16" s="260"/>
      <c r="H16" s="38">
        <f t="shared" si="0"/>
        <v>462.5</v>
      </c>
      <c r="I16" s="175"/>
    </row>
    <row r="17" spans="1:9" ht="26.7" customHeight="1">
      <c r="A17" s="39" t="s">
        <v>523</v>
      </c>
      <c r="B17" s="38" t="s">
        <v>323</v>
      </c>
      <c r="C17" s="38"/>
      <c r="D17" s="279"/>
      <c r="E17" s="260"/>
      <c r="F17" s="279">
        <v>75</v>
      </c>
      <c r="G17" s="260"/>
      <c r="H17" s="38">
        <f t="shared" si="0"/>
        <v>387.5</v>
      </c>
      <c r="I17" s="175"/>
    </row>
    <row r="18" spans="1:9" ht="26.7" customHeight="1">
      <c r="A18" s="39" t="s">
        <v>464</v>
      </c>
      <c r="B18" s="38" t="s">
        <v>323</v>
      </c>
      <c r="C18" s="38"/>
      <c r="D18" s="279"/>
      <c r="E18" s="260"/>
      <c r="F18" s="279">
        <v>34.5</v>
      </c>
      <c r="G18" s="260"/>
      <c r="H18" s="38">
        <f t="shared" si="0"/>
        <v>353</v>
      </c>
      <c r="I18" s="175"/>
    </row>
    <row r="19" spans="1:9" ht="26.7" customHeight="1">
      <c r="A19" s="39" t="s">
        <v>464</v>
      </c>
      <c r="B19" s="38" t="s">
        <v>324</v>
      </c>
      <c r="C19" s="38">
        <v>1000</v>
      </c>
      <c r="D19" s="279" t="s">
        <v>1074</v>
      </c>
      <c r="E19" s="260"/>
      <c r="F19" s="279"/>
      <c r="G19" s="260"/>
      <c r="H19" s="38">
        <v>1353</v>
      </c>
      <c r="I19" s="175" t="s">
        <v>1075</v>
      </c>
    </row>
    <row r="20" spans="1:9" ht="26.7" customHeight="1">
      <c r="A20" s="39" t="s">
        <v>433</v>
      </c>
      <c r="B20" s="38" t="s">
        <v>323</v>
      </c>
      <c r="C20" s="38"/>
      <c r="D20" s="279"/>
      <c r="E20" s="260"/>
      <c r="F20" s="279">
        <v>30</v>
      </c>
      <c r="G20" s="260"/>
      <c r="H20" s="38">
        <f t="shared" ref="H20:H42" si="1">H19-F20</f>
        <v>1323</v>
      </c>
      <c r="I20" s="175"/>
    </row>
    <row r="21" spans="1:9" ht="26.7" customHeight="1">
      <c r="A21" s="39" t="s">
        <v>465</v>
      </c>
      <c r="B21" s="38" t="s">
        <v>323</v>
      </c>
      <c r="C21" s="38"/>
      <c r="D21" s="279"/>
      <c r="E21" s="260"/>
      <c r="F21" s="279">
        <v>30</v>
      </c>
      <c r="G21" s="260"/>
      <c r="H21" s="38">
        <f t="shared" si="1"/>
        <v>1293</v>
      </c>
      <c r="I21" s="175" t="s">
        <v>1075</v>
      </c>
    </row>
    <row r="22" spans="1:9" ht="26.7" customHeight="1">
      <c r="A22" s="39" t="s">
        <v>469</v>
      </c>
      <c r="B22" s="38" t="s">
        <v>323</v>
      </c>
      <c r="C22" s="38"/>
      <c r="D22" s="279"/>
      <c r="E22" s="260"/>
      <c r="F22" s="279">
        <v>30</v>
      </c>
      <c r="G22" s="260"/>
      <c r="H22" s="38">
        <f t="shared" si="1"/>
        <v>1263</v>
      </c>
      <c r="I22" s="175"/>
    </row>
    <row r="23" spans="1:9" ht="26.7" customHeight="1">
      <c r="A23" s="39" t="s">
        <v>573</v>
      </c>
      <c r="B23" s="38" t="s">
        <v>323</v>
      </c>
      <c r="C23" s="38"/>
      <c r="D23" s="279"/>
      <c r="E23" s="260"/>
      <c r="F23" s="279">
        <v>30</v>
      </c>
      <c r="G23" s="260"/>
      <c r="H23" s="38">
        <f t="shared" si="1"/>
        <v>1233</v>
      </c>
      <c r="I23" s="175"/>
    </row>
    <row r="24" spans="1:9" ht="26.7" customHeight="1">
      <c r="A24" s="39" t="s">
        <v>336</v>
      </c>
      <c r="B24" s="148" t="s">
        <v>323</v>
      </c>
      <c r="C24" s="38"/>
      <c r="D24" s="279"/>
      <c r="E24" s="260"/>
      <c r="F24" s="279">
        <v>60</v>
      </c>
      <c r="G24" s="260"/>
      <c r="H24" s="38">
        <f t="shared" si="1"/>
        <v>1173</v>
      </c>
      <c r="I24" s="175"/>
    </row>
    <row r="25" spans="1:9" ht="26.7" customHeight="1">
      <c r="A25" s="39" t="s">
        <v>524</v>
      </c>
      <c r="B25" s="148" t="s">
        <v>323</v>
      </c>
      <c r="C25" s="38"/>
      <c r="D25" s="279"/>
      <c r="E25" s="260"/>
      <c r="F25" s="279">
        <v>30</v>
      </c>
      <c r="G25" s="260"/>
      <c r="H25" s="38">
        <f t="shared" si="1"/>
        <v>1143</v>
      </c>
      <c r="I25" s="175"/>
    </row>
    <row r="26" spans="1:9" ht="26.7" customHeight="1">
      <c r="A26" s="39" t="s">
        <v>471</v>
      </c>
      <c r="B26" s="148" t="s">
        <v>323</v>
      </c>
      <c r="C26" s="38"/>
      <c r="D26" s="279"/>
      <c r="E26" s="260"/>
      <c r="F26" s="279">
        <v>28</v>
      </c>
      <c r="G26" s="260"/>
      <c r="H26" s="38">
        <f t="shared" si="1"/>
        <v>1115</v>
      </c>
      <c r="I26" s="175"/>
    </row>
    <row r="27" spans="1:9" ht="26.7" customHeight="1">
      <c r="A27" s="39" t="s">
        <v>472</v>
      </c>
      <c r="B27" s="38" t="s">
        <v>323</v>
      </c>
      <c r="C27" s="38"/>
      <c r="D27" s="279"/>
      <c r="E27" s="260"/>
      <c r="F27" s="279">
        <v>86</v>
      </c>
      <c r="G27" s="260"/>
      <c r="H27" s="38">
        <f t="shared" si="1"/>
        <v>1029</v>
      </c>
      <c r="I27" s="175"/>
    </row>
    <row r="28" spans="1:9" ht="26.7" customHeight="1">
      <c r="A28" s="38" t="s">
        <v>650</v>
      </c>
      <c r="B28" s="38" t="s">
        <v>323</v>
      </c>
      <c r="C28" s="38"/>
      <c r="D28" s="279"/>
      <c r="E28" s="260"/>
      <c r="F28" s="279">
        <v>30</v>
      </c>
      <c r="G28" s="260"/>
      <c r="H28" s="38">
        <f t="shared" si="1"/>
        <v>999</v>
      </c>
      <c r="I28" s="175"/>
    </row>
    <row r="29" spans="1:9" ht="26.7" customHeight="1">
      <c r="A29" s="38" t="s">
        <v>338</v>
      </c>
      <c r="B29" s="38" t="s">
        <v>323</v>
      </c>
      <c r="C29" s="38"/>
      <c r="D29" s="279"/>
      <c r="E29" s="260"/>
      <c r="F29" s="279">
        <v>59</v>
      </c>
      <c r="G29" s="260"/>
      <c r="H29" s="38">
        <f t="shared" si="1"/>
        <v>940</v>
      </c>
      <c r="I29" s="175"/>
    </row>
    <row r="30" spans="1:9" ht="26.7" customHeight="1">
      <c r="A30" s="41" t="s">
        <v>383</v>
      </c>
      <c r="B30" s="38" t="s">
        <v>323</v>
      </c>
      <c r="C30" s="38"/>
      <c r="D30" s="279"/>
      <c r="E30" s="260"/>
      <c r="F30" s="279">
        <v>30</v>
      </c>
      <c r="G30" s="260"/>
      <c r="H30" s="38">
        <f t="shared" si="1"/>
        <v>910</v>
      </c>
      <c r="I30" s="175"/>
    </row>
    <row r="31" spans="1:9" ht="26.7" customHeight="1">
      <c r="A31" s="39" t="s">
        <v>339</v>
      </c>
      <c r="B31" s="38" t="s">
        <v>323</v>
      </c>
      <c r="C31" s="38"/>
      <c r="D31" s="279"/>
      <c r="E31" s="260"/>
      <c r="F31" s="279">
        <v>114</v>
      </c>
      <c r="G31" s="260"/>
      <c r="H31" s="38">
        <f t="shared" si="1"/>
        <v>796</v>
      </c>
      <c r="I31" s="175"/>
    </row>
    <row r="32" spans="1:9" ht="26.7" customHeight="1">
      <c r="A32" s="39" t="s">
        <v>577</v>
      </c>
      <c r="B32" s="38" t="s">
        <v>323</v>
      </c>
      <c r="C32" s="38"/>
      <c r="D32" s="279"/>
      <c r="E32" s="260"/>
      <c r="F32" s="279">
        <v>101</v>
      </c>
      <c r="G32" s="260"/>
      <c r="H32" s="38">
        <f t="shared" si="1"/>
        <v>695</v>
      </c>
      <c r="I32" s="175"/>
    </row>
    <row r="33" spans="1:9" ht="26.7" customHeight="1">
      <c r="A33" s="39" t="s">
        <v>435</v>
      </c>
      <c r="B33" s="38" t="s">
        <v>323</v>
      </c>
      <c r="C33" s="38"/>
      <c r="D33" s="279"/>
      <c r="E33" s="260"/>
      <c r="F33" s="279">
        <v>30</v>
      </c>
      <c r="G33" s="260"/>
      <c r="H33" s="38">
        <f t="shared" si="1"/>
        <v>665</v>
      </c>
      <c r="I33" s="175"/>
    </row>
    <row r="34" spans="1:9" ht="26.7" customHeight="1">
      <c r="A34" s="39" t="s">
        <v>525</v>
      </c>
      <c r="B34" s="38" t="s">
        <v>323</v>
      </c>
      <c r="C34" s="38"/>
      <c r="D34" s="279"/>
      <c r="E34" s="260"/>
      <c r="F34" s="279">
        <v>15</v>
      </c>
      <c r="G34" s="260"/>
      <c r="H34" s="38">
        <f t="shared" si="1"/>
        <v>650</v>
      </c>
      <c r="I34" s="175"/>
    </row>
    <row r="35" spans="1:9" ht="26.7" customHeight="1">
      <c r="A35" s="39" t="s">
        <v>436</v>
      </c>
      <c r="B35" s="38" t="s">
        <v>323</v>
      </c>
      <c r="C35" s="38"/>
      <c r="D35" s="279"/>
      <c r="E35" s="260"/>
      <c r="F35" s="279">
        <v>3</v>
      </c>
      <c r="G35" s="260"/>
      <c r="H35" s="38">
        <f t="shared" si="1"/>
        <v>647</v>
      </c>
      <c r="I35" s="175"/>
    </row>
    <row r="36" spans="1:9" ht="26.7" customHeight="1">
      <c r="A36" s="39" t="s">
        <v>526</v>
      </c>
      <c r="B36" s="38" t="s">
        <v>323</v>
      </c>
      <c r="C36" s="38"/>
      <c r="D36" s="279"/>
      <c r="E36" s="260"/>
      <c r="F36" s="279">
        <v>30</v>
      </c>
      <c r="G36" s="260"/>
      <c r="H36" s="38">
        <f t="shared" si="1"/>
        <v>617</v>
      </c>
      <c r="I36" s="175"/>
    </row>
    <row r="37" spans="1:9" ht="26.7" customHeight="1">
      <c r="A37" s="39" t="s">
        <v>385</v>
      </c>
      <c r="B37" s="38" t="s">
        <v>323</v>
      </c>
      <c r="C37" s="38"/>
      <c r="D37" s="279"/>
      <c r="E37" s="260"/>
      <c r="F37" s="279">
        <v>30</v>
      </c>
      <c r="G37" s="260"/>
      <c r="H37" s="38">
        <f t="shared" si="1"/>
        <v>587</v>
      </c>
      <c r="I37" s="175"/>
    </row>
    <row r="38" spans="1:9" ht="26.7" customHeight="1">
      <c r="A38" s="39" t="s">
        <v>475</v>
      </c>
      <c r="B38" s="38" t="s">
        <v>323</v>
      </c>
      <c r="C38" s="38"/>
      <c r="D38" s="279"/>
      <c r="E38" s="260"/>
      <c r="F38" s="279">
        <v>60</v>
      </c>
      <c r="G38" s="260"/>
      <c r="H38" s="38">
        <f t="shared" si="1"/>
        <v>527</v>
      </c>
      <c r="I38" s="175"/>
    </row>
    <row r="39" spans="1:9" ht="26.7" customHeight="1">
      <c r="A39" s="39" t="s">
        <v>477</v>
      </c>
      <c r="B39" s="38" t="s">
        <v>323</v>
      </c>
      <c r="C39" s="38"/>
      <c r="D39" s="279"/>
      <c r="E39" s="260"/>
      <c r="F39" s="279">
        <v>60</v>
      </c>
      <c r="G39" s="260"/>
      <c r="H39" s="38">
        <f t="shared" si="1"/>
        <v>467</v>
      </c>
      <c r="I39" s="175"/>
    </row>
    <row r="40" spans="1:9" ht="26.7" customHeight="1">
      <c r="A40" s="107" t="s">
        <v>604</v>
      </c>
      <c r="B40" s="38" t="s">
        <v>323</v>
      </c>
      <c r="C40" s="38"/>
      <c r="D40" s="279"/>
      <c r="E40" s="260"/>
      <c r="F40" s="279">
        <v>9</v>
      </c>
      <c r="G40" s="260"/>
      <c r="H40" s="38">
        <f t="shared" si="1"/>
        <v>458</v>
      </c>
      <c r="I40" s="175"/>
    </row>
    <row r="41" spans="1:9" ht="26.7" customHeight="1">
      <c r="A41" s="39" t="s">
        <v>341</v>
      </c>
      <c r="B41" s="38" t="s">
        <v>323</v>
      </c>
      <c r="C41" s="38"/>
      <c r="D41" s="279"/>
      <c r="E41" s="260"/>
      <c r="F41" s="279">
        <v>90</v>
      </c>
      <c r="G41" s="260"/>
      <c r="H41" s="38">
        <f t="shared" si="1"/>
        <v>368</v>
      </c>
      <c r="I41" s="175"/>
    </row>
    <row r="42" spans="1:9" ht="26.7" customHeight="1">
      <c r="A42" s="39" t="s">
        <v>343</v>
      </c>
      <c r="B42" s="38" t="s">
        <v>323</v>
      </c>
      <c r="C42" s="38"/>
      <c r="D42" s="279"/>
      <c r="E42" s="260"/>
      <c r="F42" s="279">
        <v>32.5</v>
      </c>
      <c r="G42" s="260"/>
      <c r="H42" s="38">
        <f t="shared" si="1"/>
        <v>335.5</v>
      </c>
      <c r="I42" s="175"/>
    </row>
    <row r="43" spans="1:9" ht="26.7" customHeight="1">
      <c r="A43" s="39" t="s">
        <v>478</v>
      </c>
      <c r="B43" s="38" t="s">
        <v>324</v>
      </c>
      <c r="C43" s="38">
        <v>1000</v>
      </c>
      <c r="D43" s="279" t="s">
        <v>1076</v>
      </c>
      <c r="E43" s="260"/>
      <c r="F43" s="279"/>
      <c r="G43" s="260"/>
      <c r="H43" s="38">
        <v>1335.5</v>
      </c>
      <c r="I43" s="175" t="s">
        <v>1075</v>
      </c>
    </row>
    <row r="44" spans="1:9" ht="26.7" customHeight="1">
      <c r="A44" s="39" t="s">
        <v>346</v>
      </c>
      <c r="B44" s="38" t="s">
        <v>323</v>
      </c>
      <c r="C44" s="38"/>
      <c r="D44" s="279"/>
      <c r="E44" s="260"/>
      <c r="F44" s="279">
        <v>58</v>
      </c>
      <c r="G44" s="260"/>
      <c r="H44" s="38">
        <f t="shared" ref="H44:H69" si="2">H43-F44</f>
        <v>1277.5</v>
      </c>
      <c r="I44" s="175"/>
    </row>
    <row r="45" spans="1:9" ht="26.7" customHeight="1">
      <c r="A45" s="39" t="s">
        <v>387</v>
      </c>
      <c r="B45" s="38" t="s">
        <v>323</v>
      </c>
      <c r="C45" s="38"/>
      <c r="D45" s="279"/>
      <c r="E45" s="260"/>
      <c r="F45" s="279">
        <v>114</v>
      </c>
      <c r="G45" s="260"/>
      <c r="H45" s="38">
        <f t="shared" si="2"/>
        <v>1163.5</v>
      </c>
      <c r="I45" s="175" t="s">
        <v>414</v>
      </c>
    </row>
    <row r="46" spans="1:9" ht="26.7" customHeight="1">
      <c r="A46" s="39" t="s">
        <v>528</v>
      </c>
      <c r="B46" s="38" t="s">
        <v>323</v>
      </c>
      <c r="C46" s="38"/>
      <c r="D46" s="279"/>
      <c r="E46" s="260"/>
      <c r="F46" s="279">
        <v>15</v>
      </c>
      <c r="G46" s="260"/>
      <c r="H46" s="38">
        <f t="shared" si="2"/>
        <v>1148.5</v>
      </c>
      <c r="I46" s="175"/>
    </row>
    <row r="47" spans="1:9" ht="26.7" customHeight="1">
      <c r="A47" s="39" t="s">
        <v>634</v>
      </c>
      <c r="B47" s="38" t="s">
        <v>323</v>
      </c>
      <c r="C47" s="38"/>
      <c r="D47" s="279"/>
      <c r="E47" s="260"/>
      <c r="F47" s="279">
        <v>15</v>
      </c>
      <c r="G47" s="260"/>
      <c r="H47" s="38">
        <f t="shared" si="2"/>
        <v>1133.5</v>
      </c>
      <c r="I47" s="175"/>
    </row>
    <row r="48" spans="1:9" ht="26.7" customHeight="1">
      <c r="A48" s="39" t="s">
        <v>529</v>
      </c>
      <c r="B48" s="38" t="s">
        <v>323</v>
      </c>
      <c r="C48" s="38"/>
      <c r="D48" s="279"/>
      <c r="E48" s="260"/>
      <c r="F48" s="279">
        <v>30</v>
      </c>
      <c r="G48" s="260"/>
      <c r="H48" s="38">
        <f t="shared" si="2"/>
        <v>1103.5</v>
      </c>
      <c r="I48" s="175"/>
    </row>
    <row r="49" spans="1:9" ht="26.7" customHeight="1">
      <c r="A49" s="39" t="s">
        <v>530</v>
      </c>
      <c r="B49" s="38" t="s">
        <v>323</v>
      </c>
      <c r="C49" s="38"/>
      <c r="D49" s="279"/>
      <c r="E49" s="260"/>
      <c r="F49" s="279">
        <v>60</v>
      </c>
      <c r="G49" s="260"/>
      <c r="H49" s="38">
        <f t="shared" si="2"/>
        <v>1043.5</v>
      </c>
      <c r="I49" s="175"/>
    </row>
    <row r="50" spans="1:9" ht="26.7" customHeight="1">
      <c r="A50" s="39" t="s">
        <v>348</v>
      </c>
      <c r="B50" s="38" t="s">
        <v>323</v>
      </c>
      <c r="C50" s="38"/>
      <c r="D50" s="279"/>
      <c r="E50" s="260"/>
      <c r="F50" s="279">
        <v>30</v>
      </c>
      <c r="G50" s="260"/>
      <c r="H50" s="38">
        <f t="shared" si="2"/>
        <v>1013.5</v>
      </c>
      <c r="I50" s="175"/>
    </row>
    <row r="51" spans="1:9" ht="26.7" customHeight="1">
      <c r="A51" s="39" t="s">
        <v>349</v>
      </c>
      <c r="B51" s="38" t="s">
        <v>323</v>
      </c>
      <c r="C51" s="38"/>
      <c r="D51" s="279"/>
      <c r="E51" s="260"/>
      <c r="F51" s="279">
        <v>84</v>
      </c>
      <c r="G51" s="260"/>
      <c r="H51" s="38">
        <f t="shared" si="2"/>
        <v>929.5</v>
      </c>
      <c r="I51" s="175"/>
    </row>
    <row r="52" spans="1:9" ht="26.7" customHeight="1">
      <c r="A52" s="39" t="s">
        <v>350</v>
      </c>
      <c r="B52" s="38" t="s">
        <v>323</v>
      </c>
      <c r="C52" s="38"/>
      <c r="D52" s="279"/>
      <c r="E52" s="260"/>
      <c r="F52" s="279">
        <v>58</v>
      </c>
      <c r="G52" s="260"/>
      <c r="H52" s="38">
        <f t="shared" si="2"/>
        <v>871.5</v>
      </c>
      <c r="I52" s="175" t="s">
        <v>1075</v>
      </c>
    </row>
    <row r="53" spans="1:9" ht="26.7" customHeight="1">
      <c r="A53" s="39" t="s">
        <v>483</v>
      </c>
      <c r="B53" s="38" t="s">
        <v>323</v>
      </c>
      <c r="C53" s="38"/>
      <c r="D53" s="279"/>
      <c r="E53" s="260"/>
      <c r="F53" s="279">
        <v>30</v>
      </c>
      <c r="G53" s="260"/>
      <c r="H53" s="38">
        <f t="shared" si="2"/>
        <v>841.5</v>
      </c>
      <c r="I53" s="175"/>
    </row>
    <row r="54" spans="1:9" ht="26.7" customHeight="1">
      <c r="A54" s="39" t="s">
        <v>536</v>
      </c>
      <c r="B54" s="38" t="s">
        <v>323</v>
      </c>
      <c r="C54" s="38"/>
      <c r="D54" s="279"/>
      <c r="E54" s="260"/>
      <c r="F54" s="279">
        <v>60</v>
      </c>
      <c r="G54" s="260"/>
      <c r="H54" s="38">
        <f t="shared" si="2"/>
        <v>781.5</v>
      </c>
      <c r="I54" s="175"/>
    </row>
    <row r="55" spans="1:9" ht="26.7" customHeight="1">
      <c r="A55" s="39" t="s">
        <v>351</v>
      </c>
      <c r="B55" s="38" t="s">
        <v>323</v>
      </c>
      <c r="C55" s="38"/>
      <c r="D55" s="279"/>
      <c r="E55" s="260"/>
      <c r="F55" s="279">
        <v>60</v>
      </c>
      <c r="G55" s="260"/>
      <c r="H55" s="38">
        <f t="shared" si="2"/>
        <v>721.5</v>
      </c>
      <c r="I55" s="175"/>
    </row>
    <row r="56" spans="1:9" ht="26.7" customHeight="1">
      <c r="A56" s="39" t="s">
        <v>389</v>
      </c>
      <c r="B56" s="38" t="s">
        <v>323</v>
      </c>
      <c r="C56" s="38"/>
      <c r="D56" s="279"/>
      <c r="E56" s="260"/>
      <c r="F56" s="279">
        <v>95</v>
      </c>
      <c r="G56" s="260"/>
      <c r="H56" s="38">
        <f t="shared" si="2"/>
        <v>626.5</v>
      </c>
      <c r="I56" s="175"/>
    </row>
    <row r="57" spans="1:9" ht="26.7" customHeight="1">
      <c r="A57" s="39" t="s">
        <v>579</v>
      </c>
      <c r="B57" s="38" t="s">
        <v>323</v>
      </c>
      <c r="C57" s="38"/>
      <c r="D57" s="279"/>
      <c r="E57" s="260"/>
      <c r="F57" s="279">
        <v>56</v>
      </c>
      <c r="G57" s="260"/>
      <c r="H57" s="38">
        <f t="shared" si="2"/>
        <v>570.5</v>
      </c>
      <c r="I57" s="175"/>
    </row>
    <row r="58" spans="1:9" ht="26.7" customHeight="1">
      <c r="A58" s="39" t="s">
        <v>484</v>
      </c>
      <c r="B58" s="38" t="s">
        <v>323</v>
      </c>
      <c r="C58" s="38"/>
      <c r="D58" s="279"/>
      <c r="E58" s="260"/>
      <c r="F58" s="279">
        <v>28</v>
      </c>
      <c r="G58" s="260"/>
      <c r="H58" s="38">
        <f t="shared" si="2"/>
        <v>542.5</v>
      </c>
      <c r="I58" s="175"/>
    </row>
    <row r="59" spans="1:9" ht="26.7" customHeight="1">
      <c r="A59" s="39" t="s">
        <v>485</v>
      </c>
      <c r="B59" s="38" t="s">
        <v>323</v>
      </c>
      <c r="C59" s="38"/>
      <c r="D59" s="279"/>
      <c r="E59" s="260"/>
      <c r="F59" s="280">
        <v>30</v>
      </c>
      <c r="G59" s="260"/>
      <c r="H59" s="38">
        <f t="shared" si="2"/>
        <v>512.5</v>
      </c>
      <c r="I59" s="175"/>
    </row>
    <row r="60" spans="1:9" ht="26.7" customHeight="1">
      <c r="A60" s="39" t="s">
        <v>486</v>
      </c>
      <c r="B60" s="38" t="s">
        <v>323</v>
      </c>
      <c r="C60" s="38"/>
      <c r="D60" s="279"/>
      <c r="E60" s="260"/>
      <c r="F60" s="279">
        <v>28</v>
      </c>
      <c r="G60" s="260"/>
      <c r="H60" s="38">
        <f t="shared" si="2"/>
        <v>484.5</v>
      </c>
      <c r="I60" s="175"/>
    </row>
    <row r="61" spans="1:9" ht="26.7" customHeight="1">
      <c r="A61" s="39" t="s">
        <v>487</v>
      </c>
      <c r="B61" s="38" t="s">
        <v>323</v>
      </c>
      <c r="C61" s="38"/>
      <c r="D61" s="279"/>
      <c r="E61" s="260"/>
      <c r="F61" s="279">
        <v>5</v>
      </c>
      <c r="G61" s="260"/>
      <c r="H61" s="38">
        <f t="shared" si="2"/>
        <v>479.5</v>
      </c>
      <c r="I61" s="175"/>
    </row>
    <row r="62" spans="1:9" ht="26.7" customHeight="1">
      <c r="A62" s="39" t="s">
        <v>415</v>
      </c>
      <c r="B62" s="38" t="s">
        <v>323</v>
      </c>
      <c r="C62" s="38"/>
      <c r="D62" s="279"/>
      <c r="E62" s="260"/>
      <c r="F62" s="279">
        <v>60</v>
      </c>
      <c r="G62" s="260"/>
      <c r="H62" s="38">
        <f t="shared" si="2"/>
        <v>419.5</v>
      </c>
      <c r="I62" s="175"/>
    </row>
    <row r="63" spans="1:9" ht="26.7" customHeight="1">
      <c r="A63" s="39" t="s">
        <v>488</v>
      </c>
      <c r="B63" s="38" t="s">
        <v>323</v>
      </c>
      <c r="C63" s="38"/>
      <c r="D63" s="279"/>
      <c r="E63" s="260"/>
      <c r="F63" s="279">
        <v>15</v>
      </c>
      <c r="G63" s="260"/>
      <c r="H63" s="38">
        <f t="shared" si="2"/>
        <v>404.5</v>
      </c>
      <c r="I63" s="175"/>
    </row>
    <row r="64" spans="1:9" ht="26.7" customHeight="1">
      <c r="A64" s="41" t="s">
        <v>539</v>
      </c>
      <c r="B64" s="38" t="s">
        <v>323</v>
      </c>
      <c r="C64" s="38"/>
      <c r="D64" s="279"/>
      <c r="E64" s="260"/>
      <c r="F64" s="279">
        <v>5</v>
      </c>
      <c r="G64" s="260"/>
      <c r="H64" s="38">
        <f t="shared" si="2"/>
        <v>399.5</v>
      </c>
      <c r="I64" s="175"/>
    </row>
    <row r="65" spans="1:9" ht="26.7" customHeight="1">
      <c r="A65" s="39" t="s">
        <v>352</v>
      </c>
      <c r="B65" s="38" t="s">
        <v>323</v>
      </c>
      <c r="C65" s="38"/>
      <c r="D65" s="279"/>
      <c r="E65" s="260"/>
      <c r="F65" s="279">
        <v>75</v>
      </c>
      <c r="G65" s="260"/>
      <c r="H65" s="38">
        <f t="shared" si="2"/>
        <v>324.5</v>
      </c>
      <c r="I65" s="175"/>
    </row>
    <row r="66" spans="1:9" ht="26.7" customHeight="1">
      <c r="A66" s="39" t="s">
        <v>353</v>
      </c>
      <c r="B66" s="38" t="s">
        <v>323</v>
      </c>
      <c r="C66" s="38"/>
      <c r="D66" s="279"/>
      <c r="E66" s="260"/>
      <c r="F66" s="279">
        <v>114</v>
      </c>
      <c r="G66" s="260"/>
      <c r="H66" s="38">
        <f t="shared" si="2"/>
        <v>210.5</v>
      </c>
      <c r="I66" s="175"/>
    </row>
    <row r="67" spans="1:9" ht="26.7" customHeight="1">
      <c r="A67" s="39" t="s">
        <v>741</v>
      </c>
      <c r="B67" s="38" t="s">
        <v>323</v>
      </c>
      <c r="C67" s="38"/>
      <c r="D67" s="279"/>
      <c r="E67" s="260"/>
      <c r="F67" s="279">
        <v>4.5</v>
      </c>
      <c r="G67" s="260"/>
      <c r="H67" s="38">
        <f t="shared" si="2"/>
        <v>206</v>
      </c>
      <c r="I67" s="175"/>
    </row>
    <row r="68" spans="1:9" ht="26.7" customHeight="1">
      <c r="A68" s="39" t="s">
        <v>580</v>
      </c>
      <c r="B68" s="38" t="s">
        <v>323</v>
      </c>
      <c r="C68" s="38"/>
      <c r="D68" s="279"/>
      <c r="E68" s="260"/>
      <c r="F68" s="279">
        <v>28</v>
      </c>
      <c r="G68" s="260"/>
      <c r="H68" s="38">
        <f t="shared" si="2"/>
        <v>178</v>
      </c>
      <c r="I68" s="175"/>
    </row>
    <row r="69" spans="1:9" ht="26.7" customHeight="1">
      <c r="A69" s="39" t="s">
        <v>490</v>
      </c>
      <c r="B69" s="38" t="s">
        <v>323</v>
      </c>
      <c r="C69" s="38"/>
      <c r="D69" s="279"/>
      <c r="E69" s="260"/>
      <c r="F69" s="279">
        <v>30</v>
      </c>
      <c r="G69" s="260"/>
      <c r="H69" s="38">
        <f t="shared" si="2"/>
        <v>148</v>
      </c>
      <c r="I69" s="175"/>
    </row>
    <row r="70" spans="1:9" ht="26.7" customHeight="1">
      <c r="A70" s="39" t="s">
        <v>490</v>
      </c>
      <c r="B70" s="38" t="s">
        <v>324</v>
      </c>
      <c r="C70" s="38">
        <v>1000</v>
      </c>
      <c r="D70" s="279" t="s">
        <v>1077</v>
      </c>
      <c r="E70" s="260"/>
      <c r="F70" s="279"/>
      <c r="G70" s="260"/>
      <c r="H70" s="38">
        <v>1148</v>
      </c>
      <c r="I70" s="175"/>
    </row>
    <row r="71" spans="1:9" ht="26.7" customHeight="1">
      <c r="A71" s="39" t="s">
        <v>541</v>
      </c>
      <c r="B71" s="38" t="s">
        <v>323</v>
      </c>
      <c r="C71" s="38"/>
      <c r="D71" s="279"/>
      <c r="E71" s="260"/>
      <c r="F71" s="279">
        <v>64.5</v>
      </c>
      <c r="G71" s="260"/>
      <c r="H71" s="38">
        <f>H70-F71</f>
        <v>1083.5</v>
      </c>
      <c r="I71" s="175"/>
    </row>
    <row r="72" spans="1:9" ht="26.7" customHeight="1">
      <c r="A72" s="39" t="s">
        <v>491</v>
      </c>
      <c r="B72" s="38" t="s">
        <v>323</v>
      </c>
      <c r="C72" s="38"/>
      <c r="D72" s="279"/>
      <c r="E72" s="260"/>
      <c r="F72" s="279">
        <v>30</v>
      </c>
      <c r="G72" s="260"/>
      <c r="H72" s="38">
        <f>H71-F72</f>
        <v>1053.5</v>
      </c>
      <c r="I72" s="175"/>
    </row>
    <row r="73" spans="1:9" ht="26.7" customHeight="1">
      <c r="A73" s="39" t="s">
        <v>491</v>
      </c>
      <c r="B73" s="38" t="s">
        <v>324</v>
      </c>
      <c r="C73" s="38">
        <v>1000</v>
      </c>
      <c r="D73" s="279" t="s">
        <v>1077</v>
      </c>
      <c r="E73" s="260"/>
      <c r="F73" s="279"/>
      <c r="G73" s="260"/>
      <c r="H73" s="38">
        <v>2053.5</v>
      </c>
      <c r="I73" s="175" t="s">
        <v>1075</v>
      </c>
    </row>
    <row r="74" spans="1:9" ht="26.7" customHeight="1">
      <c r="A74" s="39" t="s">
        <v>543</v>
      </c>
      <c r="B74" s="38" t="s">
        <v>323</v>
      </c>
      <c r="C74" s="38"/>
      <c r="D74" s="279"/>
      <c r="E74" s="260"/>
      <c r="F74" s="279">
        <v>4.5</v>
      </c>
      <c r="G74" s="260"/>
      <c r="H74" s="38">
        <f t="shared" ref="H74:H116" si="3">H73-F74</f>
        <v>2049</v>
      </c>
      <c r="I74" s="175"/>
    </row>
    <row r="75" spans="1:9" ht="26.7" customHeight="1">
      <c r="A75" s="39" t="s">
        <v>355</v>
      </c>
      <c r="B75" s="38" t="s">
        <v>323</v>
      </c>
      <c r="C75" s="38"/>
      <c r="D75" s="279"/>
      <c r="E75" s="260"/>
      <c r="F75" s="279">
        <v>30</v>
      </c>
      <c r="G75" s="260"/>
      <c r="H75" s="38">
        <f t="shared" si="3"/>
        <v>2019</v>
      </c>
      <c r="I75" s="175"/>
    </row>
    <row r="76" spans="1:9" ht="26.7" customHeight="1">
      <c r="A76" s="39" t="s">
        <v>393</v>
      </c>
      <c r="B76" s="38" t="s">
        <v>323</v>
      </c>
      <c r="C76" s="38"/>
      <c r="D76" s="279"/>
      <c r="E76" s="260"/>
      <c r="F76" s="279">
        <v>28</v>
      </c>
      <c r="G76" s="260"/>
      <c r="H76" s="38">
        <f t="shared" si="3"/>
        <v>1991</v>
      </c>
      <c r="I76" s="175"/>
    </row>
    <row r="77" spans="1:9" ht="26.7" customHeight="1">
      <c r="A77" s="39" t="s">
        <v>416</v>
      </c>
      <c r="B77" s="38" t="s">
        <v>323</v>
      </c>
      <c r="C77" s="38"/>
      <c r="D77" s="279"/>
      <c r="E77" s="260"/>
      <c r="F77" s="279">
        <v>30</v>
      </c>
      <c r="G77" s="260"/>
      <c r="H77" s="38">
        <f t="shared" si="3"/>
        <v>1961</v>
      </c>
      <c r="I77" s="175"/>
    </row>
    <row r="78" spans="1:9" ht="26.7" customHeight="1">
      <c r="A78" s="39" t="s">
        <v>492</v>
      </c>
      <c r="B78" s="38" t="s">
        <v>323</v>
      </c>
      <c r="C78" s="38"/>
      <c r="D78" s="279"/>
      <c r="E78" s="260"/>
      <c r="F78" s="279">
        <v>86</v>
      </c>
      <c r="G78" s="260"/>
      <c r="H78" s="38">
        <f t="shared" si="3"/>
        <v>1875</v>
      </c>
      <c r="I78" s="175"/>
    </row>
    <row r="79" spans="1:9" ht="26.7" customHeight="1">
      <c r="A79" s="39" t="s">
        <v>394</v>
      </c>
      <c r="B79" s="38" t="s">
        <v>323</v>
      </c>
      <c r="C79" s="38"/>
      <c r="D79" s="279"/>
      <c r="E79" s="260"/>
      <c r="F79" s="279">
        <v>60</v>
      </c>
      <c r="G79" s="260"/>
      <c r="H79" s="38">
        <f t="shared" si="3"/>
        <v>1815</v>
      </c>
      <c r="I79" s="175"/>
    </row>
    <row r="80" spans="1:9" ht="26.7" customHeight="1">
      <c r="A80" s="39" t="s">
        <v>444</v>
      </c>
      <c r="B80" s="38" t="s">
        <v>323</v>
      </c>
      <c r="C80" s="38"/>
      <c r="D80" s="279"/>
      <c r="E80" s="260"/>
      <c r="F80" s="279">
        <v>58</v>
      </c>
      <c r="G80" s="260"/>
      <c r="H80" s="38">
        <f t="shared" si="3"/>
        <v>1757</v>
      </c>
      <c r="I80" s="175"/>
    </row>
    <row r="81" spans="1:9" ht="26.7" customHeight="1">
      <c r="A81" s="39" t="s">
        <v>445</v>
      </c>
      <c r="B81" s="38" t="s">
        <v>323</v>
      </c>
      <c r="C81" s="38"/>
      <c r="D81" s="279"/>
      <c r="E81" s="260"/>
      <c r="F81" s="279">
        <v>15</v>
      </c>
      <c r="G81" s="260"/>
      <c r="H81" s="38">
        <f t="shared" si="3"/>
        <v>1742</v>
      </c>
      <c r="I81" s="175"/>
    </row>
    <row r="82" spans="1:9" ht="26.7" customHeight="1">
      <c r="A82" s="39" t="s">
        <v>582</v>
      </c>
      <c r="B82" s="38" t="s">
        <v>323</v>
      </c>
      <c r="C82" s="38"/>
      <c r="D82" s="279"/>
      <c r="E82" s="260"/>
      <c r="F82" s="279">
        <v>58</v>
      </c>
      <c r="G82" s="260"/>
      <c r="H82" s="38">
        <f t="shared" si="3"/>
        <v>1684</v>
      </c>
      <c r="I82" s="175"/>
    </row>
    <row r="83" spans="1:9" ht="26.7" customHeight="1">
      <c r="A83" s="39" t="s">
        <v>495</v>
      </c>
      <c r="B83" s="38" t="s">
        <v>323</v>
      </c>
      <c r="C83" s="38"/>
      <c r="D83" s="279"/>
      <c r="E83" s="260"/>
      <c r="F83" s="279">
        <v>15</v>
      </c>
      <c r="G83" s="260"/>
      <c r="H83" s="38">
        <f t="shared" si="3"/>
        <v>1669</v>
      </c>
      <c r="I83" s="175"/>
    </row>
    <row r="84" spans="1:9" ht="26.7" customHeight="1">
      <c r="A84" s="39" t="s">
        <v>446</v>
      </c>
      <c r="B84" s="38" t="s">
        <v>323</v>
      </c>
      <c r="C84" s="38"/>
      <c r="D84" s="279"/>
      <c r="E84" s="260"/>
      <c r="F84" s="279">
        <v>39</v>
      </c>
      <c r="G84" s="260"/>
      <c r="H84" s="38">
        <f t="shared" si="3"/>
        <v>1630</v>
      </c>
      <c r="I84" s="175"/>
    </row>
    <row r="85" spans="1:9" ht="26.7" customHeight="1">
      <c r="A85" s="39" t="s">
        <v>544</v>
      </c>
      <c r="B85" s="38" t="s">
        <v>323</v>
      </c>
      <c r="C85" s="38"/>
      <c r="D85" s="279"/>
      <c r="E85" s="260"/>
      <c r="F85" s="279">
        <v>86</v>
      </c>
      <c r="G85" s="260"/>
      <c r="H85" s="38">
        <f t="shared" si="3"/>
        <v>1544</v>
      </c>
      <c r="I85" s="175"/>
    </row>
    <row r="86" spans="1:9" ht="26.7" customHeight="1">
      <c r="A86" s="39" t="s">
        <v>496</v>
      </c>
      <c r="B86" s="38" t="s">
        <v>323</v>
      </c>
      <c r="C86" s="38"/>
      <c r="D86" s="279"/>
      <c r="E86" s="260"/>
      <c r="F86" s="279">
        <v>35</v>
      </c>
      <c r="G86" s="260"/>
      <c r="H86" s="38">
        <f t="shared" si="3"/>
        <v>1509</v>
      </c>
      <c r="I86" s="175"/>
    </row>
    <row r="87" spans="1:9" ht="26.7" customHeight="1">
      <c r="A87" s="39" t="s">
        <v>357</v>
      </c>
      <c r="B87" s="38" t="s">
        <v>323</v>
      </c>
      <c r="C87" s="38"/>
      <c r="D87" s="279"/>
      <c r="E87" s="260"/>
      <c r="F87" s="279">
        <v>30</v>
      </c>
      <c r="G87" s="260"/>
      <c r="H87" s="38">
        <f t="shared" si="3"/>
        <v>1479</v>
      </c>
      <c r="I87" s="175"/>
    </row>
    <row r="88" spans="1:9" ht="26.7" customHeight="1">
      <c r="A88" s="39" t="s">
        <v>447</v>
      </c>
      <c r="B88" s="38" t="s">
        <v>323</v>
      </c>
      <c r="C88" s="38"/>
      <c r="D88" s="279"/>
      <c r="E88" s="260"/>
      <c r="F88" s="279">
        <v>28</v>
      </c>
      <c r="G88" s="260"/>
      <c r="H88" s="38">
        <f t="shared" si="3"/>
        <v>1451</v>
      </c>
      <c r="I88" s="175"/>
    </row>
    <row r="89" spans="1:9" ht="26.7" customHeight="1">
      <c r="A89" s="39" t="s">
        <v>358</v>
      </c>
      <c r="B89" s="38" t="s">
        <v>323</v>
      </c>
      <c r="C89" s="38"/>
      <c r="D89" s="279"/>
      <c r="E89" s="260"/>
      <c r="F89" s="279">
        <v>30</v>
      </c>
      <c r="G89" s="260"/>
      <c r="H89" s="38">
        <f t="shared" si="3"/>
        <v>1421</v>
      </c>
      <c r="I89" s="175"/>
    </row>
    <row r="90" spans="1:9" ht="26.7" customHeight="1">
      <c r="A90" s="39" t="s">
        <v>764</v>
      </c>
      <c r="B90" s="38" t="s">
        <v>323</v>
      </c>
      <c r="C90" s="38"/>
      <c r="D90" s="279"/>
      <c r="E90" s="260"/>
      <c r="F90" s="279">
        <v>60</v>
      </c>
      <c r="G90" s="260"/>
      <c r="H90" s="38">
        <f t="shared" si="3"/>
        <v>1361</v>
      </c>
      <c r="I90" s="175"/>
    </row>
    <row r="91" spans="1:9" ht="26.7" customHeight="1">
      <c r="A91" s="39" t="s">
        <v>498</v>
      </c>
      <c r="B91" s="38" t="s">
        <v>323</v>
      </c>
      <c r="C91" s="38"/>
      <c r="D91" s="279"/>
      <c r="E91" s="260"/>
      <c r="F91" s="279">
        <v>30</v>
      </c>
      <c r="G91" s="260"/>
      <c r="H91" s="38">
        <f t="shared" si="3"/>
        <v>1331</v>
      </c>
      <c r="I91" s="175"/>
    </row>
    <row r="92" spans="1:9" ht="26.7" customHeight="1">
      <c r="A92" s="39" t="s">
        <v>499</v>
      </c>
      <c r="B92" s="38" t="s">
        <v>323</v>
      </c>
      <c r="C92" s="38"/>
      <c r="D92" s="279"/>
      <c r="E92" s="260"/>
      <c r="F92" s="279">
        <v>4.5</v>
      </c>
      <c r="G92" s="260"/>
      <c r="H92" s="38">
        <f t="shared" si="3"/>
        <v>1326.5</v>
      </c>
      <c r="I92" s="175"/>
    </row>
    <row r="93" spans="1:9" ht="26.7" customHeight="1">
      <c r="A93" s="39" t="s">
        <v>448</v>
      </c>
      <c r="B93" s="38" t="s">
        <v>323</v>
      </c>
      <c r="C93" s="38"/>
      <c r="D93" s="279"/>
      <c r="E93" s="260"/>
      <c r="F93" s="279">
        <v>28</v>
      </c>
      <c r="G93" s="260"/>
      <c r="H93" s="38">
        <f t="shared" si="3"/>
        <v>1298.5</v>
      </c>
      <c r="I93" s="175"/>
    </row>
    <row r="94" spans="1:9" ht="26.7" customHeight="1">
      <c r="A94" s="39" t="s">
        <v>548</v>
      </c>
      <c r="B94" s="38" t="s">
        <v>323</v>
      </c>
      <c r="C94" s="38"/>
      <c r="D94" s="279"/>
      <c r="E94" s="260"/>
      <c r="F94" s="279">
        <v>60</v>
      </c>
      <c r="G94" s="260"/>
      <c r="H94" s="38">
        <f t="shared" si="3"/>
        <v>1238.5</v>
      </c>
      <c r="I94" s="175"/>
    </row>
    <row r="95" spans="1:9" ht="26.7" customHeight="1">
      <c r="A95" s="39" t="s">
        <v>584</v>
      </c>
      <c r="B95" s="38" t="s">
        <v>323</v>
      </c>
      <c r="C95" s="38"/>
      <c r="D95" s="279"/>
      <c r="E95" s="260"/>
      <c r="F95" s="279">
        <v>90</v>
      </c>
      <c r="G95" s="260"/>
      <c r="H95" s="38">
        <f t="shared" si="3"/>
        <v>1148.5</v>
      </c>
      <c r="I95" s="175" t="s">
        <v>1075</v>
      </c>
    </row>
    <row r="96" spans="1:9" ht="26.7" customHeight="1">
      <c r="A96" s="39" t="s">
        <v>359</v>
      </c>
      <c r="B96" s="38" t="s">
        <v>323</v>
      </c>
      <c r="C96" s="38"/>
      <c r="D96" s="279"/>
      <c r="E96" s="260"/>
      <c r="F96" s="279">
        <v>30</v>
      </c>
      <c r="G96" s="260"/>
      <c r="H96" s="38">
        <f t="shared" si="3"/>
        <v>1118.5</v>
      </c>
      <c r="I96" s="175"/>
    </row>
    <row r="97" spans="1:9" ht="26.7" customHeight="1">
      <c r="A97" s="39" t="s">
        <v>395</v>
      </c>
      <c r="B97" s="38" t="s">
        <v>323</v>
      </c>
      <c r="C97" s="38"/>
      <c r="D97" s="279"/>
      <c r="E97" s="260"/>
      <c r="F97" s="279">
        <v>142</v>
      </c>
      <c r="G97" s="260"/>
      <c r="H97" s="38">
        <f t="shared" si="3"/>
        <v>976.5</v>
      </c>
      <c r="I97" s="175"/>
    </row>
    <row r="98" spans="1:9" ht="26.7" customHeight="1">
      <c r="A98" s="39" t="s">
        <v>360</v>
      </c>
      <c r="B98" s="38" t="s">
        <v>323</v>
      </c>
      <c r="C98" s="38"/>
      <c r="D98" s="279"/>
      <c r="E98" s="260"/>
      <c r="F98" s="279">
        <v>15</v>
      </c>
      <c r="G98" s="260"/>
      <c r="H98" s="38">
        <f t="shared" si="3"/>
        <v>961.5</v>
      </c>
      <c r="I98" s="175"/>
    </row>
    <row r="99" spans="1:9" ht="26.7" customHeight="1">
      <c r="A99" s="58" t="s">
        <v>502</v>
      </c>
      <c r="B99" s="38" t="s">
        <v>323</v>
      </c>
      <c r="C99" s="38"/>
      <c r="D99" s="279"/>
      <c r="E99" s="260"/>
      <c r="F99" s="279">
        <v>58</v>
      </c>
      <c r="G99" s="260"/>
      <c r="H99" s="38">
        <f t="shared" si="3"/>
        <v>903.5</v>
      </c>
      <c r="I99" s="175"/>
    </row>
    <row r="100" spans="1:9" ht="26.7" customHeight="1">
      <c r="A100" s="39" t="s">
        <v>503</v>
      </c>
      <c r="B100" s="38" t="s">
        <v>323</v>
      </c>
      <c r="C100" s="38"/>
      <c r="D100" s="279"/>
      <c r="E100" s="260"/>
      <c r="F100" s="279">
        <v>56</v>
      </c>
      <c r="G100" s="260"/>
      <c r="H100" s="38">
        <f t="shared" si="3"/>
        <v>847.5</v>
      </c>
      <c r="I100" s="175"/>
    </row>
    <row r="101" spans="1:9" ht="26.7" customHeight="1">
      <c r="A101" s="39" t="s">
        <v>361</v>
      </c>
      <c r="B101" s="38" t="s">
        <v>323</v>
      </c>
      <c r="C101" s="38"/>
      <c r="D101" s="279"/>
      <c r="E101" s="260"/>
      <c r="F101" s="279">
        <v>30</v>
      </c>
      <c r="G101" s="260"/>
      <c r="H101" s="38">
        <f t="shared" si="3"/>
        <v>817.5</v>
      </c>
      <c r="I101" s="175"/>
    </row>
    <row r="102" spans="1:9" ht="26.7" customHeight="1">
      <c r="A102" s="39" t="s">
        <v>450</v>
      </c>
      <c r="B102" s="38" t="s">
        <v>323</v>
      </c>
      <c r="C102" s="38"/>
      <c r="D102" s="279"/>
      <c r="E102" s="260"/>
      <c r="F102" s="279">
        <v>15</v>
      </c>
      <c r="G102" s="260"/>
      <c r="H102" s="38">
        <f t="shared" si="3"/>
        <v>802.5</v>
      </c>
      <c r="I102" s="175"/>
    </row>
    <row r="103" spans="1:9" ht="26.7" customHeight="1">
      <c r="A103" s="39" t="s">
        <v>550</v>
      </c>
      <c r="B103" s="38" t="s">
        <v>323</v>
      </c>
      <c r="C103" s="38"/>
      <c r="D103" s="279"/>
      <c r="E103" s="260"/>
      <c r="F103" s="279">
        <v>28</v>
      </c>
      <c r="G103" s="260"/>
      <c r="H103" s="38">
        <f t="shared" si="3"/>
        <v>774.5</v>
      </c>
      <c r="I103" s="175"/>
    </row>
    <row r="104" spans="1:9" ht="26.7" customHeight="1">
      <c r="A104" s="39" t="s">
        <v>551</v>
      </c>
      <c r="B104" s="38" t="s">
        <v>323</v>
      </c>
      <c r="C104" s="38"/>
      <c r="D104" s="279"/>
      <c r="E104" s="260"/>
      <c r="F104" s="279">
        <v>30</v>
      </c>
      <c r="G104" s="260"/>
      <c r="H104" s="38">
        <f t="shared" si="3"/>
        <v>744.5</v>
      </c>
      <c r="I104" s="175"/>
    </row>
    <row r="105" spans="1:9" ht="26.7" customHeight="1">
      <c r="A105" s="39" t="s">
        <v>362</v>
      </c>
      <c r="B105" s="38" t="s">
        <v>323</v>
      </c>
      <c r="C105" s="38"/>
      <c r="D105" s="279"/>
      <c r="E105" s="260"/>
      <c r="F105" s="279">
        <v>30</v>
      </c>
      <c r="G105" s="260"/>
      <c r="H105" s="38">
        <f t="shared" si="3"/>
        <v>714.5</v>
      </c>
      <c r="I105" s="175"/>
    </row>
    <row r="106" spans="1:9" ht="26.7" customHeight="1">
      <c r="A106" s="39" t="s">
        <v>363</v>
      </c>
      <c r="B106" s="38" t="s">
        <v>323</v>
      </c>
      <c r="C106" s="38"/>
      <c r="D106" s="279"/>
      <c r="E106" s="260"/>
      <c r="F106" s="279">
        <v>28</v>
      </c>
      <c r="G106" s="260"/>
      <c r="H106" s="38">
        <f t="shared" si="3"/>
        <v>686.5</v>
      </c>
      <c r="I106" s="175"/>
    </row>
    <row r="107" spans="1:9" ht="26.7" customHeight="1">
      <c r="A107" s="39" t="s">
        <v>568</v>
      </c>
      <c r="B107" s="38" t="s">
        <v>323</v>
      </c>
      <c r="C107" s="38"/>
      <c r="D107" s="279"/>
      <c r="E107" s="260"/>
      <c r="F107" s="279">
        <v>30</v>
      </c>
      <c r="G107" s="260"/>
      <c r="H107" s="38">
        <f t="shared" si="3"/>
        <v>656.5</v>
      </c>
      <c r="I107" s="175"/>
    </row>
    <row r="108" spans="1:9" ht="26.7" customHeight="1">
      <c r="A108" s="39" t="s">
        <v>506</v>
      </c>
      <c r="B108" s="38" t="s">
        <v>323</v>
      </c>
      <c r="C108" s="38"/>
      <c r="D108" s="279"/>
      <c r="E108" s="260"/>
      <c r="F108" s="279">
        <v>30</v>
      </c>
      <c r="G108" s="260"/>
      <c r="H108" s="38">
        <f t="shared" si="3"/>
        <v>626.5</v>
      </c>
      <c r="I108" s="175"/>
    </row>
    <row r="109" spans="1:9" ht="26.7" customHeight="1">
      <c r="A109" s="39" t="s">
        <v>364</v>
      </c>
      <c r="B109" s="38" t="s">
        <v>323</v>
      </c>
      <c r="C109" s="38"/>
      <c r="D109" s="279"/>
      <c r="E109" s="260"/>
      <c r="F109" s="279">
        <v>3</v>
      </c>
      <c r="G109" s="260"/>
      <c r="H109" s="38">
        <f t="shared" si="3"/>
        <v>623.5</v>
      </c>
      <c r="I109" s="175"/>
    </row>
    <row r="110" spans="1:9" ht="26.7" customHeight="1">
      <c r="A110" s="39" t="s">
        <v>552</v>
      </c>
      <c r="B110" s="38" t="s">
        <v>323</v>
      </c>
      <c r="C110" s="38"/>
      <c r="D110" s="279"/>
      <c r="E110" s="260"/>
      <c r="F110" s="279">
        <v>64.5</v>
      </c>
      <c r="G110" s="260"/>
      <c r="H110" s="38">
        <f t="shared" si="3"/>
        <v>559</v>
      </c>
      <c r="I110" s="175"/>
    </row>
    <row r="111" spans="1:9" ht="26.7" customHeight="1">
      <c r="A111" s="39" t="s">
        <v>553</v>
      </c>
      <c r="B111" s="38" t="s">
        <v>323</v>
      </c>
      <c r="C111" s="38"/>
      <c r="D111" s="279"/>
      <c r="E111" s="260"/>
      <c r="F111" s="279">
        <v>31</v>
      </c>
      <c r="G111" s="260"/>
      <c r="H111" s="38">
        <f t="shared" si="3"/>
        <v>528</v>
      </c>
      <c r="I111" s="175"/>
    </row>
    <row r="112" spans="1:9" ht="26.7" customHeight="1">
      <c r="A112" s="39" t="s">
        <v>451</v>
      </c>
      <c r="B112" s="38" t="s">
        <v>323</v>
      </c>
      <c r="C112" s="38"/>
      <c r="D112" s="279"/>
      <c r="E112" s="260"/>
      <c r="F112" s="279">
        <v>7</v>
      </c>
      <c r="G112" s="260"/>
      <c r="H112" s="38">
        <f t="shared" si="3"/>
        <v>521</v>
      </c>
      <c r="I112" s="175"/>
    </row>
    <row r="113" spans="1:9" ht="26.7" customHeight="1">
      <c r="A113" s="39" t="s">
        <v>554</v>
      </c>
      <c r="B113" s="38" t="s">
        <v>323</v>
      </c>
      <c r="C113" s="38"/>
      <c r="D113" s="279"/>
      <c r="E113" s="260"/>
      <c r="F113" s="279">
        <v>30</v>
      </c>
      <c r="G113" s="260"/>
      <c r="H113" s="38">
        <f t="shared" si="3"/>
        <v>491</v>
      </c>
      <c r="I113" s="175"/>
    </row>
    <row r="114" spans="1:9" ht="26.7" customHeight="1">
      <c r="A114" s="39" t="s">
        <v>452</v>
      </c>
      <c r="B114" s="38" t="s">
        <v>323</v>
      </c>
      <c r="C114" s="38"/>
      <c r="D114" s="279"/>
      <c r="E114" s="260"/>
      <c r="F114" s="279">
        <v>33</v>
      </c>
      <c r="G114" s="260"/>
      <c r="H114" s="38">
        <f t="shared" si="3"/>
        <v>458</v>
      </c>
      <c r="I114" s="175"/>
    </row>
    <row r="115" spans="1:9" ht="26.7" customHeight="1">
      <c r="A115" s="39" t="s">
        <v>454</v>
      </c>
      <c r="B115" s="38" t="s">
        <v>323</v>
      </c>
      <c r="C115" s="38"/>
      <c r="D115" s="279"/>
      <c r="E115" s="260"/>
      <c r="F115" s="279">
        <v>176</v>
      </c>
      <c r="G115" s="260"/>
      <c r="H115" s="38">
        <f t="shared" si="3"/>
        <v>282</v>
      </c>
      <c r="I115" s="175"/>
    </row>
    <row r="116" spans="1:9" ht="26.7" customHeight="1">
      <c r="A116" s="39" t="s">
        <v>365</v>
      </c>
      <c r="B116" s="38" t="s">
        <v>323</v>
      </c>
      <c r="C116" s="38"/>
      <c r="D116" s="279"/>
      <c r="E116" s="260"/>
      <c r="F116" s="279">
        <v>37.5</v>
      </c>
      <c r="G116" s="260"/>
      <c r="H116" s="38">
        <f t="shared" si="3"/>
        <v>244.5</v>
      </c>
      <c r="I116" s="175"/>
    </row>
    <row r="117" spans="1:9" ht="26.7" customHeight="1">
      <c r="A117" s="39" t="s">
        <v>365</v>
      </c>
      <c r="B117" s="38" t="s">
        <v>324</v>
      </c>
      <c r="C117" s="38">
        <v>2000</v>
      </c>
      <c r="D117" s="279" t="s">
        <v>1078</v>
      </c>
      <c r="E117" s="260"/>
      <c r="F117" s="279"/>
      <c r="G117" s="260"/>
      <c r="H117" s="38">
        <f>H116-F117+C117</f>
        <v>2244.5</v>
      </c>
      <c r="I117" s="175" t="s">
        <v>1079</v>
      </c>
    </row>
    <row r="118" spans="1:9" ht="26.7" customHeight="1">
      <c r="A118" s="39" t="s">
        <v>456</v>
      </c>
      <c r="B118" s="38" t="s">
        <v>323</v>
      </c>
      <c r="C118" s="38"/>
      <c r="D118" s="279"/>
      <c r="E118" s="260"/>
      <c r="F118" s="279">
        <v>30</v>
      </c>
      <c r="G118" s="260"/>
      <c r="H118" s="38">
        <f t="shared" ref="H118:H132" si="4">H117-F118</f>
        <v>2214.5</v>
      </c>
      <c r="I118" s="175"/>
    </row>
    <row r="119" spans="1:9" ht="26.7" customHeight="1">
      <c r="A119" s="39" t="s">
        <v>507</v>
      </c>
      <c r="B119" s="38" t="s">
        <v>323</v>
      </c>
      <c r="C119" s="38"/>
      <c r="D119" s="279"/>
      <c r="E119" s="260"/>
      <c r="F119" s="279">
        <v>30</v>
      </c>
      <c r="G119" s="260"/>
      <c r="H119" s="38">
        <f t="shared" si="4"/>
        <v>2184.5</v>
      </c>
      <c r="I119" s="175"/>
    </row>
    <row r="120" spans="1:9" ht="26.7" customHeight="1">
      <c r="A120" s="39" t="s">
        <v>508</v>
      </c>
      <c r="B120" s="38" t="s">
        <v>323</v>
      </c>
      <c r="C120" s="38"/>
      <c r="D120" s="279"/>
      <c r="E120" s="260"/>
      <c r="F120" s="279">
        <v>33</v>
      </c>
      <c r="G120" s="260"/>
      <c r="H120" s="38">
        <f t="shared" si="4"/>
        <v>2151.5</v>
      </c>
      <c r="I120" s="175"/>
    </row>
    <row r="121" spans="1:9" ht="26.7" customHeight="1">
      <c r="A121" s="39" t="s">
        <v>587</v>
      </c>
      <c r="B121" s="38" t="s">
        <v>323</v>
      </c>
      <c r="C121" s="38"/>
      <c r="D121" s="279"/>
      <c r="E121" s="260"/>
      <c r="F121" s="279">
        <v>60</v>
      </c>
      <c r="G121" s="260"/>
      <c r="H121" s="38">
        <f t="shared" si="4"/>
        <v>2091.5</v>
      </c>
      <c r="I121" s="175"/>
    </row>
    <row r="122" spans="1:9" ht="26.7" customHeight="1">
      <c r="A122" s="39" t="s">
        <v>588</v>
      </c>
      <c r="B122" s="38" t="s">
        <v>323</v>
      </c>
      <c r="C122" s="38"/>
      <c r="D122" s="279"/>
      <c r="E122" s="260"/>
      <c r="F122" s="279">
        <v>90.5</v>
      </c>
      <c r="G122" s="260"/>
      <c r="H122" s="38">
        <f t="shared" si="4"/>
        <v>2001</v>
      </c>
      <c r="I122" s="175"/>
    </row>
    <row r="123" spans="1:9" ht="26.7" customHeight="1">
      <c r="A123" s="39" t="s">
        <v>766</v>
      </c>
      <c r="B123" s="38" t="s">
        <v>323</v>
      </c>
      <c r="C123" s="38"/>
      <c r="D123" s="279"/>
      <c r="E123" s="260"/>
      <c r="F123" s="279">
        <v>28</v>
      </c>
      <c r="G123" s="260"/>
      <c r="H123" s="38">
        <f t="shared" si="4"/>
        <v>1973</v>
      </c>
      <c r="I123" s="175"/>
    </row>
    <row r="124" spans="1:9" ht="26.7" customHeight="1">
      <c r="A124" s="39" t="s">
        <v>366</v>
      </c>
      <c r="B124" s="38" t="s">
        <v>323</v>
      </c>
      <c r="C124" s="38"/>
      <c r="D124" s="279"/>
      <c r="E124" s="260"/>
      <c r="F124" s="279">
        <v>34.5</v>
      </c>
      <c r="G124" s="260"/>
      <c r="H124" s="38">
        <f t="shared" si="4"/>
        <v>1938.5</v>
      </c>
      <c r="I124" s="175"/>
    </row>
    <row r="125" spans="1:9" ht="26.7" customHeight="1">
      <c r="A125" s="39" t="s">
        <v>400</v>
      </c>
      <c r="B125" s="38" t="s">
        <v>323</v>
      </c>
      <c r="C125" s="38"/>
      <c r="D125" s="279"/>
      <c r="E125" s="260"/>
      <c r="F125" s="279">
        <v>6</v>
      </c>
      <c r="G125" s="260"/>
      <c r="H125" s="38">
        <f t="shared" si="4"/>
        <v>1932.5</v>
      </c>
      <c r="I125" s="175"/>
    </row>
    <row r="126" spans="1:9" ht="26.7" customHeight="1">
      <c r="A126" s="39" t="s">
        <v>367</v>
      </c>
      <c r="B126" s="38" t="s">
        <v>323</v>
      </c>
      <c r="C126" s="38"/>
      <c r="D126" s="279"/>
      <c r="E126" s="260"/>
      <c r="F126" s="279">
        <v>7</v>
      </c>
      <c r="G126" s="260"/>
      <c r="H126" s="38">
        <f t="shared" si="4"/>
        <v>1925.5</v>
      </c>
      <c r="I126" s="175"/>
    </row>
    <row r="127" spans="1:9" ht="26.7" customHeight="1">
      <c r="A127" s="39" t="s">
        <v>512</v>
      </c>
      <c r="B127" s="38" t="s">
        <v>323</v>
      </c>
      <c r="C127" s="38"/>
      <c r="D127" s="279"/>
      <c r="E127" s="260"/>
      <c r="F127" s="279">
        <v>15</v>
      </c>
      <c r="G127" s="260"/>
      <c r="H127" s="38">
        <f t="shared" si="4"/>
        <v>1910.5</v>
      </c>
      <c r="I127" s="175"/>
    </row>
    <row r="128" spans="1:9" ht="26.7" customHeight="1">
      <c r="A128" s="39" t="s">
        <v>659</v>
      </c>
      <c r="B128" s="38" t="s">
        <v>323</v>
      </c>
      <c r="C128" s="38"/>
      <c r="D128" s="279"/>
      <c r="E128" s="260"/>
      <c r="F128" s="279">
        <v>28</v>
      </c>
      <c r="G128" s="260"/>
      <c r="H128" s="38">
        <f t="shared" si="4"/>
        <v>1882.5</v>
      </c>
      <c r="I128" s="175"/>
    </row>
    <row r="129" spans="1:9" ht="26.7" customHeight="1">
      <c r="A129" s="39" t="s">
        <v>368</v>
      </c>
      <c r="B129" s="38" t="s">
        <v>323</v>
      </c>
      <c r="C129" s="38"/>
      <c r="D129" s="279"/>
      <c r="E129" s="260"/>
      <c r="F129" s="279">
        <v>28</v>
      </c>
      <c r="G129" s="260"/>
      <c r="H129" s="38">
        <f t="shared" si="4"/>
        <v>1854.5</v>
      </c>
      <c r="I129" s="175"/>
    </row>
    <row r="130" spans="1:9" ht="26.7" customHeight="1">
      <c r="A130" s="39" t="s">
        <v>626</v>
      </c>
      <c r="B130" s="38" t="s">
        <v>323</v>
      </c>
      <c r="C130" s="38"/>
      <c r="D130" s="279"/>
      <c r="E130" s="260"/>
      <c r="F130" s="279">
        <v>60</v>
      </c>
      <c r="G130" s="260"/>
      <c r="H130" s="38">
        <f t="shared" si="4"/>
        <v>1794.5</v>
      </c>
      <c r="I130" s="175"/>
    </row>
    <row r="131" spans="1:9" ht="26.7" customHeight="1">
      <c r="A131" s="39" t="s">
        <v>369</v>
      </c>
      <c r="B131" s="38" t="s">
        <v>323</v>
      </c>
      <c r="C131" s="38"/>
      <c r="D131" s="279"/>
      <c r="E131" s="260"/>
      <c r="F131" s="279">
        <v>114</v>
      </c>
      <c r="G131" s="260"/>
      <c r="H131" s="38">
        <f t="shared" si="4"/>
        <v>1680.5</v>
      </c>
      <c r="I131" s="175"/>
    </row>
    <row r="132" spans="1:9" ht="26.7" customHeight="1">
      <c r="A132" s="39" t="s">
        <v>661</v>
      </c>
      <c r="B132" s="38" t="s">
        <v>323</v>
      </c>
      <c r="C132" s="38"/>
      <c r="D132" s="279"/>
      <c r="E132" s="260"/>
      <c r="F132" s="279">
        <v>30</v>
      </c>
      <c r="G132" s="260"/>
      <c r="H132" s="38">
        <f t="shared" si="4"/>
        <v>1650.5</v>
      </c>
      <c r="I132" s="175"/>
    </row>
    <row r="133" spans="1:9" ht="26.7" customHeight="1">
      <c r="A133" s="39"/>
      <c r="B133" s="38"/>
      <c r="C133" s="38"/>
      <c r="D133" s="279"/>
      <c r="E133" s="260"/>
      <c r="F133" s="279"/>
      <c r="G133" s="260"/>
      <c r="H133" s="38"/>
      <c r="I133" s="175"/>
    </row>
    <row r="134" spans="1:9" ht="26.7" customHeight="1">
      <c r="A134" s="39"/>
      <c r="B134" s="38"/>
      <c r="C134" s="38"/>
      <c r="D134" s="279"/>
      <c r="E134" s="260"/>
      <c r="F134" s="279"/>
      <c r="G134" s="260"/>
      <c r="H134" s="38"/>
      <c r="I134" s="175"/>
    </row>
    <row r="135" spans="1:9" ht="26.7" customHeight="1">
      <c r="A135" s="39"/>
      <c r="B135" s="38"/>
      <c r="C135" s="38"/>
      <c r="D135" s="279"/>
      <c r="E135" s="260"/>
      <c r="F135" s="279"/>
      <c r="G135" s="260"/>
      <c r="H135" s="38"/>
      <c r="I135" s="175"/>
    </row>
    <row r="136" spans="1:9" ht="26.7" customHeight="1">
      <c r="A136" s="39"/>
      <c r="B136" s="38"/>
      <c r="C136" s="38"/>
      <c r="D136" s="279"/>
      <c r="E136" s="260"/>
      <c r="F136" s="279"/>
      <c r="G136" s="260"/>
      <c r="H136" s="38"/>
      <c r="I136" s="175"/>
    </row>
    <row r="137" spans="1:9" ht="26.7" customHeight="1"/>
    <row r="138" spans="1:9" ht="26.7" customHeight="1"/>
    <row r="139" spans="1:9" ht="26.7" customHeight="1"/>
    <row r="140" spans="1:9" ht="26.7" customHeight="1"/>
    <row r="141" spans="1:9" ht="26.7" customHeight="1"/>
  </sheetData>
  <mergeCells count="272">
    <mergeCell ref="E3:G3"/>
    <mergeCell ref="F27:G27"/>
    <mergeCell ref="F58:G58"/>
    <mergeCell ref="F52:G52"/>
    <mergeCell ref="F67:G67"/>
    <mergeCell ref="D121:E121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110:E110"/>
    <mergeCell ref="D44:E44"/>
    <mergeCell ref="D59:E59"/>
    <mergeCell ref="F53:G53"/>
    <mergeCell ref="B2:I2"/>
    <mergeCell ref="F51:G51"/>
    <mergeCell ref="D57:E57"/>
    <mergeCell ref="D136:E136"/>
    <mergeCell ref="F113:G113"/>
    <mergeCell ref="D32:E32"/>
    <mergeCell ref="F32:G32"/>
    <mergeCell ref="D41:E41"/>
    <mergeCell ref="D97:E97"/>
    <mergeCell ref="F26:G26"/>
    <mergeCell ref="F41:G41"/>
    <mergeCell ref="F97:G97"/>
    <mergeCell ref="F35:G35"/>
    <mergeCell ref="F106:G106"/>
    <mergeCell ref="F129:G129"/>
    <mergeCell ref="D16:E16"/>
    <mergeCell ref="D87:E87"/>
    <mergeCell ref="F38:G38"/>
    <mergeCell ref="F90:G90"/>
    <mergeCell ref="D43:E43"/>
    <mergeCell ref="D122:E122"/>
    <mergeCell ref="F131:G131"/>
    <mergeCell ref="D58:E58"/>
    <mergeCell ref="D18:E18"/>
    <mergeCell ref="H4:I4"/>
    <mergeCell ref="D40:E40"/>
    <mergeCell ref="F127:G127"/>
    <mergeCell ref="F40:G40"/>
    <mergeCell ref="D111:E111"/>
    <mergeCell ref="D80:E80"/>
    <mergeCell ref="D21:E21"/>
    <mergeCell ref="F59:G59"/>
    <mergeCell ref="F55:G55"/>
    <mergeCell ref="D95:E95"/>
    <mergeCell ref="F12:G12"/>
    <mergeCell ref="F24:G24"/>
    <mergeCell ref="F95:G95"/>
    <mergeCell ref="D104:E104"/>
    <mergeCell ref="F104:G104"/>
    <mergeCell ref="D123:E123"/>
    <mergeCell ref="F123:G123"/>
    <mergeCell ref="D133:E133"/>
    <mergeCell ref="F49:G49"/>
    <mergeCell ref="D14:E14"/>
    <mergeCell ref="E4:G4"/>
    <mergeCell ref="F14:G14"/>
    <mergeCell ref="D54:E54"/>
    <mergeCell ref="D85:E85"/>
    <mergeCell ref="D94:E94"/>
    <mergeCell ref="F119:G119"/>
    <mergeCell ref="D69:E69"/>
    <mergeCell ref="F69:G69"/>
    <mergeCell ref="D109:E109"/>
    <mergeCell ref="F11:G11"/>
    <mergeCell ref="F78:G78"/>
    <mergeCell ref="F132:G132"/>
    <mergeCell ref="F112:G112"/>
    <mergeCell ref="F65:G65"/>
    <mergeCell ref="D119:E119"/>
    <mergeCell ref="D46:E46"/>
    <mergeCell ref="D130:E130"/>
    <mergeCell ref="F130:G130"/>
    <mergeCell ref="A5:B5"/>
    <mergeCell ref="D28:E28"/>
    <mergeCell ref="D93:E93"/>
    <mergeCell ref="F22:G22"/>
    <mergeCell ref="F115:G115"/>
    <mergeCell ref="F93:G93"/>
    <mergeCell ref="D102:E102"/>
    <mergeCell ref="F102:G102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A1:I1"/>
    <mergeCell ref="D38:E38"/>
    <mergeCell ref="D129:E129"/>
    <mergeCell ref="D89:E89"/>
    <mergeCell ref="F44:G44"/>
    <mergeCell ref="D79:E79"/>
    <mergeCell ref="F64:G64"/>
    <mergeCell ref="F73:G73"/>
    <mergeCell ref="F87:G87"/>
    <mergeCell ref="D63:E63"/>
    <mergeCell ref="D128:E128"/>
    <mergeCell ref="F128:G128"/>
    <mergeCell ref="D81:E81"/>
    <mergeCell ref="F89:G89"/>
    <mergeCell ref="F124:G124"/>
    <mergeCell ref="D96:E96"/>
    <mergeCell ref="D65:E65"/>
    <mergeCell ref="F7:G7"/>
    <mergeCell ref="D105:E105"/>
    <mergeCell ref="F21:G21"/>
    <mergeCell ref="D52:E52"/>
    <mergeCell ref="D49:E49"/>
    <mergeCell ref="D27:E27"/>
    <mergeCell ref="D120:E120"/>
    <mergeCell ref="H3:I3"/>
    <mergeCell ref="D39:E39"/>
    <mergeCell ref="F61:G61"/>
    <mergeCell ref="F39:G39"/>
    <mergeCell ref="F48:G48"/>
    <mergeCell ref="D15:E15"/>
    <mergeCell ref="D29:E29"/>
    <mergeCell ref="F136:G136"/>
    <mergeCell ref="D23:E23"/>
    <mergeCell ref="F114:G114"/>
    <mergeCell ref="D107:E107"/>
    <mergeCell ref="F36:G36"/>
    <mergeCell ref="F50:G50"/>
    <mergeCell ref="D116:E116"/>
    <mergeCell ref="F110:G110"/>
    <mergeCell ref="D17:E17"/>
    <mergeCell ref="F101:G101"/>
    <mergeCell ref="D91:E91"/>
    <mergeCell ref="F8:G8"/>
    <mergeCell ref="F91:G91"/>
    <mergeCell ref="F100:G100"/>
    <mergeCell ref="D106:E106"/>
    <mergeCell ref="D117:E117"/>
    <mergeCell ref="F117:G117"/>
    <mergeCell ref="D132:E132"/>
    <mergeCell ref="D66:E66"/>
    <mergeCell ref="D126:E126"/>
    <mergeCell ref="F66:G66"/>
    <mergeCell ref="F17:G17"/>
    <mergeCell ref="D75:E75"/>
    <mergeCell ref="F126:G126"/>
    <mergeCell ref="D53:E53"/>
    <mergeCell ref="F75:G75"/>
    <mergeCell ref="D47:E47"/>
    <mergeCell ref="F109:G109"/>
    <mergeCell ref="F47:G47"/>
    <mergeCell ref="F62:G62"/>
    <mergeCell ref="D103:E103"/>
    <mergeCell ref="D37:E37"/>
    <mergeCell ref="F31:G31"/>
    <mergeCell ref="F46:G46"/>
    <mergeCell ref="F28:G28"/>
    <mergeCell ref="F111:G111"/>
    <mergeCell ref="D118:E118"/>
    <mergeCell ref="F6:G6"/>
    <mergeCell ref="D131:E131"/>
    <mergeCell ref="F74:G74"/>
    <mergeCell ref="F83:G83"/>
    <mergeCell ref="D101:E101"/>
    <mergeCell ref="F30:G30"/>
    <mergeCell ref="D124:E124"/>
    <mergeCell ref="D11:E11"/>
    <mergeCell ref="D76:E76"/>
    <mergeCell ref="F20:G20"/>
    <mergeCell ref="F18:G18"/>
    <mergeCell ref="F76:G76"/>
    <mergeCell ref="F33:G33"/>
    <mergeCell ref="F45:G45"/>
    <mergeCell ref="F85:G85"/>
    <mergeCell ref="F42:G42"/>
    <mergeCell ref="F94:G94"/>
    <mergeCell ref="D9:E9"/>
    <mergeCell ref="F9:G9"/>
    <mergeCell ref="B4:D4"/>
    <mergeCell ref="F23:G23"/>
    <mergeCell ref="F81:G81"/>
    <mergeCell ref="F121:G121"/>
    <mergeCell ref="D62:E62"/>
    <mergeCell ref="D56:E56"/>
    <mergeCell ref="D71:E71"/>
    <mergeCell ref="D127:E127"/>
    <mergeCell ref="F13:G13"/>
    <mergeCell ref="F96:G96"/>
    <mergeCell ref="F71:G71"/>
    <mergeCell ref="F56:G56"/>
    <mergeCell ref="F105:G105"/>
    <mergeCell ref="D114:E114"/>
    <mergeCell ref="F43:G43"/>
    <mergeCell ref="D24:E24"/>
    <mergeCell ref="D64:E64"/>
    <mergeCell ref="D33:E33"/>
    <mergeCell ref="D98:E98"/>
    <mergeCell ref="D73:E73"/>
    <mergeCell ref="F120:G120"/>
    <mergeCell ref="D51:E51"/>
    <mergeCell ref="F98:G98"/>
    <mergeCell ref="D113:E113"/>
    <mergeCell ref="F133:G133"/>
    <mergeCell ref="F15:G15"/>
    <mergeCell ref="D86:E86"/>
    <mergeCell ref="F86:G86"/>
    <mergeCell ref="D13:E13"/>
    <mergeCell ref="F80:G80"/>
    <mergeCell ref="D61:E61"/>
    <mergeCell ref="D70:E70"/>
    <mergeCell ref="D135:E135"/>
    <mergeCell ref="D48:E48"/>
    <mergeCell ref="F79:G79"/>
    <mergeCell ref="F135:G135"/>
    <mergeCell ref="F70:G70"/>
    <mergeCell ref="F122:G122"/>
    <mergeCell ref="D125:E125"/>
    <mergeCell ref="D72:E72"/>
    <mergeCell ref="F125:G125"/>
    <mergeCell ref="D134:E134"/>
    <mergeCell ref="F72:G72"/>
    <mergeCell ref="D78:E78"/>
    <mergeCell ref="D112:E112"/>
    <mergeCell ref="F134:G134"/>
    <mergeCell ref="F107:G107"/>
    <mergeCell ref="D88:E88"/>
    <mergeCell ref="C5:G5"/>
    <mergeCell ref="D84:E84"/>
    <mergeCell ref="D22:E22"/>
    <mergeCell ref="F84:G84"/>
    <mergeCell ref="D36:E36"/>
    <mergeCell ref="D31:E31"/>
    <mergeCell ref="F118:G118"/>
    <mergeCell ref="D45:E45"/>
    <mergeCell ref="D6:E6"/>
    <mergeCell ref="D77:E77"/>
    <mergeCell ref="D108:E108"/>
    <mergeCell ref="D7:E7"/>
    <mergeCell ref="D26:E26"/>
    <mergeCell ref="F57:G57"/>
    <mergeCell ref="F88:G88"/>
    <mergeCell ref="D35:E35"/>
    <mergeCell ref="D115:E115"/>
    <mergeCell ref="D10:E10"/>
    <mergeCell ref="F54:G54"/>
    <mergeCell ref="F10:G10"/>
    <mergeCell ref="D19:E19"/>
    <mergeCell ref="D90:E90"/>
    <mergeCell ref="F63:G63"/>
    <mergeCell ref="F34:G34"/>
    <mergeCell ref="D20:E20"/>
    <mergeCell ref="D60:E60"/>
    <mergeCell ref="D100:E100"/>
    <mergeCell ref="F29:G29"/>
    <mergeCell ref="F16:G16"/>
    <mergeCell ref="F116:G116"/>
    <mergeCell ref="F68:G68"/>
    <mergeCell ref="F103:G103"/>
    <mergeCell ref="F25:G25"/>
    <mergeCell ref="F108:G108"/>
    <mergeCell ref="F19:G19"/>
    <mergeCell ref="D99:E99"/>
    <mergeCell ref="D34:E34"/>
    <mergeCell ref="F99:G99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3">
    <tabColor theme="2" tint="-0.499984740745262"/>
  </sheetPr>
  <dimension ref="A1:O104"/>
  <sheetViews>
    <sheetView zoomScale="96" zoomScaleNormal="96"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1080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1081</v>
      </c>
      <c r="C3" s="263"/>
      <c r="D3" s="260"/>
      <c r="E3" s="266" t="s">
        <v>11</v>
      </c>
      <c r="F3" s="263"/>
      <c r="G3" s="260"/>
      <c r="H3" s="268" t="s">
        <v>1082</v>
      </c>
      <c r="I3" s="269"/>
      <c r="J3" s="19" t="str">
        <f>B3</f>
        <v>Dupin 5mg</v>
      </c>
      <c r="K3" s="34" t="s">
        <v>1083</v>
      </c>
      <c r="L3" s="5">
        <f>H7</f>
        <v>0</v>
      </c>
      <c r="M3" s="3">
        <f>SUM(C$8:C$1048576)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954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1084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0</v>
      </c>
      <c r="D7" s="280"/>
      <c r="E7" s="260"/>
      <c r="F7" s="280"/>
      <c r="G7" s="260"/>
      <c r="H7" s="155">
        <v>0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26"/>
      <c r="J8" s="12"/>
      <c r="K8" s="3"/>
      <c r="L8" s="3"/>
      <c r="M8" s="3"/>
      <c r="N8" s="3"/>
      <c r="O8" s="3"/>
    </row>
    <row r="9" spans="1:15" ht="26.7" customHeight="1">
      <c r="A9" s="39"/>
      <c r="B9" s="6"/>
      <c r="C9" s="38"/>
      <c r="D9" s="279"/>
      <c r="E9" s="260"/>
      <c r="F9" s="279"/>
      <c r="G9" s="260"/>
      <c r="H9" s="38"/>
      <c r="I9" s="26"/>
      <c r="J9" s="12"/>
      <c r="K9" s="3"/>
      <c r="L9" s="3"/>
      <c r="M9" s="3"/>
      <c r="N9" s="3"/>
      <c r="O9" s="3"/>
    </row>
    <row r="10" spans="1:15" ht="26.7" customHeight="1">
      <c r="A10" s="39"/>
      <c r="B10" s="6"/>
      <c r="C10" s="38"/>
      <c r="D10" s="279"/>
      <c r="E10" s="260"/>
      <c r="F10" s="279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6"/>
      <c r="C11" s="38"/>
      <c r="D11" s="279"/>
      <c r="E11" s="260"/>
      <c r="F11" s="279"/>
      <c r="G11" s="260"/>
      <c r="H11" s="38"/>
      <c r="I11" s="27"/>
      <c r="J11" s="12"/>
      <c r="K11" s="3"/>
      <c r="L11" s="3"/>
      <c r="M11" s="3"/>
      <c r="N11" s="3"/>
      <c r="O11" s="3"/>
    </row>
    <row r="12" spans="1:15" ht="26.7" customHeight="1">
      <c r="A12" s="39"/>
      <c r="B12" s="6"/>
      <c r="C12" s="38"/>
      <c r="D12" s="279"/>
      <c r="E12" s="260"/>
      <c r="F12" s="279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39"/>
      <c r="B13" s="8"/>
      <c r="C13" s="38"/>
      <c r="D13" s="279"/>
      <c r="E13" s="260"/>
      <c r="F13" s="279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6"/>
      <c r="C14" s="38"/>
      <c r="D14" s="279"/>
      <c r="E14" s="260"/>
      <c r="F14" s="279"/>
      <c r="G14" s="260"/>
      <c r="H14" s="38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6"/>
      <c r="C15" s="38"/>
      <c r="D15" s="279"/>
      <c r="E15" s="260"/>
      <c r="F15" s="279"/>
      <c r="G15" s="260"/>
      <c r="H15" s="38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6"/>
      <c r="C16" s="38"/>
      <c r="D16" s="279"/>
      <c r="E16" s="260"/>
      <c r="F16" s="279"/>
      <c r="G16" s="260"/>
      <c r="H16" s="38"/>
      <c r="I16" s="26"/>
      <c r="J16" s="12"/>
      <c r="K16" s="3"/>
      <c r="L16" s="3"/>
      <c r="M16" s="3"/>
      <c r="N16" s="3"/>
      <c r="O16" s="3"/>
    </row>
    <row r="17" spans="1:10" ht="26.7" customHeight="1">
      <c r="A17" s="39"/>
      <c r="B17" s="6"/>
      <c r="C17" s="38"/>
      <c r="D17" s="279"/>
      <c r="E17" s="260"/>
      <c r="F17" s="279"/>
      <c r="G17" s="260"/>
      <c r="H17" s="38"/>
      <c r="I17" s="26"/>
      <c r="J17" s="12"/>
    </row>
    <row r="18" spans="1:10" ht="26.7" customHeight="1">
      <c r="A18" s="39"/>
      <c r="B18" s="6"/>
      <c r="C18" s="38"/>
      <c r="D18" s="279"/>
      <c r="E18" s="260"/>
      <c r="F18" s="279"/>
      <c r="G18" s="260"/>
      <c r="H18" s="38"/>
      <c r="I18" s="26"/>
      <c r="J18" s="12"/>
    </row>
    <row r="19" spans="1:10" ht="26.7" customHeight="1">
      <c r="A19" s="39"/>
      <c r="B19" s="6"/>
      <c r="C19" s="38"/>
      <c r="D19" s="279"/>
      <c r="E19" s="260"/>
      <c r="F19" s="279"/>
      <c r="G19" s="260"/>
      <c r="H19" s="38"/>
      <c r="I19" s="26"/>
      <c r="J19" s="12"/>
    </row>
    <row r="20" spans="1:10" ht="26.7" customHeight="1">
      <c r="A20" s="39"/>
      <c r="B20" s="6"/>
      <c r="C20" s="38"/>
      <c r="D20" s="279"/>
      <c r="E20" s="260"/>
      <c r="F20" s="279"/>
      <c r="G20" s="260"/>
      <c r="H20" s="38"/>
      <c r="I20" s="26"/>
      <c r="J20" s="12"/>
    </row>
    <row r="21" spans="1:10" ht="26.7" customHeight="1">
      <c r="A21" s="39"/>
      <c r="B21" s="6"/>
      <c r="C21" s="38"/>
      <c r="D21" s="279"/>
      <c r="E21" s="260"/>
      <c r="F21" s="279"/>
      <c r="G21" s="260"/>
      <c r="H21" s="38"/>
      <c r="I21" s="26"/>
      <c r="J21" s="12"/>
    </row>
    <row r="22" spans="1:10" ht="26.7" customHeight="1">
      <c r="A22" s="39"/>
      <c r="B22" s="6"/>
      <c r="C22" s="38"/>
      <c r="D22" s="279"/>
      <c r="E22" s="260"/>
      <c r="F22" s="279"/>
      <c r="G22" s="260"/>
      <c r="H22" s="38"/>
      <c r="I22" s="26"/>
      <c r="J22" s="12"/>
    </row>
    <row r="23" spans="1:10" ht="26.7" customHeight="1">
      <c r="A23" s="39"/>
      <c r="B23" s="6"/>
      <c r="C23" s="38"/>
      <c r="D23" s="279"/>
      <c r="E23" s="260"/>
      <c r="F23" s="279"/>
      <c r="G23" s="260"/>
      <c r="H23" s="38"/>
      <c r="I23" s="26"/>
      <c r="J23" s="12"/>
    </row>
    <row r="24" spans="1:10" ht="26.7" customHeight="1">
      <c r="A24" s="39"/>
      <c r="B24" s="6"/>
      <c r="C24" s="38"/>
      <c r="D24" s="279"/>
      <c r="E24" s="260"/>
      <c r="F24" s="279"/>
      <c r="G24" s="260"/>
      <c r="H24" s="38"/>
      <c r="I24" s="26"/>
      <c r="J24" s="12"/>
    </row>
    <row r="25" spans="1:10" ht="26.7" customHeight="1">
      <c r="A25" s="39"/>
      <c r="B25" s="6"/>
      <c r="C25" s="38"/>
      <c r="D25" s="279"/>
      <c r="E25" s="260"/>
      <c r="F25" s="279"/>
      <c r="G25" s="260"/>
      <c r="H25" s="38"/>
      <c r="I25" s="28"/>
      <c r="J25" s="12"/>
    </row>
    <row r="26" spans="1:10" ht="26.7" customHeight="1">
      <c r="A26" s="39"/>
      <c r="B26" s="6"/>
      <c r="C26" s="38"/>
      <c r="D26" s="279"/>
      <c r="E26" s="260"/>
      <c r="F26" s="279"/>
      <c r="G26" s="260"/>
      <c r="H26" s="38"/>
      <c r="I26" s="26"/>
      <c r="J26" s="12"/>
    </row>
    <row r="27" spans="1:10" ht="26.7" customHeight="1">
      <c r="A27" s="39"/>
      <c r="B27" s="6"/>
      <c r="C27" s="38"/>
      <c r="D27" s="279"/>
      <c r="E27" s="260"/>
      <c r="F27" s="279"/>
      <c r="G27" s="260"/>
      <c r="H27" s="38"/>
      <c r="I27" s="26"/>
      <c r="J27" s="12"/>
    </row>
    <row r="28" spans="1:10" ht="26.7" customHeight="1">
      <c r="A28" s="39"/>
      <c r="B28" s="6"/>
      <c r="C28" s="38"/>
      <c r="D28" s="279"/>
      <c r="E28" s="260"/>
      <c r="F28" s="279"/>
      <c r="G28" s="260"/>
      <c r="H28" s="38"/>
      <c r="I28" s="26"/>
      <c r="J28" s="12"/>
    </row>
    <row r="29" spans="1:10" ht="26.7" customHeight="1">
      <c r="A29" s="39"/>
      <c r="B29" s="6"/>
      <c r="C29" s="38"/>
      <c r="D29" s="279"/>
      <c r="E29" s="260"/>
      <c r="F29" s="279"/>
      <c r="G29" s="260"/>
      <c r="H29" s="38"/>
      <c r="I29" s="26"/>
      <c r="J29" s="12"/>
    </row>
    <row r="30" spans="1:10" ht="26.7" customHeight="1">
      <c r="A30" s="39"/>
      <c r="B30" s="6"/>
      <c r="C30" s="38"/>
      <c r="D30" s="279"/>
      <c r="E30" s="260"/>
      <c r="F30" s="279"/>
      <c r="G30" s="260"/>
      <c r="H30" s="38"/>
      <c r="I30" s="26"/>
      <c r="J30" s="12"/>
    </row>
    <row r="31" spans="1:10" ht="26.7" customHeight="1" thickBot="1">
      <c r="A31" s="39"/>
      <c r="B31" s="30"/>
      <c r="C31" s="38"/>
      <c r="D31" s="279"/>
      <c r="E31" s="260"/>
      <c r="F31" s="279"/>
      <c r="G31" s="260"/>
      <c r="H31" s="38"/>
      <c r="I31" s="32"/>
      <c r="J31" s="12"/>
    </row>
    <row r="32" spans="1:10" ht="21" customHeight="1">
      <c r="A32" s="39"/>
      <c r="B32" s="21"/>
      <c r="C32" s="38"/>
      <c r="D32" s="279"/>
      <c r="E32" s="260"/>
      <c r="F32" s="279"/>
      <c r="G32" s="260"/>
      <c r="H32" s="38"/>
      <c r="I32" s="22"/>
      <c r="J32" s="3"/>
    </row>
    <row r="33" spans="1:9" ht="21" customHeight="1">
      <c r="A33" s="39"/>
      <c r="B33" s="6"/>
      <c r="C33" s="38"/>
      <c r="D33" s="279"/>
      <c r="E33" s="260"/>
      <c r="F33" s="279"/>
      <c r="G33" s="260"/>
      <c r="H33" s="38"/>
      <c r="I33" s="7"/>
    </row>
    <row r="34" spans="1:9" ht="21" customHeight="1">
      <c r="A34" s="39"/>
      <c r="B34" s="6"/>
      <c r="C34" s="38"/>
      <c r="D34" s="279"/>
      <c r="E34" s="260"/>
      <c r="F34" s="279"/>
      <c r="G34" s="260"/>
      <c r="H34" s="38"/>
      <c r="I34" s="16"/>
    </row>
    <row r="35" spans="1:9" ht="21" customHeight="1">
      <c r="A35" s="39"/>
      <c r="B35" s="6"/>
      <c r="C35" s="38"/>
      <c r="D35" s="279"/>
      <c r="E35" s="260"/>
      <c r="F35" s="279"/>
      <c r="G35" s="260"/>
      <c r="H35" s="38"/>
      <c r="I35" s="7"/>
    </row>
    <row r="36" spans="1:9" ht="21" customHeight="1">
      <c r="A36" s="39"/>
      <c r="B36" s="6"/>
      <c r="C36" s="38"/>
      <c r="D36" s="279"/>
      <c r="E36" s="260"/>
      <c r="F36" s="279"/>
      <c r="G36" s="260"/>
      <c r="H36" s="38"/>
      <c r="I36" s="7"/>
    </row>
    <row r="37" spans="1:9" ht="21" customHeight="1">
      <c r="A37" s="39"/>
      <c r="B37" s="6"/>
      <c r="C37" s="38"/>
      <c r="D37" s="279"/>
      <c r="E37" s="260"/>
      <c r="F37" s="279"/>
      <c r="G37" s="260"/>
      <c r="H37" s="38"/>
      <c r="I37" s="16"/>
    </row>
    <row r="38" spans="1:9" ht="21" customHeight="1">
      <c r="A38" s="39"/>
      <c r="B38" s="6"/>
      <c r="C38" s="38"/>
      <c r="D38" s="279"/>
      <c r="E38" s="260"/>
      <c r="F38" s="279"/>
      <c r="G38" s="260"/>
      <c r="H38" s="38"/>
      <c r="I38" s="7"/>
    </row>
    <row r="39" spans="1:9" ht="21" customHeight="1">
      <c r="A39" s="39"/>
      <c r="B39" s="6"/>
      <c r="C39" s="38"/>
      <c r="D39" s="279"/>
      <c r="E39" s="260"/>
      <c r="F39" s="279"/>
      <c r="G39" s="260"/>
      <c r="H39" s="38"/>
      <c r="I39" s="7"/>
    </row>
    <row r="40" spans="1:9" ht="21" customHeight="1">
      <c r="A40" s="39"/>
      <c r="B40" s="6"/>
      <c r="C40" s="38"/>
      <c r="D40" s="279"/>
      <c r="E40" s="260"/>
      <c r="F40" s="279"/>
      <c r="G40" s="260"/>
      <c r="H40" s="38"/>
      <c r="I40" s="7"/>
    </row>
    <row r="41" spans="1:9" ht="21" customHeight="1">
      <c r="A41" s="39"/>
      <c r="B41" s="6"/>
      <c r="C41" s="38"/>
      <c r="D41" s="279"/>
      <c r="E41" s="260"/>
      <c r="F41" s="279"/>
      <c r="G41" s="260"/>
      <c r="H41" s="38"/>
      <c r="I41" s="7"/>
    </row>
    <row r="42" spans="1:9" ht="21" customHeight="1">
      <c r="A42" s="39"/>
      <c r="B42" s="6"/>
      <c r="C42" s="38"/>
      <c r="D42" s="279"/>
      <c r="E42" s="260"/>
      <c r="F42" s="279"/>
      <c r="G42" s="260"/>
      <c r="H42" s="38"/>
      <c r="I42" s="7"/>
    </row>
    <row r="43" spans="1:9" ht="21" customHeight="1">
      <c r="A43" s="39"/>
      <c r="B43" s="6"/>
      <c r="C43" s="38"/>
      <c r="D43" s="279"/>
      <c r="E43" s="260"/>
      <c r="F43" s="279"/>
      <c r="G43" s="260"/>
      <c r="H43" s="38"/>
      <c r="I43" s="7"/>
    </row>
    <row r="44" spans="1:9" ht="21" customHeight="1">
      <c r="A44" s="39"/>
      <c r="B44" s="6"/>
      <c r="C44" s="38"/>
      <c r="D44" s="279"/>
      <c r="E44" s="260"/>
      <c r="F44" s="279"/>
      <c r="G44" s="260"/>
      <c r="H44" s="38"/>
      <c r="I44" s="7"/>
    </row>
    <row r="45" spans="1:9" ht="21" customHeight="1">
      <c r="A45" s="39"/>
      <c r="B45" s="6"/>
      <c r="C45" s="38"/>
      <c r="D45" s="279"/>
      <c r="E45" s="260"/>
      <c r="F45" s="279"/>
      <c r="G45" s="260"/>
      <c r="H45" s="38"/>
      <c r="I45" s="7"/>
    </row>
    <row r="46" spans="1:9" ht="21" customHeight="1">
      <c r="A46" s="39"/>
      <c r="B46" s="6"/>
      <c r="C46" s="38"/>
      <c r="D46" s="279"/>
      <c r="E46" s="260"/>
      <c r="F46" s="279"/>
      <c r="G46" s="260"/>
      <c r="H46" s="38"/>
      <c r="I46" s="7"/>
    </row>
    <row r="47" spans="1:9" ht="21" customHeight="1">
      <c r="A47" s="39"/>
      <c r="B47" s="6"/>
      <c r="C47" s="38"/>
      <c r="D47" s="279"/>
      <c r="E47" s="260"/>
      <c r="F47" s="279"/>
      <c r="G47" s="260"/>
      <c r="H47" s="38"/>
      <c r="I47" s="7"/>
    </row>
    <row r="48" spans="1:9" ht="21" customHeight="1">
      <c r="A48" s="39"/>
      <c r="B48" s="6"/>
      <c r="C48" s="38"/>
      <c r="D48" s="279"/>
      <c r="E48" s="260"/>
      <c r="F48" s="279"/>
      <c r="G48" s="260"/>
      <c r="H48" s="38"/>
      <c r="I48" s="7"/>
    </row>
    <row r="49" spans="1:9" ht="21" customHeight="1">
      <c r="A49" s="39"/>
      <c r="B49" s="8"/>
      <c r="C49" s="38"/>
      <c r="D49" s="279"/>
      <c r="E49" s="260"/>
      <c r="F49" s="279"/>
      <c r="G49" s="260"/>
      <c r="H49" s="38"/>
      <c r="I49" s="11"/>
    </row>
    <row r="50" spans="1:9" ht="21" customHeight="1">
      <c r="A50" s="39"/>
      <c r="B50" s="6"/>
      <c r="C50" s="38"/>
      <c r="D50" s="279"/>
      <c r="E50" s="260"/>
      <c r="F50" s="279"/>
      <c r="G50" s="260"/>
      <c r="H50" s="38"/>
      <c r="I50" s="7"/>
    </row>
    <row r="51" spans="1:9" ht="21" customHeight="1">
      <c r="A51" s="39"/>
      <c r="B51" s="6"/>
      <c r="C51" s="38"/>
      <c r="D51" s="279"/>
      <c r="E51" s="260"/>
      <c r="F51" s="279"/>
      <c r="G51" s="260"/>
      <c r="H51" s="38"/>
      <c r="I51" s="7"/>
    </row>
    <row r="52" spans="1:9" ht="21" customHeight="1">
      <c r="A52" s="39"/>
      <c r="B52" s="6"/>
      <c r="C52" s="38"/>
      <c r="D52" s="279"/>
      <c r="E52" s="260"/>
      <c r="F52" s="279"/>
      <c r="G52" s="260"/>
      <c r="H52" s="38"/>
      <c r="I52" s="7"/>
    </row>
    <row r="53" spans="1:9" ht="21" customHeight="1">
      <c r="A53" s="39"/>
      <c r="B53" s="6"/>
      <c r="C53" s="38"/>
      <c r="D53" s="279"/>
      <c r="E53" s="260"/>
      <c r="F53" s="279"/>
      <c r="G53" s="260"/>
      <c r="H53" s="38"/>
      <c r="I53" s="7"/>
    </row>
    <row r="54" spans="1:9" ht="21" customHeight="1">
      <c r="A54" s="39"/>
      <c r="B54" s="6"/>
      <c r="C54" s="38"/>
      <c r="D54" s="279"/>
      <c r="E54" s="260"/>
      <c r="F54" s="279"/>
      <c r="G54" s="260"/>
      <c r="H54" s="38"/>
      <c r="I54" s="7"/>
    </row>
    <row r="55" spans="1:9" ht="21" customHeight="1">
      <c r="A55" s="39"/>
      <c r="B55" s="6"/>
      <c r="C55" s="38"/>
      <c r="D55" s="279"/>
      <c r="E55" s="260"/>
      <c r="F55" s="279"/>
      <c r="G55" s="260"/>
      <c r="H55" s="38"/>
      <c r="I55" s="7"/>
    </row>
    <row r="56" spans="1:9" ht="21" customHeight="1">
      <c r="A56" s="39"/>
      <c r="B56" s="6"/>
      <c r="C56" s="38"/>
      <c r="D56" s="279"/>
      <c r="E56" s="260"/>
      <c r="F56" s="279"/>
      <c r="G56" s="260"/>
      <c r="H56" s="38"/>
      <c r="I56" s="16"/>
    </row>
    <row r="57" spans="1:9" ht="21" customHeight="1">
      <c r="A57" s="39"/>
      <c r="B57" s="6"/>
      <c r="C57" s="38"/>
      <c r="D57" s="279"/>
      <c r="E57" s="260"/>
      <c r="F57" s="279"/>
      <c r="G57" s="260"/>
      <c r="H57" s="38"/>
      <c r="I57" s="7"/>
    </row>
    <row r="58" spans="1:9" ht="21" customHeight="1">
      <c r="A58" s="39"/>
      <c r="B58" s="6"/>
      <c r="C58" s="38"/>
      <c r="D58" s="279"/>
      <c r="E58" s="260"/>
      <c r="F58" s="279"/>
      <c r="G58" s="260"/>
      <c r="H58" s="38"/>
      <c r="I58" s="7"/>
    </row>
    <row r="59" spans="1:9" ht="21" customHeight="1">
      <c r="A59" s="39"/>
      <c r="B59" s="6"/>
      <c r="C59" s="38"/>
      <c r="D59" s="279"/>
      <c r="E59" s="260"/>
      <c r="F59" s="279"/>
      <c r="G59" s="260"/>
      <c r="H59" s="38"/>
      <c r="I59" s="7"/>
    </row>
    <row r="60" spans="1:9" ht="21" customHeight="1">
      <c r="A60" s="39"/>
      <c r="B60" s="6"/>
      <c r="C60" s="38"/>
      <c r="D60" s="279"/>
      <c r="E60" s="260"/>
      <c r="F60" s="279"/>
      <c r="G60" s="260"/>
      <c r="H60" s="38"/>
      <c r="I60" s="7"/>
    </row>
    <row r="61" spans="1:9" ht="21" customHeight="1">
      <c r="A61" s="39"/>
      <c r="B61" s="6"/>
      <c r="C61" s="38"/>
      <c r="D61" s="279"/>
      <c r="E61" s="260"/>
      <c r="F61" s="279"/>
      <c r="G61" s="260"/>
      <c r="H61" s="38"/>
      <c r="I61" s="7"/>
    </row>
    <row r="62" spans="1:9" ht="21" customHeight="1">
      <c r="A62" s="39"/>
      <c r="B62" s="6"/>
      <c r="C62" s="38"/>
      <c r="D62" s="279"/>
      <c r="E62" s="260"/>
      <c r="F62" s="279"/>
      <c r="G62" s="260"/>
      <c r="H62" s="38"/>
      <c r="I62" s="7"/>
    </row>
    <row r="63" spans="1:9" ht="21" customHeight="1">
      <c r="A63" s="39"/>
      <c r="B63" s="6"/>
      <c r="C63" s="38"/>
      <c r="D63" s="279"/>
      <c r="E63" s="260"/>
      <c r="F63" s="279"/>
      <c r="G63" s="260"/>
      <c r="H63" s="38"/>
      <c r="I63" s="7"/>
    </row>
    <row r="64" spans="1:9" ht="21" customHeight="1">
      <c r="A64" s="39"/>
      <c r="B64" s="6"/>
      <c r="C64" s="38"/>
      <c r="D64" s="279"/>
      <c r="E64" s="260"/>
      <c r="F64" s="279"/>
      <c r="G64" s="260"/>
      <c r="H64" s="38"/>
      <c r="I64" s="7"/>
    </row>
    <row r="65" spans="1:9" ht="21" customHeight="1">
      <c r="A65" s="39"/>
      <c r="B65" s="6"/>
      <c r="C65" s="38"/>
      <c r="D65" s="279"/>
      <c r="E65" s="260"/>
      <c r="F65" s="279"/>
      <c r="G65" s="260"/>
      <c r="H65" s="38"/>
      <c r="I65" s="7"/>
    </row>
    <row r="66" spans="1:9" ht="21" customHeight="1">
      <c r="A66" s="39"/>
      <c r="B66" s="6"/>
      <c r="C66" s="38"/>
      <c r="D66" s="279"/>
      <c r="E66" s="260"/>
      <c r="F66" s="279"/>
      <c r="G66" s="260"/>
      <c r="H66" s="38"/>
      <c r="I66" s="7"/>
    </row>
    <row r="67" spans="1:9" ht="21" customHeight="1">
      <c r="A67" s="39"/>
      <c r="B67" s="6"/>
      <c r="C67" s="38"/>
      <c r="D67" s="279"/>
      <c r="E67" s="260"/>
      <c r="F67" s="279"/>
      <c r="G67" s="260"/>
      <c r="H67" s="38"/>
      <c r="I67" s="7"/>
    </row>
    <row r="68" spans="1:9" ht="21" customHeight="1">
      <c r="A68" s="39"/>
      <c r="B68" s="6"/>
      <c r="C68" s="38"/>
      <c r="D68" s="279"/>
      <c r="E68" s="260"/>
      <c r="F68" s="279"/>
      <c r="G68" s="260"/>
      <c r="H68" s="38"/>
      <c r="I68" s="7"/>
    </row>
    <row r="69" spans="1:9" ht="21" customHeight="1">
      <c r="A69" s="39"/>
      <c r="B69" s="6"/>
      <c r="C69" s="38"/>
      <c r="D69" s="279"/>
      <c r="E69" s="260"/>
      <c r="F69" s="279"/>
      <c r="G69" s="260"/>
      <c r="H69" s="38"/>
      <c r="I69" s="7"/>
    </row>
    <row r="70" spans="1:9" ht="21" customHeight="1">
      <c r="A70" s="39"/>
      <c r="B70" s="6"/>
      <c r="C70" s="38"/>
      <c r="D70" s="279"/>
      <c r="E70" s="260"/>
      <c r="F70" s="279"/>
      <c r="G70" s="260"/>
      <c r="H70" s="38"/>
      <c r="I70" s="7"/>
    </row>
    <row r="71" spans="1:9" ht="21" customHeight="1">
      <c r="A71" s="39"/>
      <c r="B71" s="6"/>
      <c r="C71" s="38"/>
      <c r="D71" s="279"/>
      <c r="E71" s="260"/>
      <c r="F71" s="279"/>
      <c r="G71" s="260"/>
      <c r="H71" s="38"/>
      <c r="I71" s="7"/>
    </row>
    <row r="72" spans="1:9" ht="21" customHeight="1">
      <c r="A72" s="39"/>
      <c r="B72" s="6"/>
      <c r="C72" s="38"/>
      <c r="D72" s="279"/>
      <c r="E72" s="260"/>
      <c r="F72" s="279"/>
      <c r="G72" s="260"/>
      <c r="H72" s="38"/>
      <c r="I72" s="7"/>
    </row>
    <row r="73" spans="1:9" ht="21" customHeight="1">
      <c r="A73" s="39"/>
      <c r="B73" s="6"/>
      <c r="C73" s="38"/>
      <c r="D73" s="279"/>
      <c r="E73" s="260"/>
      <c r="F73" s="279"/>
      <c r="G73" s="260"/>
      <c r="H73" s="38"/>
      <c r="I73" s="7"/>
    </row>
    <row r="74" spans="1:9" ht="21" customHeight="1">
      <c r="A74" s="39"/>
      <c r="B74" s="6"/>
      <c r="C74" s="38"/>
      <c r="D74" s="279"/>
      <c r="E74" s="260"/>
      <c r="F74" s="279"/>
      <c r="G74" s="260"/>
      <c r="H74" s="38"/>
      <c r="I74" s="7"/>
    </row>
    <row r="75" spans="1:9" ht="21" customHeight="1">
      <c r="A75" s="39"/>
      <c r="B75" s="6"/>
      <c r="C75" s="38"/>
      <c r="D75" s="279"/>
      <c r="E75" s="260"/>
      <c r="F75" s="279"/>
      <c r="G75" s="260"/>
      <c r="H75" s="38"/>
      <c r="I75" s="7"/>
    </row>
    <row r="76" spans="1:9" ht="21" customHeight="1">
      <c r="A76" s="39"/>
      <c r="B76" s="6"/>
      <c r="C76" s="38"/>
      <c r="D76" s="279"/>
      <c r="E76" s="260"/>
      <c r="F76" s="279"/>
      <c r="G76" s="260"/>
      <c r="H76" s="38"/>
      <c r="I76" s="7"/>
    </row>
    <row r="77" spans="1:9" ht="21" customHeight="1">
      <c r="A77" s="39"/>
      <c r="B77" s="6"/>
      <c r="C77" s="38"/>
      <c r="D77" s="279"/>
      <c r="E77" s="260"/>
      <c r="F77" s="279"/>
      <c r="G77" s="260"/>
      <c r="H77" s="38"/>
      <c r="I77" s="7"/>
    </row>
    <row r="78" spans="1:9" ht="21" customHeight="1">
      <c r="A78" s="39"/>
      <c r="B78" s="6"/>
      <c r="C78" s="38"/>
      <c r="D78" s="279"/>
      <c r="E78" s="260"/>
      <c r="F78" s="279"/>
      <c r="G78" s="260"/>
      <c r="H78" s="38"/>
      <c r="I78" s="7"/>
    </row>
    <row r="79" spans="1:9" ht="21" customHeight="1">
      <c r="A79" s="39"/>
      <c r="B79" s="6"/>
      <c r="C79" s="38"/>
      <c r="D79" s="279"/>
      <c r="E79" s="260"/>
      <c r="F79" s="279"/>
      <c r="G79" s="260"/>
      <c r="H79" s="38"/>
      <c r="I79" s="7"/>
    </row>
    <row r="80" spans="1:9" ht="21" customHeight="1">
      <c r="A80" s="39"/>
      <c r="B80" s="6"/>
      <c r="C80" s="38"/>
      <c r="D80" s="279"/>
      <c r="E80" s="260"/>
      <c r="F80" s="279"/>
      <c r="G80" s="260"/>
      <c r="H80" s="38"/>
      <c r="I80" s="7"/>
    </row>
    <row r="81" spans="1:9" ht="21" customHeight="1">
      <c r="A81" s="39"/>
      <c r="B81" s="6"/>
      <c r="C81" s="38"/>
      <c r="D81" s="279"/>
      <c r="E81" s="260"/>
      <c r="F81" s="279"/>
      <c r="G81" s="260"/>
      <c r="H81" s="38"/>
      <c r="I81" s="7"/>
    </row>
    <row r="82" spans="1:9" ht="21" customHeight="1">
      <c r="A82" s="39"/>
      <c r="B82" s="8"/>
      <c r="C82" s="38"/>
      <c r="D82" s="279"/>
      <c r="E82" s="260"/>
      <c r="F82" s="279"/>
      <c r="G82" s="260"/>
      <c r="H82" s="38"/>
      <c r="I82" s="7"/>
    </row>
    <row r="83" spans="1:9" ht="21" customHeight="1">
      <c r="A83" s="39"/>
      <c r="B83" s="6"/>
      <c r="C83" s="38"/>
      <c r="D83" s="279"/>
      <c r="E83" s="260"/>
      <c r="F83" s="279"/>
      <c r="G83" s="260"/>
      <c r="H83" s="38"/>
      <c r="I83" s="7"/>
    </row>
    <row r="84" spans="1:9" ht="21" customHeight="1">
      <c r="A84" s="39"/>
      <c r="B84" s="8"/>
      <c r="C84" s="38"/>
      <c r="D84" s="279"/>
      <c r="E84" s="260"/>
      <c r="F84" s="279"/>
      <c r="G84" s="260"/>
      <c r="H84" s="38"/>
      <c r="I84" s="11"/>
    </row>
    <row r="85" spans="1:9" ht="21" customHeight="1">
      <c r="A85" s="39"/>
      <c r="B85" s="6"/>
      <c r="C85" s="38"/>
      <c r="D85" s="279"/>
      <c r="E85" s="260"/>
      <c r="F85" s="279"/>
      <c r="G85" s="260"/>
      <c r="H85" s="38"/>
      <c r="I85" s="7"/>
    </row>
    <row r="86" spans="1:9" ht="21" customHeight="1">
      <c r="A86" s="39"/>
      <c r="B86" s="6"/>
      <c r="C86" s="38"/>
      <c r="D86" s="279"/>
      <c r="E86" s="260"/>
      <c r="F86" s="279"/>
      <c r="G86" s="260"/>
      <c r="H86" s="38"/>
      <c r="I86" s="7"/>
    </row>
    <row r="87" spans="1:9" ht="21" customHeight="1">
      <c r="A87" s="39"/>
      <c r="B87" s="6"/>
      <c r="C87" s="38"/>
      <c r="D87" s="279"/>
      <c r="E87" s="260"/>
      <c r="F87" s="279"/>
      <c r="G87" s="260"/>
      <c r="H87" s="38"/>
      <c r="I87" s="7"/>
    </row>
    <row r="88" spans="1:9" ht="21" customHeight="1">
      <c r="A88" s="39"/>
      <c r="B88" s="6"/>
      <c r="C88" s="38"/>
      <c r="D88" s="279"/>
      <c r="E88" s="260"/>
      <c r="F88" s="279"/>
      <c r="G88" s="260"/>
      <c r="H88" s="38"/>
      <c r="I88" s="7"/>
    </row>
    <row r="89" spans="1:9" ht="21" customHeight="1">
      <c r="A89" s="39"/>
      <c r="B89" s="6"/>
      <c r="C89" s="38"/>
      <c r="D89" s="279"/>
      <c r="E89" s="260"/>
      <c r="F89" s="279"/>
      <c r="G89" s="260"/>
      <c r="H89" s="38"/>
      <c r="I89" s="7"/>
    </row>
    <row r="90" spans="1:9" ht="21" customHeight="1">
      <c r="A90" s="39"/>
      <c r="B90" s="6"/>
      <c r="C90" s="38"/>
      <c r="D90" s="279"/>
      <c r="E90" s="260"/>
      <c r="F90" s="279"/>
      <c r="G90" s="260"/>
      <c r="H90" s="38"/>
      <c r="I90" s="7"/>
    </row>
    <row r="91" spans="1:9" ht="21" customHeight="1">
      <c r="A91" s="39"/>
      <c r="B91" s="6"/>
      <c r="C91" s="38"/>
      <c r="D91" s="279"/>
      <c r="E91" s="260"/>
      <c r="F91" s="279"/>
      <c r="G91" s="260"/>
      <c r="H91" s="38"/>
      <c r="I91" s="7"/>
    </row>
    <row r="92" spans="1:9" ht="21" customHeight="1">
      <c r="A92" s="39"/>
      <c r="B92" s="6"/>
      <c r="C92" s="38"/>
      <c r="D92" s="279"/>
      <c r="E92" s="260"/>
      <c r="F92" s="279"/>
      <c r="G92" s="260"/>
      <c r="H92" s="38"/>
      <c r="I92" s="7"/>
    </row>
    <row r="93" spans="1:9" ht="21" customHeight="1">
      <c r="A93" s="39"/>
      <c r="B93" s="6"/>
      <c r="C93" s="38"/>
      <c r="D93" s="279"/>
      <c r="E93" s="260"/>
      <c r="F93" s="279"/>
      <c r="G93" s="260"/>
      <c r="H93" s="38"/>
      <c r="I93" s="7"/>
    </row>
    <row r="94" spans="1:9" ht="21" customHeight="1">
      <c r="A94" s="39"/>
      <c r="B94" s="6"/>
      <c r="C94" s="38"/>
      <c r="D94" s="279"/>
      <c r="E94" s="260"/>
      <c r="F94" s="279"/>
      <c r="G94" s="260"/>
      <c r="H94" s="38"/>
      <c r="I94" s="7"/>
    </row>
    <row r="95" spans="1:9" ht="21" customHeight="1">
      <c r="A95" s="39"/>
      <c r="B95" s="6"/>
      <c r="C95" s="38"/>
      <c r="D95" s="279"/>
      <c r="E95" s="260"/>
      <c r="F95" s="279"/>
      <c r="G95" s="260"/>
      <c r="H95" s="38"/>
      <c r="I95" s="7"/>
    </row>
    <row r="96" spans="1:9" ht="21" customHeight="1">
      <c r="A96" s="39"/>
      <c r="B96" s="6"/>
      <c r="C96" s="38"/>
      <c r="D96" s="279"/>
      <c r="E96" s="260"/>
      <c r="F96" s="279"/>
      <c r="G96" s="260"/>
      <c r="H96" s="38"/>
      <c r="I96" s="7"/>
    </row>
    <row r="97" spans="1:9" ht="21" customHeight="1">
      <c r="A97" s="39"/>
      <c r="B97" s="6"/>
      <c r="C97" s="38"/>
      <c r="D97" s="279"/>
      <c r="E97" s="260"/>
      <c r="F97" s="279"/>
      <c r="G97" s="260"/>
      <c r="H97" s="38"/>
      <c r="I97" s="7"/>
    </row>
    <row r="98" spans="1:9" ht="21" customHeight="1">
      <c r="A98" s="39"/>
      <c r="B98" s="6"/>
      <c r="C98" s="38"/>
      <c r="D98" s="279"/>
      <c r="E98" s="260"/>
      <c r="F98" s="279"/>
      <c r="G98" s="260"/>
      <c r="H98" s="38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24:G24"/>
    <mergeCell ref="F12:G12"/>
    <mergeCell ref="F95:G95"/>
    <mergeCell ref="D104:E104"/>
    <mergeCell ref="F104:G104"/>
    <mergeCell ref="B2:I2"/>
    <mergeCell ref="F51:G51"/>
    <mergeCell ref="D57:E57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18:E1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66:G66"/>
    <mergeCell ref="D75:E75"/>
    <mergeCell ref="F17:G17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4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1085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1086</v>
      </c>
      <c r="C3" s="263"/>
      <c r="D3" s="260"/>
      <c r="E3" s="266" t="s">
        <v>11</v>
      </c>
      <c r="F3" s="263"/>
      <c r="G3" s="260"/>
      <c r="H3" s="268" t="s">
        <v>1087</v>
      </c>
      <c r="I3" s="269"/>
      <c r="J3" s="19" t="str">
        <f>B3</f>
        <v>Concerta E.R 27mg</v>
      </c>
      <c r="K3" s="34" t="s">
        <v>1088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4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81" t="s">
        <v>676</v>
      </c>
      <c r="I4" s="269"/>
      <c r="J4" s="12"/>
      <c r="K4" s="3"/>
      <c r="L4" s="3"/>
      <c r="M4" s="3"/>
      <c r="N4" s="3"/>
      <c r="O4" s="3"/>
    </row>
    <row r="5" spans="1:15" ht="23.25" customHeight="1">
      <c r="A5" s="272" t="s">
        <v>18</v>
      </c>
      <c r="B5" s="260"/>
      <c r="C5" s="262" t="s">
        <v>1089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7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27559055118110237" header="0.31496062992125978" footer="0.31496062992125978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5"/>
  <dimension ref="A1:O105"/>
  <sheetViews>
    <sheetView zoomScaleNormal="100" workbookViewId="0">
      <pane ySplit="6" topLeftCell="A35" activePane="bottomLeft" state="frozen"/>
      <selection pane="bottomLeft" activeCell="H30" sqref="H30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14" t="s">
        <v>596</v>
      </c>
      <c r="K1" s="38" t="s">
        <v>515</v>
      </c>
      <c r="L1" s="1"/>
      <c r="M1" s="1"/>
      <c r="N1" s="1"/>
      <c r="O1" s="1"/>
    </row>
    <row r="2" spans="1:15" ht="34.950000000000003" customHeight="1">
      <c r="A2" s="33" t="s">
        <v>1090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1091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Zipsoon 10mg</v>
      </c>
      <c r="K3" s="34" t="s">
        <v>1092</v>
      </c>
      <c r="L3" s="5">
        <f>H7</f>
        <v>690</v>
      </c>
      <c r="M3" s="3">
        <f>SUM(C$8:C$1048576)</f>
        <v>1000</v>
      </c>
      <c r="N3" s="3">
        <f>SUM(F:F)</f>
        <v>964</v>
      </c>
      <c r="O3" s="3">
        <f>L3+M3-N3</f>
        <v>726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1093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1094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690</v>
      </c>
      <c r="D7" s="280"/>
      <c r="E7" s="260"/>
      <c r="F7" s="280"/>
      <c r="G7" s="260"/>
      <c r="H7" s="155">
        <f>C7</f>
        <v>690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29</v>
      </c>
      <c r="B8" s="39" t="s">
        <v>323</v>
      </c>
      <c r="C8" s="38"/>
      <c r="D8" s="279"/>
      <c r="E8" s="260"/>
      <c r="F8" s="279">
        <v>30</v>
      </c>
      <c r="G8" s="260"/>
      <c r="H8" s="38">
        <f t="shared" ref="H8:H24" si="0">H7-F8</f>
        <v>660</v>
      </c>
      <c r="I8" s="35"/>
      <c r="J8" s="12"/>
      <c r="K8" s="3"/>
      <c r="L8" s="3"/>
      <c r="M8" s="3"/>
      <c r="N8" s="3"/>
      <c r="O8" s="3"/>
    </row>
    <row r="9" spans="1:15" ht="26.7" customHeight="1">
      <c r="A9" s="39" t="s">
        <v>334</v>
      </c>
      <c r="B9" s="39" t="s">
        <v>323</v>
      </c>
      <c r="C9" s="38"/>
      <c r="D9" s="279"/>
      <c r="E9" s="260"/>
      <c r="F9" s="279">
        <v>30</v>
      </c>
      <c r="G9" s="260"/>
      <c r="H9" s="38">
        <f t="shared" si="0"/>
        <v>630</v>
      </c>
      <c r="I9" s="35"/>
      <c r="J9" s="12"/>
      <c r="K9" s="3"/>
      <c r="L9" s="3"/>
      <c r="M9" s="3"/>
      <c r="N9" s="3"/>
      <c r="O9" s="3"/>
    </row>
    <row r="10" spans="1:15" ht="26.7" customHeight="1">
      <c r="A10" s="39" t="s">
        <v>433</v>
      </c>
      <c r="B10" s="39" t="s">
        <v>323</v>
      </c>
      <c r="C10" s="38"/>
      <c r="D10" s="279"/>
      <c r="E10" s="260"/>
      <c r="F10" s="279">
        <v>28</v>
      </c>
      <c r="G10" s="260"/>
      <c r="H10" s="38">
        <f t="shared" si="0"/>
        <v>602</v>
      </c>
      <c r="I10" s="35"/>
      <c r="J10" s="12"/>
      <c r="K10" s="3"/>
      <c r="L10" s="3"/>
      <c r="M10" s="3"/>
      <c r="N10" s="3"/>
      <c r="O10" s="3"/>
    </row>
    <row r="11" spans="1:15" ht="26.7" customHeight="1">
      <c r="A11" s="39" t="s">
        <v>471</v>
      </c>
      <c r="B11" s="38" t="s">
        <v>323</v>
      </c>
      <c r="C11" s="38"/>
      <c r="D11" s="319"/>
      <c r="E11" s="260"/>
      <c r="F11" s="279">
        <v>30</v>
      </c>
      <c r="G11" s="260"/>
      <c r="H11" s="38">
        <f t="shared" si="0"/>
        <v>572</v>
      </c>
      <c r="I11" s="130"/>
      <c r="J11" s="12"/>
      <c r="K11" s="3"/>
      <c r="L11" s="3"/>
      <c r="M11" s="3"/>
      <c r="N11" s="3"/>
      <c r="O11" s="3"/>
    </row>
    <row r="12" spans="1:15" ht="26.7" customHeight="1">
      <c r="A12" s="39" t="s">
        <v>337</v>
      </c>
      <c r="B12" s="38" t="s">
        <v>323</v>
      </c>
      <c r="C12" s="38"/>
      <c r="D12" s="279"/>
      <c r="E12" s="260"/>
      <c r="F12" s="279">
        <v>30</v>
      </c>
      <c r="G12" s="260"/>
      <c r="H12" s="38">
        <f t="shared" si="0"/>
        <v>542</v>
      </c>
      <c r="I12" s="35"/>
      <c r="J12" s="12"/>
      <c r="K12" s="3"/>
      <c r="L12" s="3"/>
      <c r="M12" s="3"/>
      <c r="N12" s="3"/>
      <c r="O12" s="3"/>
    </row>
    <row r="13" spans="1:15" ht="26.7" hidden="1" customHeight="1">
      <c r="A13" s="39" t="s">
        <v>526</v>
      </c>
      <c r="B13" s="38" t="s">
        <v>323</v>
      </c>
      <c r="C13" s="38"/>
      <c r="D13" s="279"/>
      <c r="E13" s="260"/>
      <c r="F13" s="279">
        <v>30</v>
      </c>
      <c r="G13" s="260"/>
      <c r="H13" s="38">
        <f t="shared" si="0"/>
        <v>512</v>
      </c>
      <c r="I13" s="35"/>
      <c r="J13" s="12"/>
      <c r="K13" s="3"/>
      <c r="L13" s="3"/>
      <c r="M13" s="3"/>
      <c r="N13" s="3"/>
      <c r="O13" s="3"/>
    </row>
    <row r="14" spans="1:15" ht="26.7" customHeight="1">
      <c r="A14" s="39" t="s">
        <v>476</v>
      </c>
      <c r="B14" s="38" t="s">
        <v>323</v>
      </c>
      <c r="C14" s="38"/>
      <c r="D14" s="279"/>
      <c r="E14" s="260"/>
      <c r="F14" s="279">
        <v>28</v>
      </c>
      <c r="G14" s="260"/>
      <c r="H14" s="38">
        <f t="shared" si="0"/>
        <v>484</v>
      </c>
      <c r="I14" s="35"/>
      <c r="J14" s="12"/>
      <c r="K14" s="3"/>
      <c r="L14" s="3"/>
      <c r="M14" s="3"/>
      <c r="N14" s="3"/>
      <c r="O14" s="3"/>
    </row>
    <row r="15" spans="1:15" ht="26.7" customHeight="1">
      <c r="A15" s="39" t="s">
        <v>341</v>
      </c>
      <c r="B15" s="38" t="s">
        <v>323</v>
      </c>
      <c r="C15" s="38"/>
      <c r="D15" s="279"/>
      <c r="E15" s="260"/>
      <c r="F15" s="279">
        <v>30</v>
      </c>
      <c r="G15" s="260"/>
      <c r="H15" s="38">
        <f t="shared" si="0"/>
        <v>454</v>
      </c>
      <c r="I15" s="35"/>
      <c r="J15" s="12"/>
      <c r="K15" s="3"/>
      <c r="L15" s="3"/>
      <c r="M15" s="3"/>
      <c r="N15" s="3"/>
      <c r="O15" s="3"/>
    </row>
    <row r="16" spans="1:15" ht="26.7" customHeight="1">
      <c r="A16" s="39" t="s">
        <v>655</v>
      </c>
      <c r="B16" s="38" t="s">
        <v>323</v>
      </c>
      <c r="C16" s="38"/>
      <c r="D16" s="279"/>
      <c r="E16" s="260"/>
      <c r="F16" s="279">
        <v>30</v>
      </c>
      <c r="G16" s="260"/>
      <c r="H16" s="38">
        <f t="shared" si="0"/>
        <v>424</v>
      </c>
      <c r="I16" s="114"/>
      <c r="J16" s="12"/>
      <c r="K16" s="3"/>
      <c r="L16" s="3"/>
      <c r="M16" s="3"/>
      <c r="N16" s="3"/>
      <c r="O16" s="3"/>
    </row>
    <row r="17" spans="1:15" ht="26.7" customHeight="1">
      <c r="A17" s="39" t="s">
        <v>634</v>
      </c>
      <c r="B17" s="38" t="s">
        <v>323</v>
      </c>
      <c r="C17" s="38"/>
      <c r="D17" s="279"/>
      <c r="E17" s="260"/>
      <c r="F17" s="279">
        <v>28</v>
      </c>
      <c r="G17" s="260"/>
      <c r="H17" s="38">
        <f t="shared" si="0"/>
        <v>396</v>
      </c>
      <c r="I17" s="114"/>
      <c r="J17" s="12"/>
      <c r="K17" s="3"/>
      <c r="L17" s="3"/>
      <c r="M17" s="3"/>
      <c r="N17" s="3"/>
      <c r="O17" s="3"/>
    </row>
    <row r="18" spans="1:15" ht="26.7" customHeight="1">
      <c r="A18" s="39" t="s">
        <v>347</v>
      </c>
      <c r="B18" s="38" t="s">
        <v>323</v>
      </c>
      <c r="C18" s="38"/>
      <c r="D18" s="279"/>
      <c r="E18" s="260"/>
      <c r="F18" s="279">
        <v>28</v>
      </c>
      <c r="G18" s="260"/>
      <c r="H18" s="38">
        <f t="shared" si="0"/>
        <v>368</v>
      </c>
      <c r="I18" s="35"/>
      <c r="J18" s="12"/>
    </row>
    <row r="19" spans="1:15" ht="26.7" customHeight="1">
      <c r="A19" s="38" t="s">
        <v>530</v>
      </c>
      <c r="B19" s="38" t="s">
        <v>323</v>
      </c>
      <c r="C19" s="38"/>
      <c r="D19" s="279"/>
      <c r="E19" s="260"/>
      <c r="F19" s="279">
        <v>28</v>
      </c>
      <c r="G19" s="260"/>
      <c r="H19" s="38">
        <f t="shared" si="0"/>
        <v>340</v>
      </c>
      <c r="I19" s="35"/>
      <c r="J19" s="12"/>
    </row>
    <row r="20" spans="1:15" ht="26.7" customHeight="1">
      <c r="A20" s="39" t="s">
        <v>482</v>
      </c>
      <c r="B20" s="38" t="s">
        <v>323</v>
      </c>
      <c r="C20" s="38"/>
      <c r="D20" s="279"/>
      <c r="E20" s="260"/>
      <c r="F20" s="279">
        <v>30</v>
      </c>
      <c r="G20" s="260"/>
      <c r="H20" s="38">
        <f t="shared" si="0"/>
        <v>310</v>
      </c>
      <c r="I20" s="35"/>
      <c r="J20" s="12"/>
    </row>
    <row r="21" spans="1:15" ht="26.7" customHeight="1">
      <c r="A21" s="39" t="s">
        <v>483</v>
      </c>
      <c r="B21" s="38" t="s">
        <v>323</v>
      </c>
      <c r="C21" s="38"/>
      <c r="D21" s="279"/>
      <c r="E21" s="260"/>
      <c r="F21" s="279">
        <v>30</v>
      </c>
      <c r="G21" s="260"/>
      <c r="H21" s="38">
        <f t="shared" si="0"/>
        <v>280</v>
      </c>
      <c r="I21" s="35"/>
      <c r="J21" s="12"/>
    </row>
    <row r="22" spans="1:15" ht="26.7" customHeight="1">
      <c r="A22" s="39" t="s">
        <v>351</v>
      </c>
      <c r="B22" s="38" t="s">
        <v>323</v>
      </c>
      <c r="C22" s="38"/>
      <c r="D22" s="279"/>
      <c r="E22" s="260"/>
      <c r="F22" s="279">
        <v>30</v>
      </c>
      <c r="G22" s="260"/>
      <c r="H22" s="38">
        <f t="shared" si="0"/>
        <v>250</v>
      </c>
      <c r="I22" s="35"/>
      <c r="J22" s="12"/>
    </row>
    <row r="23" spans="1:15" ht="26.7" customHeight="1">
      <c r="A23" s="41" t="s">
        <v>442</v>
      </c>
      <c r="B23" s="38" t="s">
        <v>323</v>
      </c>
      <c r="C23" s="38"/>
      <c r="D23" s="279"/>
      <c r="E23" s="260"/>
      <c r="F23" s="279">
        <v>28</v>
      </c>
      <c r="G23" s="260"/>
      <c r="H23" s="38">
        <f t="shared" si="0"/>
        <v>222</v>
      </c>
      <c r="I23" s="35"/>
      <c r="J23" s="12"/>
    </row>
    <row r="24" spans="1:15" ht="26.7" customHeight="1">
      <c r="A24" s="39" t="s">
        <v>541</v>
      </c>
      <c r="B24" s="38" t="s">
        <v>323</v>
      </c>
      <c r="C24" s="38"/>
      <c r="D24" s="279"/>
      <c r="E24" s="260"/>
      <c r="F24" s="279">
        <v>30</v>
      </c>
      <c r="G24" s="260"/>
      <c r="H24" s="38">
        <f t="shared" si="0"/>
        <v>192</v>
      </c>
      <c r="I24" s="114"/>
      <c r="J24" s="12"/>
    </row>
    <row r="25" spans="1:15" ht="26.7" customHeight="1">
      <c r="A25" s="39" t="s">
        <v>491</v>
      </c>
      <c r="B25" s="38" t="s">
        <v>324</v>
      </c>
      <c r="C25" s="38">
        <v>1000</v>
      </c>
      <c r="D25" s="279" t="s">
        <v>1095</v>
      </c>
      <c r="E25" s="260"/>
      <c r="F25" s="279"/>
      <c r="G25" s="260"/>
      <c r="H25" s="38">
        <v>1192</v>
      </c>
      <c r="I25" s="114" t="s">
        <v>1075</v>
      </c>
      <c r="J25" s="12"/>
    </row>
    <row r="26" spans="1:15" ht="26.7" customHeight="1">
      <c r="A26" s="39" t="s">
        <v>416</v>
      </c>
      <c r="B26" s="38" t="s">
        <v>323</v>
      </c>
      <c r="C26" s="38"/>
      <c r="D26" s="279"/>
      <c r="E26" s="260"/>
      <c r="F26" s="279">
        <v>58</v>
      </c>
      <c r="G26" s="260"/>
      <c r="H26" s="38">
        <f t="shared" ref="H26:H38" si="1">H25-F26</f>
        <v>1134</v>
      </c>
      <c r="I26" s="127"/>
      <c r="J26" s="12"/>
    </row>
    <row r="27" spans="1:15" ht="26.7" customHeight="1">
      <c r="A27" s="39" t="s">
        <v>492</v>
      </c>
      <c r="B27" s="38" t="s">
        <v>323</v>
      </c>
      <c r="C27" s="38"/>
      <c r="D27" s="279"/>
      <c r="E27" s="260"/>
      <c r="F27" s="279">
        <v>30</v>
      </c>
      <c r="G27" s="260"/>
      <c r="H27" s="38">
        <f t="shared" si="1"/>
        <v>1104</v>
      </c>
      <c r="I27" s="35"/>
      <c r="J27" s="12"/>
    </row>
    <row r="28" spans="1:15" ht="26.7" customHeight="1">
      <c r="A28" s="39" t="s">
        <v>446</v>
      </c>
      <c r="B28" s="38" t="s">
        <v>323</v>
      </c>
      <c r="C28" s="38"/>
      <c r="D28" s="279"/>
      <c r="E28" s="260"/>
      <c r="F28" s="279">
        <v>28</v>
      </c>
      <c r="G28" s="260"/>
      <c r="H28" s="38">
        <f t="shared" si="1"/>
        <v>1076</v>
      </c>
      <c r="I28" s="35"/>
      <c r="J28" s="12"/>
    </row>
    <row r="29" spans="1:15" ht="26.7" customHeight="1">
      <c r="A29" s="39" t="s">
        <v>498</v>
      </c>
      <c r="B29" s="38" t="s">
        <v>323</v>
      </c>
      <c r="C29" s="38"/>
      <c r="D29" s="279"/>
      <c r="E29" s="260"/>
      <c r="F29" s="279">
        <v>30</v>
      </c>
      <c r="G29" s="260"/>
      <c r="H29" s="38">
        <f t="shared" si="1"/>
        <v>1046</v>
      </c>
      <c r="I29" s="35"/>
      <c r="J29" s="12"/>
    </row>
    <row r="30" spans="1:15" ht="26.7" customHeight="1">
      <c r="A30" s="39" t="s">
        <v>584</v>
      </c>
      <c r="B30" s="38" t="s">
        <v>323</v>
      </c>
      <c r="C30" s="38"/>
      <c r="D30" s="279"/>
      <c r="E30" s="260"/>
      <c r="F30" s="279">
        <v>30</v>
      </c>
      <c r="G30" s="260"/>
      <c r="H30" s="38">
        <f t="shared" si="1"/>
        <v>1016</v>
      </c>
      <c r="I30" s="35"/>
      <c r="J30" s="12"/>
    </row>
    <row r="31" spans="1:15" ht="26.7" customHeight="1">
      <c r="A31" s="39" t="s">
        <v>500</v>
      </c>
      <c r="B31" s="38" t="s">
        <v>323</v>
      </c>
      <c r="C31" s="38"/>
      <c r="D31" s="279"/>
      <c r="E31" s="260"/>
      <c r="F31" s="279">
        <v>28</v>
      </c>
      <c r="G31" s="260"/>
      <c r="H31" s="38">
        <f t="shared" si="1"/>
        <v>988</v>
      </c>
      <c r="I31" s="35"/>
      <c r="J31" s="12"/>
    </row>
    <row r="32" spans="1:15" ht="26.7" customHeight="1" thickBot="1">
      <c r="A32" s="39" t="s">
        <v>501</v>
      </c>
      <c r="B32" s="38" t="s">
        <v>323</v>
      </c>
      <c r="C32" s="54"/>
      <c r="D32" s="309"/>
      <c r="E32" s="265"/>
      <c r="F32" s="309">
        <v>30</v>
      </c>
      <c r="G32" s="265"/>
      <c r="H32" s="38">
        <f t="shared" si="1"/>
        <v>958</v>
      </c>
      <c r="I32" s="128"/>
      <c r="J32" s="12"/>
    </row>
    <row r="33" spans="1:10" ht="26.7" customHeight="1">
      <c r="A33" s="39" t="s">
        <v>502</v>
      </c>
      <c r="B33" s="38" t="s">
        <v>323</v>
      </c>
      <c r="C33" s="55"/>
      <c r="D33" s="310"/>
      <c r="E33" s="277"/>
      <c r="F33" s="310">
        <v>56</v>
      </c>
      <c r="G33" s="277"/>
      <c r="H33" s="38">
        <f t="shared" si="1"/>
        <v>902</v>
      </c>
      <c r="I33" s="55"/>
      <c r="J33" s="3"/>
    </row>
    <row r="34" spans="1:10" ht="26.7" customHeight="1">
      <c r="A34" s="38" t="s">
        <v>506</v>
      </c>
      <c r="B34" s="38" t="s">
        <v>323</v>
      </c>
      <c r="C34" s="38"/>
      <c r="D34" s="279"/>
      <c r="E34" s="260"/>
      <c r="F34" s="279">
        <v>30</v>
      </c>
      <c r="G34" s="260"/>
      <c r="H34" s="38">
        <f t="shared" si="1"/>
        <v>872</v>
      </c>
      <c r="I34" s="38"/>
    </row>
    <row r="35" spans="1:10" ht="26.7" customHeight="1">
      <c r="A35" s="39" t="s">
        <v>586</v>
      </c>
      <c r="B35" s="38" t="s">
        <v>323</v>
      </c>
      <c r="C35" s="38"/>
      <c r="D35" s="279"/>
      <c r="E35" s="260"/>
      <c r="F35" s="279">
        <v>60</v>
      </c>
      <c r="G35" s="260"/>
      <c r="H35" s="38">
        <f t="shared" si="1"/>
        <v>812</v>
      </c>
      <c r="I35" s="129"/>
    </row>
    <row r="36" spans="1:10" ht="26.7" customHeight="1">
      <c r="A36" s="39" t="s">
        <v>659</v>
      </c>
      <c r="B36" s="38" t="s">
        <v>323</v>
      </c>
      <c r="C36" s="38"/>
      <c r="D36" s="279"/>
      <c r="E36" s="260"/>
      <c r="F36" s="279">
        <v>28</v>
      </c>
      <c r="G36" s="260"/>
      <c r="H36" s="38">
        <f t="shared" si="1"/>
        <v>784</v>
      </c>
      <c r="I36" s="38"/>
    </row>
    <row r="37" spans="1:10" ht="26.7" customHeight="1">
      <c r="A37" s="39" t="s">
        <v>368</v>
      </c>
      <c r="B37" s="38" t="s">
        <v>323</v>
      </c>
      <c r="C37" s="38"/>
      <c r="D37" s="279"/>
      <c r="E37" s="260"/>
      <c r="F37" s="279">
        <v>28</v>
      </c>
      <c r="G37" s="260"/>
      <c r="H37" s="38">
        <f t="shared" si="1"/>
        <v>756</v>
      </c>
      <c r="I37" s="38"/>
    </row>
    <row r="38" spans="1:10" ht="26.7" customHeight="1">
      <c r="A38" s="39" t="s">
        <v>661</v>
      </c>
      <c r="B38" s="38" t="s">
        <v>323</v>
      </c>
      <c r="C38" s="56"/>
      <c r="D38" s="279"/>
      <c r="E38" s="260"/>
      <c r="F38" s="279">
        <v>30</v>
      </c>
      <c r="G38" s="260"/>
      <c r="H38" s="38">
        <f t="shared" si="1"/>
        <v>726</v>
      </c>
      <c r="I38" s="129"/>
    </row>
    <row r="39" spans="1:10" ht="26.7" customHeight="1">
      <c r="A39" s="39"/>
      <c r="B39" s="38"/>
      <c r="C39" s="56"/>
      <c r="D39" s="279"/>
      <c r="E39" s="260"/>
      <c r="F39" s="279"/>
      <c r="G39" s="260"/>
      <c r="H39" s="38"/>
      <c r="I39" s="38"/>
    </row>
    <row r="40" spans="1:10" ht="26.7" customHeight="1">
      <c r="A40" s="39"/>
      <c r="B40" s="38"/>
      <c r="C40" s="56"/>
      <c r="D40" s="279"/>
      <c r="E40" s="260"/>
      <c r="F40" s="279"/>
      <c r="G40" s="260"/>
      <c r="H40" s="38"/>
      <c r="I40" s="114"/>
    </row>
    <row r="41" spans="1:10" ht="26.7" customHeight="1">
      <c r="A41" s="39"/>
      <c r="B41" s="38"/>
      <c r="C41" s="56"/>
      <c r="D41" s="279"/>
      <c r="E41" s="260"/>
      <c r="F41" s="279"/>
      <c r="G41" s="260"/>
      <c r="H41" s="38"/>
      <c r="I41" s="38"/>
    </row>
    <row r="42" spans="1:10" ht="26.7" customHeight="1">
      <c r="A42" s="39"/>
      <c r="B42" s="38"/>
      <c r="C42" s="56"/>
      <c r="D42" s="279"/>
      <c r="E42" s="260"/>
      <c r="F42" s="279"/>
      <c r="G42" s="260"/>
      <c r="H42" s="38"/>
      <c r="I42" s="38"/>
    </row>
    <row r="43" spans="1:10" ht="26.7" customHeight="1">
      <c r="A43" s="39"/>
      <c r="B43" s="38"/>
      <c r="C43" s="56"/>
      <c r="D43" s="279"/>
      <c r="E43" s="260"/>
      <c r="F43" s="279"/>
      <c r="G43" s="260"/>
      <c r="H43" s="38"/>
      <c r="I43" s="38"/>
    </row>
    <row r="44" spans="1:10" ht="26.7" customHeight="1">
      <c r="A44" s="39"/>
      <c r="B44" s="38"/>
      <c r="C44" s="56"/>
      <c r="D44" s="279"/>
      <c r="E44" s="260"/>
      <c r="F44" s="279"/>
      <c r="G44" s="260"/>
      <c r="H44" s="38"/>
      <c r="I44" s="38"/>
    </row>
    <row r="45" spans="1:10" ht="26.7" customHeight="1">
      <c r="A45" s="39"/>
      <c r="B45" s="38"/>
      <c r="C45" s="56"/>
      <c r="D45" s="279"/>
      <c r="E45" s="260"/>
      <c r="F45" s="279"/>
      <c r="G45" s="260"/>
      <c r="H45" s="38"/>
      <c r="I45" s="38"/>
    </row>
    <row r="46" spans="1:10" ht="26.7" customHeight="1">
      <c r="A46" s="39"/>
      <c r="B46" s="38"/>
      <c r="C46" s="56"/>
      <c r="D46" s="279"/>
      <c r="E46" s="260"/>
      <c r="F46" s="279"/>
      <c r="G46" s="260"/>
      <c r="H46" s="38"/>
      <c r="I46" s="38"/>
    </row>
    <row r="47" spans="1:10" ht="26.7" customHeight="1">
      <c r="A47" s="39"/>
      <c r="B47" s="38"/>
      <c r="C47" s="56"/>
      <c r="D47" s="279"/>
      <c r="E47" s="260"/>
      <c r="F47" s="279"/>
      <c r="G47" s="260"/>
      <c r="H47" s="38"/>
      <c r="I47" s="38"/>
    </row>
    <row r="48" spans="1:10" ht="26.7" customHeight="1">
      <c r="A48" s="39"/>
      <c r="B48" s="38"/>
      <c r="C48" s="38"/>
      <c r="D48" s="279"/>
      <c r="E48" s="260"/>
      <c r="F48" s="266"/>
      <c r="G48" s="260"/>
      <c r="H48" s="17"/>
      <c r="I48" s="149"/>
    </row>
    <row r="49" spans="1:9" ht="26.7" customHeight="1">
      <c r="A49" s="39"/>
      <c r="B49" s="38"/>
      <c r="C49" s="38"/>
      <c r="D49" s="279"/>
      <c r="E49" s="260"/>
      <c r="F49" s="266"/>
      <c r="G49" s="260"/>
      <c r="H49" s="17"/>
      <c r="I49" s="149"/>
    </row>
    <row r="50" spans="1:9" ht="26.7" customHeight="1">
      <c r="A50" s="39"/>
      <c r="B50" s="38"/>
      <c r="C50" s="38"/>
      <c r="D50" s="279"/>
      <c r="E50" s="260"/>
      <c r="F50" s="266"/>
      <c r="G50" s="260"/>
      <c r="H50" s="17"/>
      <c r="I50" s="149"/>
    </row>
    <row r="51" spans="1:9" ht="26.7" customHeight="1">
      <c r="A51" s="39"/>
      <c r="B51" s="38"/>
      <c r="C51" s="38"/>
      <c r="D51" s="279"/>
      <c r="E51" s="260"/>
      <c r="F51" s="266"/>
      <c r="G51" s="260"/>
      <c r="H51" s="17"/>
      <c r="I51" s="149"/>
    </row>
    <row r="52" spans="1:9" s="88" customFormat="1" ht="26.7" customHeight="1">
      <c r="A52" s="39"/>
      <c r="B52" s="38"/>
      <c r="C52" s="38"/>
      <c r="D52" s="279"/>
      <c r="E52" s="260"/>
      <c r="F52" s="266"/>
      <c r="G52" s="260"/>
      <c r="H52" s="17"/>
      <c r="I52" s="149"/>
    </row>
    <row r="53" spans="1:9" ht="26.7" customHeight="1">
      <c r="A53" s="39"/>
      <c r="B53" s="38"/>
      <c r="C53" s="38"/>
      <c r="D53" s="279"/>
      <c r="E53" s="260"/>
      <c r="F53" s="266"/>
      <c r="G53" s="260"/>
      <c r="H53" s="17"/>
      <c r="I53" s="149"/>
    </row>
    <row r="54" spans="1:9" ht="26.7" customHeight="1">
      <c r="A54" s="39"/>
      <c r="B54" s="38"/>
      <c r="C54" s="38"/>
      <c r="D54" s="279"/>
      <c r="E54" s="260"/>
      <c r="F54" s="266"/>
      <c r="G54" s="260"/>
      <c r="H54" s="17"/>
      <c r="I54" s="149"/>
    </row>
    <row r="55" spans="1:9" ht="26.7" customHeight="1">
      <c r="A55" s="39"/>
      <c r="B55" s="38"/>
      <c r="C55" s="38"/>
      <c r="D55" s="279"/>
      <c r="E55" s="260"/>
      <c r="F55" s="266"/>
      <c r="G55" s="260"/>
      <c r="H55" s="17"/>
      <c r="I55" s="149"/>
    </row>
    <row r="56" spans="1:9" ht="26.7" customHeight="1">
      <c r="A56" s="39"/>
      <c r="B56" s="38"/>
      <c r="C56" s="38"/>
      <c r="D56" s="279"/>
      <c r="E56" s="260"/>
      <c r="F56" s="266"/>
      <c r="G56" s="260"/>
      <c r="H56" s="17"/>
      <c r="I56" s="149"/>
    </row>
    <row r="57" spans="1:9" ht="26.7" customHeight="1">
      <c r="A57" s="39"/>
      <c r="B57" s="38"/>
      <c r="C57" s="38"/>
      <c r="D57" s="279"/>
      <c r="E57" s="260"/>
      <c r="F57" s="266"/>
      <c r="G57" s="260"/>
      <c r="H57" s="17"/>
      <c r="I57" s="149"/>
    </row>
    <row r="58" spans="1:9" ht="26.7" customHeight="1">
      <c r="A58" s="39"/>
      <c r="B58" s="38"/>
      <c r="C58" s="38"/>
      <c r="D58" s="279"/>
      <c r="E58" s="260"/>
      <c r="F58" s="266"/>
      <c r="G58" s="260"/>
      <c r="H58" s="17"/>
      <c r="I58" s="149"/>
    </row>
    <row r="59" spans="1:9" ht="26.7" customHeight="1">
      <c r="A59" s="39"/>
      <c r="B59" s="38"/>
      <c r="C59" s="38"/>
      <c r="D59" s="279"/>
      <c r="E59" s="260"/>
      <c r="F59" s="266"/>
      <c r="G59" s="260"/>
      <c r="H59" s="17"/>
      <c r="I59" s="149"/>
    </row>
    <row r="60" spans="1:9" ht="26.7" customHeight="1">
      <c r="A60" s="39"/>
      <c r="B60" s="38"/>
      <c r="C60" s="38"/>
      <c r="D60" s="279"/>
      <c r="E60" s="260"/>
      <c r="F60" s="266"/>
      <c r="G60" s="260"/>
      <c r="H60" s="17"/>
      <c r="I60" s="149"/>
    </row>
    <row r="61" spans="1:9" ht="26.7" customHeight="1">
      <c r="A61" s="39"/>
      <c r="B61" s="38"/>
      <c r="C61" s="38"/>
      <c r="D61" s="279"/>
      <c r="E61" s="260"/>
      <c r="F61" s="266"/>
      <c r="G61" s="260"/>
      <c r="H61" s="17"/>
      <c r="I61" s="149"/>
    </row>
    <row r="62" spans="1:9" ht="26.7" customHeight="1">
      <c r="A62" s="39"/>
      <c r="B62" s="38"/>
      <c r="C62" s="38"/>
      <c r="D62" s="279"/>
      <c r="E62" s="260"/>
      <c r="F62" s="266"/>
      <c r="G62" s="260"/>
      <c r="H62" s="17"/>
      <c r="I62" s="149"/>
    </row>
    <row r="63" spans="1:9" ht="26.7" customHeight="1">
      <c r="A63" s="39"/>
      <c r="B63" s="38"/>
      <c r="C63" s="38"/>
      <c r="D63" s="279"/>
      <c r="E63" s="260"/>
      <c r="F63" s="266"/>
      <c r="G63" s="260"/>
      <c r="H63" s="17"/>
      <c r="I63" s="149"/>
    </row>
    <row r="64" spans="1:9" ht="26.7" customHeight="1">
      <c r="A64" s="39"/>
      <c r="B64" s="38"/>
      <c r="C64" s="38"/>
      <c r="D64" s="279"/>
      <c r="E64" s="260"/>
      <c r="F64" s="266"/>
      <c r="G64" s="260"/>
      <c r="H64" s="17"/>
      <c r="I64" s="149"/>
    </row>
    <row r="65" spans="1:9" ht="26.7" customHeight="1">
      <c r="A65" s="39"/>
      <c r="B65" s="38"/>
      <c r="C65" s="38"/>
      <c r="D65" s="279"/>
      <c r="E65" s="260"/>
      <c r="F65" s="266"/>
      <c r="G65" s="260"/>
      <c r="H65" s="17"/>
      <c r="I65" s="149"/>
    </row>
    <row r="66" spans="1:9" ht="26.7" customHeight="1">
      <c r="A66" s="39"/>
      <c r="B66" s="38"/>
      <c r="C66" s="38"/>
      <c r="D66" s="279"/>
      <c r="E66" s="260"/>
      <c r="F66" s="266"/>
      <c r="G66" s="260"/>
      <c r="H66" s="17"/>
      <c r="I66" s="149"/>
    </row>
    <row r="67" spans="1:9" ht="26.7" customHeight="1">
      <c r="A67" s="39"/>
      <c r="B67" s="38"/>
      <c r="C67" s="38"/>
      <c r="D67" s="279"/>
      <c r="E67" s="260"/>
      <c r="F67" s="266"/>
      <c r="G67" s="260"/>
      <c r="H67" s="17"/>
      <c r="I67" s="149"/>
    </row>
    <row r="68" spans="1:9" ht="26.7" customHeight="1">
      <c r="A68" s="39"/>
      <c r="B68" s="38"/>
      <c r="C68" s="38"/>
      <c r="D68" s="279"/>
      <c r="E68" s="260"/>
      <c r="F68" s="266"/>
      <c r="G68" s="260"/>
      <c r="H68" s="17"/>
      <c r="I68" s="149"/>
    </row>
    <row r="69" spans="1:9" ht="26.7" customHeight="1">
      <c r="A69" s="39"/>
      <c r="B69" s="38"/>
      <c r="C69" s="38"/>
      <c r="D69" s="279"/>
      <c r="E69" s="260"/>
      <c r="F69" s="266"/>
      <c r="G69" s="260"/>
      <c r="H69" s="17"/>
      <c r="I69" s="149"/>
    </row>
    <row r="70" spans="1:9" ht="26.7" customHeight="1">
      <c r="A70" s="39"/>
      <c r="B70" s="38"/>
      <c r="C70" s="38"/>
      <c r="D70" s="279"/>
      <c r="E70" s="260"/>
      <c r="F70" s="266"/>
      <c r="G70" s="260"/>
      <c r="H70" s="17"/>
      <c r="I70" s="149"/>
    </row>
    <row r="71" spans="1:9" ht="26.7" customHeight="1">
      <c r="A71" s="15"/>
      <c r="B71" s="38"/>
      <c r="C71" s="3"/>
      <c r="D71" s="259"/>
      <c r="E71" s="260"/>
      <c r="F71" s="261"/>
      <c r="G71" s="260"/>
      <c r="H71" s="38"/>
      <c r="I71" s="7"/>
    </row>
    <row r="72" spans="1:9" ht="26.7" customHeight="1">
      <c r="A72" s="15"/>
      <c r="B72" s="38"/>
      <c r="C72" s="3"/>
      <c r="D72" s="259"/>
      <c r="E72" s="260"/>
      <c r="F72" s="261"/>
      <c r="G72" s="260"/>
      <c r="H72" s="38"/>
      <c r="I72" s="7"/>
    </row>
    <row r="73" spans="1:9" ht="26.7" customHeight="1">
      <c r="A73" s="14"/>
      <c r="B73" s="38"/>
      <c r="C73" s="3"/>
      <c r="D73" s="259"/>
      <c r="E73" s="260"/>
      <c r="F73" s="261"/>
      <c r="G73" s="260"/>
      <c r="H73" s="38"/>
      <c r="I73" s="7"/>
    </row>
    <row r="74" spans="1:9" ht="26.7" customHeight="1">
      <c r="A74" s="14"/>
      <c r="B74" s="38"/>
      <c r="C74" s="3"/>
      <c r="D74" s="259"/>
      <c r="E74" s="260"/>
      <c r="F74" s="261"/>
      <c r="G74" s="260"/>
      <c r="H74" s="38"/>
      <c r="I74" s="7"/>
    </row>
    <row r="75" spans="1:9" ht="26.7" customHeight="1">
      <c r="A75" s="14"/>
      <c r="B75" s="38"/>
      <c r="C75" s="3"/>
      <c r="D75" s="259"/>
      <c r="E75" s="260"/>
      <c r="F75" s="261"/>
      <c r="G75" s="260"/>
      <c r="H75" s="38"/>
      <c r="I75" s="7"/>
    </row>
    <row r="76" spans="1:9" ht="26.7" customHeight="1">
      <c r="A76" s="15"/>
      <c r="B76" s="6"/>
      <c r="C76" s="3"/>
      <c r="D76" s="259"/>
      <c r="E76" s="260"/>
      <c r="F76" s="261"/>
      <c r="G76" s="260"/>
      <c r="H76" s="38"/>
      <c r="I76" s="7"/>
    </row>
    <row r="77" spans="1:9" ht="26.7" customHeight="1">
      <c r="A77" s="15"/>
      <c r="B77" s="6"/>
      <c r="C77" s="3"/>
      <c r="D77" s="259"/>
      <c r="E77" s="260"/>
      <c r="F77" s="261"/>
      <c r="G77" s="260"/>
      <c r="H77" s="38"/>
      <c r="I77" s="7"/>
    </row>
    <row r="78" spans="1:9" ht="26.7" customHeight="1">
      <c r="A78" s="15"/>
      <c r="B78" s="6"/>
      <c r="C78" s="3"/>
      <c r="D78" s="259"/>
      <c r="E78" s="260"/>
      <c r="F78" s="261"/>
      <c r="G78" s="260"/>
      <c r="H78" s="38"/>
      <c r="I78" s="7"/>
    </row>
    <row r="79" spans="1:9" ht="26.7" customHeight="1">
      <c r="A79" s="14"/>
      <c r="B79" s="6"/>
      <c r="C79" s="3"/>
      <c r="D79" s="259"/>
      <c r="E79" s="260"/>
      <c r="F79" s="261"/>
      <c r="G79" s="260"/>
      <c r="H79" s="38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38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38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38"/>
      <c r="I82" s="7"/>
    </row>
    <row r="83" spans="1:9" ht="21" customHeight="1">
      <c r="A83" s="14"/>
      <c r="B83" s="8"/>
      <c r="C83" s="9"/>
      <c r="D83" s="259"/>
      <c r="E83" s="260"/>
      <c r="F83" s="261"/>
      <c r="G83" s="260"/>
      <c r="H83" s="38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38"/>
      <c r="I84" s="7"/>
    </row>
    <row r="85" spans="1:9" ht="21" customHeight="1">
      <c r="A85" s="15"/>
      <c r="B85" s="8"/>
      <c r="C85" s="9"/>
      <c r="D85" s="259"/>
      <c r="E85" s="260"/>
      <c r="F85" s="261"/>
      <c r="G85" s="260"/>
      <c r="H85" s="38"/>
      <c r="I85" s="11"/>
    </row>
    <row r="86" spans="1:9" ht="21" customHeight="1">
      <c r="A86" s="15"/>
      <c r="B86" s="6"/>
      <c r="C86" s="3"/>
      <c r="D86" s="259"/>
      <c r="E86" s="260"/>
      <c r="F86" s="261"/>
      <c r="G86" s="260"/>
      <c r="H86" s="38"/>
      <c r="I86" s="7"/>
    </row>
    <row r="87" spans="1:9" ht="21" customHeight="1">
      <c r="A87" s="15"/>
      <c r="B87" s="6"/>
      <c r="C87" s="9"/>
      <c r="D87" s="259"/>
      <c r="E87" s="260"/>
      <c r="F87" s="261"/>
      <c r="G87" s="260"/>
      <c r="H87" s="38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38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38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38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38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38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38"/>
      <c r="I93" s="7"/>
    </row>
    <row r="94" spans="1:9" ht="21" customHeight="1">
      <c r="A94" s="15"/>
      <c r="B94" s="6"/>
      <c r="C94" s="3"/>
      <c r="D94" s="259"/>
      <c r="E94" s="260"/>
      <c r="F94" s="261"/>
      <c r="G94" s="260"/>
      <c r="H94" s="38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38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38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38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38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38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38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38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38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38"/>
      <c r="I103" s="7"/>
    </row>
    <row r="104" spans="1:9" ht="21" customHeight="1">
      <c r="A104" s="14"/>
      <c r="B104" s="6"/>
      <c r="C104" s="9"/>
      <c r="D104" s="259"/>
      <c r="E104" s="260"/>
      <c r="F104" s="261"/>
      <c r="G104" s="260"/>
      <c r="H104" s="38"/>
      <c r="I104" s="7"/>
    </row>
    <row r="105" spans="1:9" ht="21" customHeight="1">
      <c r="A105" s="14"/>
      <c r="B105" s="6"/>
      <c r="C105" s="3"/>
      <c r="D105" s="259"/>
      <c r="E105" s="260"/>
      <c r="F105" s="261"/>
      <c r="G105" s="260"/>
      <c r="H105" s="38"/>
      <c r="I105" s="7"/>
    </row>
  </sheetData>
  <mergeCells count="210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58:E58"/>
    <mergeCell ref="D18:E18"/>
    <mergeCell ref="F58:G58"/>
    <mergeCell ref="F27:G27"/>
    <mergeCell ref="F52:G52"/>
    <mergeCell ref="H4:I4"/>
    <mergeCell ref="D80:E80"/>
    <mergeCell ref="F40:G40"/>
    <mergeCell ref="D21:E21"/>
    <mergeCell ref="F59:G59"/>
    <mergeCell ref="F55:G55"/>
    <mergeCell ref="F12:G12"/>
    <mergeCell ref="F24:G24"/>
    <mergeCell ref="D95:E95"/>
    <mergeCell ref="F95:G95"/>
    <mergeCell ref="F67:G67"/>
    <mergeCell ref="D8:E8"/>
    <mergeCell ref="F37:G37"/>
    <mergeCell ref="D105:E105"/>
    <mergeCell ref="F21:G21"/>
    <mergeCell ref="D52:E52"/>
    <mergeCell ref="F53:G53"/>
    <mergeCell ref="D49:E49"/>
    <mergeCell ref="D27:E27"/>
    <mergeCell ref="F36:G36"/>
    <mergeCell ref="F50:G50"/>
    <mergeCell ref="F101:G101"/>
    <mergeCell ref="D91:E91"/>
    <mergeCell ref="F91:G91"/>
    <mergeCell ref="F100:G100"/>
    <mergeCell ref="D28:E28"/>
    <mergeCell ref="D93:E93"/>
    <mergeCell ref="F22:G22"/>
    <mergeCell ref="F93:G93"/>
    <mergeCell ref="D102:E102"/>
    <mergeCell ref="F102:G102"/>
    <mergeCell ref="D83:E83"/>
    <mergeCell ref="D25:E25"/>
    <mergeCell ref="F77:G77"/>
    <mergeCell ref="D92:E92"/>
    <mergeCell ref="D55:E55"/>
    <mergeCell ref="D30:E30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D17:E17"/>
    <mergeCell ref="F8:G8"/>
    <mergeCell ref="A5:B5"/>
    <mergeCell ref="D12:E12"/>
    <mergeCell ref="D67:E67"/>
    <mergeCell ref="F49:G49"/>
    <mergeCell ref="D14:E14"/>
    <mergeCell ref="D85:E85"/>
    <mergeCell ref="E4:G4"/>
    <mergeCell ref="F14:G14"/>
    <mergeCell ref="D54:E54"/>
    <mergeCell ref="D69:E69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92:G92"/>
    <mergeCell ref="D94:E94"/>
    <mergeCell ref="F11:G11"/>
    <mergeCell ref="F69:G69"/>
    <mergeCell ref="F78:G78"/>
    <mergeCell ref="F65:G65"/>
    <mergeCell ref="D46:E46"/>
    <mergeCell ref="D40:E40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F96:G96"/>
    <mergeCell ref="F56:G56"/>
    <mergeCell ref="F71:G71"/>
    <mergeCell ref="F105:G105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D99:E99"/>
    <mergeCell ref="F99:G99"/>
    <mergeCell ref="D48:E48"/>
    <mergeCell ref="F70:G70"/>
    <mergeCell ref="F79:G79"/>
    <mergeCell ref="D7:E7"/>
    <mergeCell ref="D72:E72"/>
    <mergeCell ref="D78:E78"/>
    <mergeCell ref="F72:G72"/>
    <mergeCell ref="B4:D4"/>
    <mergeCell ref="F81:G81"/>
    <mergeCell ref="F23:G23"/>
    <mergeCell ref="D62:E62"/>
    <mergeCell ref="D56:E56"/>
    <mergeCell ref="F13:G13"/>
    <mergeCell ref="D71:E71"/>
    <mergeCell ref="D10:E10"/>
    <mergeCell ref="F10:G10"/>
    <mergeCell ref="D19:E19"/>
    <mergeCell ref="F19:G19"/>
    <mergeCell ref="F6:G6"/>
    <mergeCell ref="F74:G7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6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1096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1097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Zoldem 10mg</v>
      </c>
      <c r="K3" s="34" t="s">
        <v>1098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930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1099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7"/>
  <dimension ref="A1:O103"/>
  <sheetViews>
    <sheetView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1100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1101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Zopidem 10MG</v>
      </c>
      <c r="K3" s="34" t="s">
        <v>1102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1103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296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7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6"/>
      <c r="J11" s="12"/>
      <c r="K11" s="3"/>
      <c r="L11" s="3"/>
      <c r="M11" s="3"/>
      <c r="N11" s="3"/>
      <c r="O11" s="3"/>
    </row>
    <row r="12" spans="1:15" ht="26.7" customHeight="1">
      <c r="A12" s="25"/>
      <c r="B12" s="8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6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8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6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 thickBot="1">
      <c r="A30" s="29"/>
      <c r="B30" s="30"/>
      <c r="C30" s="31"/>
      <c r="D30" s="264"/>
      <c r="E30" s="265"/>
      <c r="F30" s="267"/>
      <c r="G30" s="265"/>
      <c r="H30" s="31"/>
      <c r="I30" s="32"/>
      <c r="J30" s="12"/>
    </row>
    <row r="31" spans="1:10" ht="21" customHeight="1">
      <c r="A31" s="20"/>
      <c r="B31" s="21"/>
      <c r="C31" s="22"/>
      <c r="D31" s="276"/>
      <c r="E31" s="277"/>
      <c r="F31" s="278"/>
      <c r="G31" s="277"/>
      <c r="H31" s="22"/>
      <c r="I31" s="22"/>
      <c r="J31" s="3"/>
    </row>
    <row r="32" spans="1:10" ht="21" customHeight="1">
      <c r="A32" s="13"/>
      <c r="B32" s="6"/>
      <c r="C32" s="7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16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16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10"/>
      <c r="D47" s="259"/>
      <c r="E47" s="260"/>
      <c r="F47" s="261"/>
      <c r="G47" s="260"/>
      <c r="H47" s="7"/>
      <c r="I47" s="7"/>
    </row>
    <row r="48" spans="1:9" ht="21" customHeight="1">
      <c r="A48" s="13"/>
      <c r="B48" s="8"/>
      <c r="C48" s="10"/>
      <c r="D48" s="259"/>
      <c r="E48" s="260"/>
      <c r="F48" s="261"/>
      <c r="G48" s="260"/>
      <c r="H48" s="7"/>
      <c r="I48" s="11"/>
    </row>
    <row r="49" spans="1:9" ht="21" customHeight="1">
      <c r="A49" s="13"/>
      <c r="B49" s="6"/>
      <c r="C49" s="9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16"/>
    </row>
    <row r="56" spans="1:9" ht="21" customHeight="1">
      <c r="A56" s="15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9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4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8"/>
      <c r="C81" s="9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8"/>
      <c r="C83" s="9"/>
      <c r="D83" s="259"/>
      <c r="E83" s="260"/>
      <c r="F83" s="261"/>
      <c r="G83" s="260"/>
      <c r="H83" s="7"/>
      <c r="I83" s="11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9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9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7"/>
      <c r="I103" s="7"/>
    </row>
  </sheetData>
  <mergeCells count="206"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D18:E18"/>
    <mergeCell ref="D58:E5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24:G24"/>
    <mergeCell ref="F12:G12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53:G53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8">
    <tabColor theme="2" tint="-0.499984740745262"/>
  </sheetPr>
  <dimension ref="A1:O103"/>
  <sheetViews>
    <sheetView topLeftCell="A28" workbookViewId="0">
      <selection activeCell="A39" sqref="A39"/>
    </sheetView>
  </sheetViews>
  <sheetFormatPr defaultColWidth="8.77734375" defaultRowHeight="16.2"/>
  <cols>
    <col min="1" max="1" width="11.6640625" style="187" customWidth="1"/>
    <col min="2" max="2" width="11" style="246" customWidth="1"/>
    <col min="3" max="3" width="11.109375" style="106" customWidth="1"/>
    <col min="4" max="4" width="7.109375" style="255" customWidth="1"/>
    <col min="5" max="5" width="9.77734375" style="255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252" t="s">
        <v>1104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39" t="s">
        <v>9</v>
      </c>
      <c r="B3" s="266" t="s">
        <v>1105</v>
      </c>
      <c r="C3" s="263"/>
      <c r="D3" s="260"/>
      <c r="E3" s="266" t="s">
        <v>11</v>
      </c>
      <c r="F3" s="263"/>
      <c r="G3" s="260"/>
      <c r="H3" s="296" t="s">
        <v>674</v>
      </c>
      <c r="I3" s="269"/>
      <c r="J3" s="19" t="str">
        <f>B3</f>
        <v>Traceton 37.5mg</v>
      </c>
      <c r="K3" s="34" t="s">
        <v>1106</v>
      </c>
      <c r="L3" s="5">
        <v>7</v>
      </c>
      <c r="M3" s="3">
        <f>SUM(C$8:C$1048576)</f>
        <v>630</v>
      </c>
      <c r="N3" s="3">
        <f>SUM(F:F)</f>
        <v>536</v>
      </c>
      <c r="O3" s="3">
        <f>L3+M3-N3</f>
        <v>101</v>
      </c>
    </row>
    <row r="4" spans="1:15" ht="27.45" customHeight="1">
      <c r="A4" s="39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519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263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14</v>
      </c>
      <c r="D7" s="280"/>
      <c r="E7" s="260"/>
      <c r="F7" s="280"/>
      <c r="G7" s="260"/>
      <c r="H7" s="155">
        <v>14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521</v>
      </c>
      <c r="B8" s="38" t="s">
        <v>323</v>
      </c>
      <c r="C8" s="38"/>
      <c r="D8" s="279"/>
      <c r="E8" s="260"/>
      <c r="F8" s="279">
        <v>28</v>
      </c>
      <c r="G8" s="260"/>
      <c r="H8" s="38">
        <f>H7-F8</f>
        <v>-14</v>
      </c>
      <c r="I8" s="26"/>
      <c r="J8" s="12"/>
      <c r="K8" s="3"/>
      <c r="L8" s="3"/>
      <c r="M8" s="3"/>
      <c r="N8" s="3"/>
      <c r="O8" s="3"/>
    </row>
    <row r="9" spans="1:15" ht="26.7" customHeight="1">
      <c r="A9" s="39" t="s">
        <v>694</v>
      </c>
      <c r="B9" s="38" t="s">
        <v>324</v>
      </c>
      <c r="C9" s="38">
        <v>84</v>
      </c>
      <c r="D9" s="279" t="s">
        <v>1107</v>
      </c>
      <c r="E9" s="260"/>
      <c r="F9" s="279"/>
      <c r="G9" s="260"/>
      <c r="H9" s="38">
        <v>70</v>
      </c>
      <c r="I9" s="114" t="s">
        <v>437</v>
      </c>
      <c r="J9" s="12"/>
      <c r="K9" s="3"/>
      <c r="L9" s="3"/>
      <c r="M9" s="3"/>
      <c r="N9" s="3"/>
      <c r="O9" s="3"/>
    </row>
    <row r="10" spans="1:15" ht="26.7" customHeight="1">
      <c r="A10" s="39" t="s">
        <v>523</v>
      </c>
      <c r="B10" s="38" t="s">
        <v>323</v>
      </c>
      <c r="C10" s="38"/>
      <c r="D10" s="279"/>
      <c r="E10" s="260"/>
      <c r="F10" s="279">
        <v>6</v>
      </c>
      <c r="G10" s="260"/>
      <c r="H10" s="38">
        <f>H9-F10</f>
        <v>64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39" t="s">
        <v>465</v>
      </c>
      <c r="B11" s="38" t="s">
        <v>323</v>
      </c>
      <c r="C11" s="38"/>
      <c r="D11" s="279"/>
      <c r="E11" s="260"/>
      <c r="F11" s="279">
        <v>34</v>
      </c>
      <c r="G11" s="260"/>
      <c r="H11" s="38">
        <f>H10-F11</f>
        <v>30</v>
      </c>
      <c r="I11" s="26"/>
      <c r="J11" s="12"/>
      <c r="K11" s="3"/>
      <c r="L11" s="3"/>
      <c r="M11" s="3"/>
      <c r="N11" s="3"/>
      <c r="O11" s="3"/>
    </row>
    <row r="12" spans="1:15" ht="26.7" customHeight="1">
      <c r="A12" s="38" t="s">
        <v>470</v>
      </c>
      <c r="B12" s="38" t="s">
        <v>323</v>
      </c>
      <c r="C12" s="38"/>
      <c r="D12" s="279"/>
      <c r="E12" s="260"/>
      <c r="F12" s="279">
        <v>6</v>
      </c>
      <c r="G12" s="260"/>
      <c r="H12" s="38">
        <f>H11-F12</f>
        <v>24</v>
      </c>
      <c r="I12" s="26"/>
      <c r="J12" s="12"/>
      <c r="K12" s="3"/>
      <c r="L12" s="3"/>
      <c r="M12" s="3"/>
      <c r="N12" s="3"/>
      <c r="O12" s="3"/>
    </row>
    <row r="13" spans="1:15" ht="26.7" customHeight="1">
      <c r="A13" s="39" t="s">
        <v>524</v>
      </c>
      <c r="B13" s="38" t="s">
        <v>324</v>
      </c>
      <c r="C13" s="38">
        <v>42</v>
      </c>
      <c r="D13" s="279" t="s">
        <v>1108</v>
      </c>
      <c r="E13" s="260"/>
      <c r="F13" s="279"/>
      <c r="G13" s="260"/>
      <c r="H13" s="38">
        <v>66</v>
      </c>
      <c r="I13" s="108" t="s">
        <v>437</v>
      </c>
      <c r="J13" s="12"/>
      <c r="K13" s="3"/>
      <c r="L13" s="3"/>
      <c r="M13" s="3"/>
      <c r="N13" s="3"/>
      <c r="O13" s="3"/>
    </row>
    <row r="14" spans="1:15" ht="26.7" customHeight="1">
      <c r="A14" s="39" t="s">
        <v>337</v>
      </c>
      <c r="B14" s="38" t="s">
        <v>323</v>
      </c>
      <c r="C14" s="38"/>
      <c r="D14" s="279"/>
      <c r="E14" s="260"/>
      <c r="F14" s="279">
        <v>28</v>
      </c>
      <c r="G14" s="260"/>
      <c r="H14" s="38">
        <f>H13-F14</f>
        <v>38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383</v>
      </c>
      <c r="B15" s="38" t="s">
        <v>323</v>
      </c>
      <c r="C15" s="38"/>
      <c r="D15" s="279"/>
      <c r="E15" s="260"/>
      <c r="F15" s="279">
        <v>6</v>
      </c>
      <c r="G15" s="260"/>
      <c r="H15" s="38">
        <f>H14-F15</f>
        <v>32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187" t="s">
        <v>385</v>
      </c>
      <c r="B16" s="38" t="s">
        <v>323</v>
      </c>
      <c r="C16" s="38"/>
      <c r="D16" s="279"/>
      <c r="E16" s="260"/>
      <c r="F16" s="279">
        <v>28</v>
      </c>
      <c r="G16" s="260"/>
      <c r="H16" s="38">
        <f>H15-F16</f>
        <v>4</v>
      </c>
      <c r="I16" s="26"/>
      <c r="J16" s="12"/>
    </row>
    <row r="17" spans="1:10" ht="26.7" customHeight="1">
      <c r="A17" s="39" t="s">
        <v>342</v>
      </c>
      <c r="B17" s="38" t="s">
        <v>323</v>
      </c>
      <c r="C17" s="38"/>
      <c r="D17" s="279"/>
      <c r="E17" s="260"/>
      <c r="F17" s="279">
        <v>28</v>
      </c>
      <c r="G17" s="260"/>
      <c r="H17" s="38">
        <f>H16-F17</f>
        <v>-24</v>
      </c>
      <c r="I17" s="26"/>
      <c r="J17" s="12"/>
    </row>
    <row r="18" spans="1:10" ht="26.7" customHeight="1">
      <c r="A18" s="39" t="s">
        <v>478</v>
      </c>
      <c r="B18" s="38" t="s">
        <v>324</v>
      </c>
      <c r="C18" s="38">
        <v>105</v>
      </c>
      <c r="D18" s="279" t="s">
        <v>1109</v>
      </c>
      <c r="E18" s="260"/>
      <c r="F18" s="261"/>
      <c r="G18" s="260"/>
      <c r="H18" s="110">
        <f>H17+C18</f>
        <v>81</v>
      </c>
      <c r="I18" s="26" t="s">
        <v>437</v>
      </c>
      <c r="J18" s="12"/>
    </row>
    <row r="19" spans="1:10" ht="26.7" customHeight="1">
      <c r="A19" s="39" t="s">
        <v>529</v>
      </c>
      <c r="B19" s="38" t="s">
        <v>323</v>
      </c>
      <c r="C19" s="38"/>
      <c r="D19" s="287"/>
      <c r="E19" s="260"/>
      <c r="F19" s="287">
        <v>38</v>
      </c>
      <c r="G19" s="260"/>
      <c r="H19" s="110">
        <f t="shared" ref="H19:H25" si="0">H18-F19</f>
        <v>43</v>
      </c>
      <c r="I19" s="26"/>
      <c r="J19" s="12"/>
    </row>
    <row r="20" spans="1:10" ht="26.7" customHeight="1">
      <c r="A20" s="39" t="s">
        <v>530</v>
      </c>
      <c r="B20" s="38" t="s">
        <v>323</v>
      </c>
      <c r="C20" s="38"/>
      <c r="D20" s="287"/>
      <c r="E20" s="260"/>
      <c r="F20" s="261">
        <v>6</v>
      </c>
      <c r="G20" s="260"/>
      <c r="H20" s="7">
        <f t="shared" si="0"/>
        <v>37</v>
      </c>
      <c r="I20" s="26"/>
      <c r="J20" s="12"/>
    </row>
    <row r="21" spans="1:10" ht="26.7" customHeight="1">
      <c r="A21" s="39" t="s">
        <v>349</v>
      </c>
      <c r="B21" s="38" t="s">
        <v>323</v>
      </c>
      <c r="C21" s="38"/>
      <c r="D21" s="287"/>
      <c r="E21" s="260"/>
      <c r="F21" s="261">
        <v>12</v>
      </c>
      <c r="G21" s="260"/>
      <c r="H21" s="7">
        <f t="shared" si="0"/>
        <v>25</v>
      </c>
      <c r="I21" s="26"/>
      <c r="J21" s="12"/>
    </row>
    <row r="22" spans="1:10" ht="26.7" customHeight="1">
      <c r="A22" s="39" t="s">
        <v>532</v>
      </c>
      <c r="B22" s="6" t="s">
        <v>323</v>
      </c>
      <c r="C22" s="38"/>
      <c r="D22" s="287"/>
      <c r="E22" s="260"/>
      <c r="F22" s="261">
        <v>6</v>
      </c>
      <c r="G22" s="260"/>
      <c r="H22" s="7">
        <f t="shared" si="0"/>
        <v>19</v>
      </c>
      <c r="I22" s="26"/>
      <c r="J22" s="12"/>
    </row>
    <row r="23" spans="1:10" ht="26.7" customHeight="1">
      <c r="A23" s="39" t="s">
        <v>439</v>
      </c>
      <c r="B23" s="6" t="s">
        <v>323</v>
      </c>
      <c r="C23" s="38"/>
      <c r="D23" s="287"/>
      <c r="E23" s="260"/>
      <c r="F23" s="261">
        <v>6</v>
      </c>
      <c r="G23" s="260"/>
      <c r="H23" s="7">
        <f t="shared" si="0"/>
        <v>13</v>
      </c>
      <c r="I23" s="26"/>
      <c r="J23" s="12"/>
    </row>
    <row r="24" spans="1:10" ht="26.7" customHeight="1">
      <c r="A24" s="39" t="s">
        <v>536</v>
      </c>
      <c r="B24" s="6" t="s">
        <v>323</v>
      </c>
      <c r="C24" s="38"/>
      <c r="D24" s="287"/>
      <c r="E24" s="260"/>
      <c r="F24" s="261">
        <v>6</v>
      </c>
      <c r="G24" s="260"/>
      <c r="H24" s="7">
        <f t="shared" si="0"/>
        <v>7</v>
      </c>
      <c r="I24" s="28"/>
      <c r="J24" s="12"/>
    </row>
    <row r="25" spans="1:10" ht="26.7" customHeight="1">
      <c r="A25" s="39" t="s">
        <v>537</v>
      </c>
      <c r="B25" s="6" t="s">
        <v>323</v>
      </c>
      <c r="C25" s="38"/>
      <c r="D25" s="287"/>
      <c r="E25" s="260"/>
      <c r="F25" s="261">
        <v>28</v>
      </c>
      <c r="G25" s="260"/>
      <c r="H25" s="7">
        <f t="shared" si="0"/>
        <v>-21</v>
      </c>
      <c r="I25" s="26"/>
      <c r="J25" s="12"/>
    </row>
    <row r="26" spans="1:10" ht="26.7" customHeight="1">
      <c r="A26" s="39" t="s">
        <v>390</v>
      </c>
      <c r="B26" s="6" t="s">
        <v>324</v>
      </c>
      <c r="C26" s="38">
        <v>63</v>
      </c>
      <c r="D26" s="287" t="s">
        <v>1110</v>
      </c>
      <c r="E26" s="260"/>
      <c r="F26" s="261"/>
      <c r="G26" s="260"/>
      <c r="H26" s="7">
        <v>42</v>
      </c>
      <c r="I26" s="108" t="s">
        <v>437</v>
      </c>
      <c r="J26" s="12"/>
    </row>
    <row r="27" spans="1:10" ht="26.7" customHeight="1">
      <c r="A27" s="39" t="s">
        <v>539</v>
      </c>
      <c r="B27" s="6" t="s">
        <v>323</v>
      </c>
      <c r="C27" s="38"/>
      <c r="D27" s="287"/>
      <c r="E27" s="260"/>
      <c r="F27" s="261">
        <v>10</v>
      </c>
      <c r="G27" s="260"/>
      <c r="H27" s="7">
        <f>H26-F27</f>
        <v>32</v>
      </c>
      <c r="I27" s="26"/>
      <c r="J27" s="12"/>
    </row>
    <row r="28" spans="1:10" ht="26.7" customHeight="1">
      <c r="A28" s="39" t="s">
        <v>489</v>
      </c>
      <c r="B28" s="6" t="s">
        <v>323</v>
      </c>
      <c r="C28" s="38"/>
      <c r="D28" s="287"/>
      <c r="E28" s="260"/>
      <c r="F28" s="261">
        <v>28</v>
      </c>
      <c r="G28" s="260"/>
      <c r="H28" s="7">
        <f>H27-F28</f>
        <v>4</v>
      </c>
      <c r="I28" s="26"/>
      <c r="J28" s="12"/>
    </row>
    <row r="29" spans="1:10" ht="26.7" customHeight="1">
      <c r="A29" s="39" t="s">
        <v>353</v>
      </c>
      <c r="B29" s="6" t="s">
        <v>324</v>
      </c>
      <c r="C29" s="38">
        <v>210</v>
      </c>
      <c r="D29" s="287" t="s">
        <v>1110</v>
      </c>
      <c r="E29" s="260"/>
      <c r="F29" s="261"/>
      <c r="G29" s="260"/>
      <c r="H29" s="7">
        <v>214</v>
      </c>
      <c r="I29" s="108" t="s">
        <v>437</v>
      </c>
      <c r="J29" s="12"/>
    </row>
    <row r="30" spans="1:10" ht="26.7" customHeight="1" thickBot="1">
      <c r="A30" s="253" t="s">
        <v>543</v>
      </c>
      <c r="B30" s="30" t="s">
        <v>323</v>
      </c>
      <c r="C30" s="54"/>
      <c r="D30" s="321"/>
      <c r="E30" s="265"/>
      <c r="F30" s="267">
        <v>42</v>
      </c>
      <c r="G30" s="265"/>
      <c r="H30" s="31">
        <f t="shared" ref="H30:H37" si="1">H29-F30</f>
        <v>172</v>
      </c>
      <c r="I30" s="32"/>
      <c r="J30" s="12"/>
    </row>
    <row r="31" spans="1:10" ht="21" customHeight="1">
      <c r="A31" s="254" t="s">
        <v>494</v>
      </c>
      <c r="B31" s="21" t="s">
        <v>323</v>
      </c>
      <c r="C31" s="55"/>
      <c r="D31" s="320"/>
      <c r="E31" s="277"/>
      <c r="F31" s="278">
        <v>28</v>
      </c>
      <c r="G31" s="277"/>
      <c r="H31" s="22">
        <f t="shared" si="1"/>
        <v>144</v>
      </c>
      <c r="I31" s="22"/>
      <c r="J31" s="3"/>
    </row>
    <row r="32" spans="1:10" ht="21" customHeight="1">
      <c r="A32" s="103" t="s">
        <v>544</v>
      </c>
      <c r="B32" s="6" t="s">
        <v>323</v>
      </c>
      <c r="C32" s="38"/>
      <c r="D32" s="287"/>
      <c r="E32" s="260"/>
      <c r="F32" s="261">
        <v>10</v>
      </c>
      <c r="G32" s="260"/>
      <c r="H32" s="7">
        <f t="shared" si="1"/>
        <v>134</v>
      </c>
      <c r="I32" s="7"/>
    </row>
    <row r="33" spans="1:9" ht="21" customHeight="1">
      <c r="A33" s="103" t="s">
        <v>658</v>
      </c>
      <c r="B33" s="6" t="s">
        <v>323</v>
      </c>
      <c r="C33" s="38"/>
      <c r="D33" s="287"/>
      <c r="E33" s="260"/>
      <c r="F33" s="261">
        <v>28</v>
      </c>
      <c r="G33" s="260"/>
      <c r="H33" s="7">
        <f t="shared" si="1"/>
        <v>106</v>
      </c>
      <c r="I33" s="16"/>
    </row>
    <row r="34" spans="1:9" ht="21" customHeight="1">
      <c r="A34" s="103" t="s">
        <v>395</v>
      </c>
      <c r="B34" s="6" t="s">
        <v>323</v>
      </c>
      <c r="C34" s="38"/>
      <c r="D34" s="287"/>
      <c r="E34" s="260"/>
      <c r="F34" s="261">
        <v>6</v>
      </c>
      <c r="G34" s="260"/>
      <c r="H34" s="7">
        <f t="shared" si="1"/>
        <v>100</v>
      </c>
      <c r="I34" s="7"/>
    </row>
    <row r="35" spans="1:9" ht="21" customHeight="1">
      <c r="A35" s="103" t="s">
        <v>502</v>
      </c>
      <c r="B35" s="6" t="s">
        <v>323</v>
      </c>
      <c r="C35" s="38"/>
      <c r="D35" s="287"/>
      <c r="E35" s="260"/>
      <c r="F35" s="261">
        <v>28</v>
      </c>
      <c r="G35" s="260"/>
      <c r="H35" s="7">
        <f t="shared" si="1"/>
        <v>72</v>
      </c>
      <c r="I35" s="7"/>
    </row>
    <row r="36" spans="1:9" ht="21" customHeight="1">
      <c r="A36" s="103" t="s">
        <v>549</v>
      </c>
      <c r="B36" s="6" t="s">
        <v>323</v>
      </c>
      <c r="C36" s="56"/>
      <c r="D36" s="287"/>
      <c r="E36" s="260"/>
      <c r="F36" s="261">
        <v>6</v>
      </c>
      <c r="G36" s="260"/>
      <c r="H36" s="7">
        <f t="shared" si="1"/>
        <v>66</v>
      </c>
      <c r="I36" s="16"/>
    </row>
    <row r="37" spans="1:9" ht="21" customHeight="1">
      <c r="A37" s="103" t="s">
        <v>552</v>
      </c>
      <c r="B37" s="6" t="s">
        <v>323</v>
      </c>
      <c r="C37" s="56"/>
      <c r="D37" s="287"/>
      <c r="E37" s="260"/>
      <c r="F37" s="261">
        <v>28</v>
      </c>
      <c r="G37" s="260"/>
      <c r="H37" s="7">
        <f t="shared" si="1"/>
        <v>38</v>
      </c>
      <c r="I37" s="7"/>
    </row>
    <row r="38" spans="1:9" ht="21" customHeight="1">
      <c r="A38" s="103" t="s">
        <v>508</v>
      </c>
      <c r="B38" s="6" t="s">
        <v>324</v>
      </c>
      <c r="C38" s="56">
        <v>126</v>
      </c>
      <c r="D38" s="287" t="s">
        <v>1111</v>
      </c>
      <c r="E38" s="260"/>
      <c r="F38" s="261"/>
      <c r="G38" s="260"/>
      <c r="H38" s="7">
        <v>164</v>
      </c>
      <c r="I38" s="109" t="s">
        <v>608</v>
      </c>
    </row>
    <row r="39" spans="1:9" ht="21" customHeight="1">
      <c r="A39" s="103" t="s">
        <v>587</v>
      </c>
      <c r="B39" s="6" t="s">
        <v>323</v>
      </c>
      <c r="C39" s="56"/>
      <c r="D39" s="287"/>
      <c r="E39" s="260"/>
      <c r="F39" s="261">
        <v>28</v>
      </c>
      <c r="G39" s="260"/>
      <c r="H39" s="7">
        <f>H38-F39</f>
        <v>136</v>
      </c>
      <c r="I39" s="7"/>
    </row>
    <row r="40" spans="1:9" ht="21" customHeight="1">
      <c r="A40" s="103" t="s">
        <v>626</v>
      </c>
      <c r="B40" s="6" t="s">
        <v>323</v>
      </c>
      <c r="C40" s="56"/>
      <c r="D40" s="287"/>
      <c r="E40" s="260"/>
      <c r="F40" s="261">
        <v>28</v>
      </c>
      <c r="G40" s="260"/>
      <c r="H40" s="7">
        <f>H39-F40</f>
        <v>108</v>
      </c>
      <c r="I40" s="7"/>
    </row>
    <row r="41" spans="1:9" ht="21" customHeight="1">
      <c r="A41" s="103"/>
      <c r="B41" s="6"/>
      <c r="C41" s="56"/>
      <c r="D41" s="287"/>
      <c r="E41" s="260"/>
      <c r="F41" s="261"/>
      <c r="G41" s="260"/>
      <c r="H41" s="7"/>
      <c r="I41" s="7"/>
    </row>
    <row r="42" spans="1:9" ht="21" customHeight="1">
      <c r="A42" s="103"/>
      <c r="B42" s="6"/>
      <c r="C42" s="56"/>
      <c r="D42" s="287"/>
      <c r="E42" s="260"/>
      <c r="F42" s="261"/>
      <c r="G42" s="260"/>
      <c r="H42" s="7"/>
      <c r="I42" s="7"/>
    </row>
    <row r="43" spans="1:9" ht="21" customHeight="1">
      <c r="A43" s="103"/>
      <c r="B43" s="6"/>
      <c r="C43" s="56"/>
      <c r="D43" s="287"/>
      <c r="E43" s="260"/>
      <c r="F43" s="261"/>
      <c r="G43" s="260"/>
      <c r="H43" s="7"/>
      <c r="I43" s="7"/>
    </row>
    <row r="44" spans="1:9" ht="21" customHeight="1">
      <c r="A44" s="103"/>
      <c r="B44" s="6"/>
      <c r="C44" s="56"/>
      <c r="D44" s="287"/>
      <c r="E44" s="260"/>
      <c r="F44" s="261"/>
      <c r="G44" s="260"/>
      <c r="H44" s="7"/>
      <c r="I44" s="7"/>
    </row>
    <row r="45" spans="1:9" ht="21" customHeight="1">
      <c r="A45" s="103"/>
      <c r="B45" s="6"/>
      <c r="C45" s="56"/>
      <c r="D45" s="287"/>
      <c r="E45" s="260"/>
      <c r="F45" s="261"/>
      <c r="G45" s="260"/>
      <c r="H45" s="7"/>
      <c r="I45" s="7"/>
    </row>
    <row r="46" spans="1:9" ht="21" customHeight="1">
      <c r="A46" s="103"/>
      <c r="B46" s="6"/>
      <c r="C46" s="56"/>
      <c r="D46" s="287"/>
      <c r="E46" s="260"/>
      <c r="F46" s="261"/>
      <c r="G46" s="260"/>
      <c r="H46" s="7"/>
      <c r="I46" s="7"/>
    </row>
    <row r="47" spans="1:9" ht="21" customHeight="1">
      <c r="A47" s="103"/>
      <c r="B47" s="6"/>
      <c r="C47" s="56"/>
      <c r="D47" s="287"/>
      <c r="E47" s="260"/>
      <c r="F47" s="261"/>
      <c r="G47" s="260"/>
      <c r="H47" s="7"/>
      <c r="I47" s="7"/>
    </row>
    <row r="48" spans="1:9" ht="21" customHeight="1">
      <c r="A48" s="103"/>
      <c r="B48" s="8"/>
      <c r="C48" s="56"/>
      <c r="D48" s="287"/>
      <c r="E48" s="260"/>
      <c r="F48" s="261"/>
      <c r="G48" s="260"/>
      <c r="H48" s="7"/>
      <c r="I48" s="11"/>
    </row>
    <row r="49" spans="1:9" ht="21" customHeight="1">
      <c r="A49" s="103"/>
      <c r="B49" s="6"/>
      <c r="C49" s="57"/>
      <c r="D49" s="287"/>
      <c r="E49" s="260"/>
      <c r="F49" s="261"/>
      <c r="G49" s="260"/>
      <c r="H49" s="7"/>
      <c r="I49" s="7"/>
    </row>
    <row r="50" spans="1:9" ht="21" customHeight="1">
      <c r="A50" s="58"/>
      <c r="B50" s="6"/>
      <c r="C50" s="56"/>
      <c r="D50" s="287"/>
      <c r="E50" s="260"/>
      <c r="F50" s="261"/>
      <c r="G50" s="260"/>
      <c r="H50" s="7"/>
      <c r="I50" s="7"/>
    </row>
    <row r="51" spans="1:9" ht="21" customHeight="1">
      <c r="A51" s="58"/>
      <c r="B51" s="6"/>
      <c r="C51" s="56"/>
      <c r="D51" s="287"/>
      <c r="E51" s="260"/>
      <c r="F51" s="261"/>
      <c r="G51" s="260"/>
      <c r="H51" s="7"/>
      <c r="I51" s="7"/>
    </row>
    <row r="52" spans="1:9" ht="21" customHeight="1">
      <c r="A52" s="58"/>
      <c r="B52" s="6"/>
      <c r="C52" s="56"/>
      <c r="D52" s="287"/>
      <c r="E52" s="260"/>
      <c r="F52" s="261"/>
      <c r="G52" s="260"/>
      <c r="H52" s="7"/>
      <c r="I52" s="7"/>
    </row>
    <row r="53" spans="1:9" ht="21" customHeight="1">
      <c r="A53" s="58"/>
      <c r="B53" s="6"/>
      <c r="C53" s="56"/>
      <c r="D53" s="287"/>
      <c r="E53" s="260"/>
      <c r="F53" s="261"/>
      <c r="G53" s="260"/>
      <c r="H53" s="7"/>
      <c r="I53" s="7"/>
    </row>
    <row r="54" spans="1:9" ht="21" customHeight="1">
      <c r="A54" s="58"/>
      <c r="B54" s="6"/>
      <c r="C54" s="56"/>
      <c r="D54" s="287"/>
      <c r="E54" s="260"/>
      <c r="F54" s="261"/>
      <c r="G54" s="260"/>
      <c r="H54" s="7"/>
      <c r="I54" s="7"/>
    </row>
    <row r="55" spans="1:9" ht="21" customHeight="1">
      <c r="A55" s="58"/>
      <c r="B55" s="6"/>
      <c r="C55" s="56"/>
      <c r="D55" s="287"/>
      <c r="E55" s="260"/>
      <c r="F55" s="261"/>
      <c r="G55" s="260"/>
      <c r="H55" s="7"/>
      <c r="I55" s="16"/>
    </row>
    <row r="56" spans="1:9" ht="21" customHeight="1">
      <c r="A56" s="58"/>
      <c r="B56" s="6"/>
      <c r="C56" s="56"/>
      <c r="D56" s="287"/>
      <c r="E56" s="260"/>
      <c r="F56" s="261"/>
      <c r="G56" s="260"/>
      <c r="H56" s="7"/>
      <c r="I56" s="7"/>
    </row>
    <row r="57" spans="1:9" ht="21" customHeight="1">
      <c r="A57" s="58"/>
      <c r="B57" s="6"/>
      <c r="C57" s="56"/>
      <c r="D57" s="287"/>
      <c r="E57" s="260"/>
      <c r="F57" s="261"/>
      <c r="G57" s="260"/>
      <c r="H57" s="7"/>
      <c r="I57" s="7"/>
    </row>
    <row r="58" spans="1:9" ht="21" customHeight="1">
      <c r="A58" s="58"/>
      <c r="B58" s="6"/>
      <c r="C58" s="56"/>
      <c r="D58" s="287"/>
      <c r="E58" s="260"/>
      <c r="F58" s="261"/>
      <c r="G58" s="260"/>
      <c r="H58" s="7"/>
      <c r="I58" s="7"/>
    </row>
    <row r="59" spans="1:9" ht="21" customHeight="1">
      <c r="A59" s="58"/>
      <c r="B59" s="6"/>
      <c r="C59" s="56"/>
      <c r="D59" s="287"/>
      <c r="E59" s="260"/>
      <c r="F59" s="261"/>
      <c r="G59" s="260"/>
      <c r="H59" s="7"/>
      <c r="I59" s="7"/>
    </row>
    <row r="60" spans="1:9" ht="21" customHeight="1">
      <c r="A60" s="58"/>
      <c r="B60" s="6"/>
      <c r="C60" s="57"/>
      <c r="D60" s="287"/>
      <c r="E60" s="260"/>
      <c r="F60" s="261"/>
      <c r="G60" s="260"/>
      <c r="H60" s="7"/>
      <c r="I60" s="7"/>
    </row>
    <row r="61" spans="1:9" ht="21" customHeight="1">
      <c r="A61" s="58"/>
      <c r="B61" s="6"/>
      <c r="C61" s="56"/>
      <c r="D61" s="287"/>
      <c r="E61" s="260"/>
      <c r="F61" s="261"/>
      <c r="G61" s="260"/>
      <c r="H61" s="7"/>
      <c r="I61" s="7"/>
    </row>
    <row r="62" spans="1:9" ht="21" customHeight="1">
      <c r="A62" s="58"/>
      <c r="B62" s="6"/>
      <c r="C62" s="56"/>
      <c r="D62" s="287"/>
      <c r="E62" s="260"/>
      <c r="F62" s="261"/>
      <c r="G62" s="260"/>
      <c r="H62" s="7"/>
      <c r="I62" s="7"/>
    </row>
    <row r="63" spans="1:9" ht="21" customHeight="1">
      <c r="A63" s="58"/>
      <c r="B63" s="6"/>
      <c r="C63" s="56"/>
      <c r="D63" s="287"/>
      <c r="E63" s="260"/>
      <c r="F63" s="261"/>
      <c r="G63" s="260"/>
      <c r="H63" s="7"/>
      <c r="I63" s="7"/>
    </row>
    <row r="64" spans="1:9" ht="21" customHeight="1">
      <c r="A64" s="58"/>
      <c r="B64" s="6"/>
      <c r="C64" s="56"/>
      <c r="D64" s="287"/>
      <c r="E64" s="260"/>
      <c r="F64" s="261"/>
      <c r="G64" s="260"/>
      <c r="H64" s="7"/>
      <c r="I64" s="7"/>
    </row>
    <row r="65" spans="1:9" ht="21" customHeight="1">
      <c r="A65" s="58"/>
      <c r="B65" s="6"/>
      <c r="C65" s="56"/>
      <c r="D65" s="287"/>
      <c r="E65" s="260"/>
      <c r="F65" s="261"/>
      <c r="G65" s="260"/>
      <c r="H65" s="7"/>
      <c r="I65" s="7"/>
    </row>
    <row r="66" spans="1:9" ht="21" customHeight="1">
      <c r="A66" s="58"/>
      <c r="B66" s="6"/>
      <c r="C66" s="56"/>
      <c r="D66" s="287"/>
      <c r="E66" s="260"/>
      <c r="F66" s="261"/>
      <c r="G66" s="260"/>
      <c r="H66" s="7"/>
      <c r="I66" s="7"/>
    </row>
    <row r="67" spans="1:9" ht="21" customHeight="1">
      <c r="A67" s="58"/>
      <c r="B67" s="6"/>
      <c r="C67" s="56"/>
      <c r="D67" s="287"/>
      <c r="E67" s="260"/>
      <c r="F67" s="261"/>
      <c r="G67" s="260"/>
      <c r="H67" s="7"/>
      <c r="I67" s="7"/>
    </row>
    <row r="68" spans="1:9" ht="21" customHeight="1">
      <c r="A68" s="58"/>
      <c r="B68" s="6"/>
      <c r="C68" s="56"/>
      <c r="D68" s="287"/>
      <c r="E68" s="260"/>
      <c r="F68" s="261"/>
      <c r="G68" s="260"/>
      <c r="H68" s="7"/>
      <c r="I68" s="7"/>
    </row>
    <row r="69" spans="1:9" ht="21" customHeight="1">
      <c r="A69" s="58"/>
      <c r="B69" s="6"/>
      <c r="C69" s="56"/>
      <c r="D69" s="287"/>
      <c r="E69" s="260"/>
      <c r="F69" s="261"/>
      <c r="G69" s="260"/>
      <c r="H69" s="7"/>
      <c r="I69" s="7"/>
    </row>
    <row r="70" spans="1:9" ht="21" customHeight="1">
      <c r="A70" s="58"/>
      <c r="B70" s="6"/>
      <c r="C70" s="56"/>
      <c r="D70" s="287"/>
      <c r="E70" s="260"/>
      <c r="F70" s="261"/>
      <c r="G70" s="260"/>
      <c r="H70" s="7"/>
      <c r="I70" s="7"/>
    </row>
    <row r="71" spans="1:9" ht="21" customHeight="1">
      <c r="A71" s="58"/>
      <c r="B71" s="6"/>
      <c r="C71" s="56"/>
      <c r="D71" s="287"/>
      <c r="E71" s="260"/>
      <c r="F71" s="261"/>
      <c r="G71" s="260"/>
      <c r="H71" s="7"/>
      <c r="I71" s="7"/>
    </row>
    <row r="72" spans="1:9" ht="21" customHeight="1">
      <c r="A72" s="58"/>
      <c r="B72" s="6"/>
      <c r="C72" s="56"/>
      <c r="D72" s="287"/>
      <c r="E72" s="260"/>
      <c r="F72" s="261"/>
      <c r="G72" s="260"/>
      <c r="H72" s="7"/>
      <c r="I72" s="7"/>
    </row>
    <row r="73" spans="1:9" ht="21" customHeight="1">
      <c r="A73" s="58"/>
      <c r="B73" s="6"/>
      <c r="C73" s="56"/>
      <c r="D73" s="287"/>
      <c r="E73" s="260"/>
      <c r="F73" s="261"/>
      <c r="G73" s="260"/>
      <c r="H73" s="7"/>
      <c r="I73" s="7"/>
    </row>
    <row r="74" spans="1:9" ht="21" customHeight="1">
      <c r="A74" s="58"/>
      <c r="B74" s="6"/>
      <c r="C74" s="56"/>
      <c r="D74" s="287"/>
      <c r="E74" s="260"/>
      <c r="F74" s="261"/>
      <c r="G74" s="260"/>
      <c r="H74" s="7"/>
      <c r="I74" s="7"/>
    </row>
    <row r="75" spans="1:9" ht="21" customHeight="1">
      <c r="A75" s="58"/>
      <c r="B75" s="6"/>
      <c r="C75" s="56"/>
      <c r="D75" s="287"/>
      <c r="E75" s="260"/>
      <c r="F75" s="261"/>
      <c r="G75" s="260"/>
      <c r="H75" s="7"/>
      <c r="I75" s="7"/>
    </row>
    <row r="76" spans="1:9" ht="21" customHeight="1">
      <c r="A76" s="58"/>
      <c r="B76" s="6"/>
      <c r="C76" s="56"/>
      <c r="D76" s="287"/>
      <c r="E76" s="260"/>
      <c r="F76" s="261"/>
      <c r="G76" s="260"/>
      <c r="H76" s="7"/>
      <c r="I76" s="7"/>
    </row>
    <row r="77" spans="1:9" ht="21" customHeight="1">
      <c r="A77" s="58"/>
      <c r="B77" s="6"/>
      <c r="C77" s="56"/>
      <c r="D77" s="287"/>
      <c r="E77" s="260"/>
      <c r="F77" s="261"/>
      <c r="G77" s="260"/>
      <c r="H77" s="7"/>
      <c r="I77" s="7"/>
    </row>
    <row r="78" spans="1:9" ht="21" customHeight="1">
      <c r="A78" s="58"/>
      <c r="B78" s="6"/>
      <c r="C78" s="56"/>
      <c r="D78" s="287"/>
      <c r="E78" s="260"/>
      <c r="F78" s="261"/>
      <c r="G78" s="260"/>
      <c r="H78" s="7"/>
      <c r="I78" s="7"/>
    </row>
    <row r="79" spans="1:9" ht="21" customHeight="1">
      <c r="A79" s="58"/>
      <c r="B79" s="6"/>
      <c r="C79" s="56"/>
      <c r="D79" s="287"/>
      <c r="E79" s="260"/>
      <c r="F79" s="261"/>
      <c r="G79" s="260"/>
      <c r="H79" s="7"/>
      <c r="I79" s="7"/>
    </row>
    <row r="80" spans="1:9" ht="21" customHeight="1">
      <c r="A80" s="58"/>
      <c r="B80" s="6"/>
      <c r="C80" s="56"/>
      <c r="D80" s="287"/>
      <c r="E80" s="260"/>
      <c r="F80" s="261"/>
      <c r="G80" s="260"/>
      <c r="H80" s="7"/>
      <c r="I80" s="7"/>
    </row>
    <row r="81" spans="1:9" ht="21" customHeight="1">
      <c r="A81" s="58"/>
      <c r="B81" s="8"/>
      <c r="C81" s="57"/>
      <c r="D81" s="287"/>
      <c r="E81" s="260"/>
      <c r="F81" s="261"/>
      <c r="G81" s="260"/>
      <c r="H81" s="7"/>
      <c r="I81" s="7"/>
    </row>
    <row r="82" spans="1:9" ht="21" customHeight="1">
      <c r="A82" s="58"/>
      <c r="B82" s="6"/>
      <c r="C82" s="56"/>
      <c r="D82" s="287"/>
      <c r="E82" s="260"/>
      <c r="F82" s="261"/>
      <c r="G82" s="260"/>
      <c r="H82" s="7"/>
      <c r="I82" s="7"/>
    </row>
    <row r="83" spans="1:9" ht="21" customHeight="1">
      <c r="A83" s="58"/>
      <c r="B83" s="8"/>
      <c r="C83" s="57"/>
      <c r="D83" s="287"/>
      <c r="E83" s="260"/>
      <c r="F83" s="261"/>
      <c r="G83" s="260"/>
      <c r="H83" s="7"/>
      <c r="I83" s="11"/>
    </row>
    <row r="84" spans="1:9" ht="21" customHeight="1">
      <c r="A84" s="58"/>
      <c r="B84" s="6"/>
      <c r="C84" s="56"/>
      <c r="D84" s="287"/>
      <c r="E84" s="260"/>
      <c r="F84" s="261"/>
      <c r="G84" s="260"/>
      <c r="H84" s="7"/>
      <c r="I84" s="7"/>
    </row>
    <row r="85" spans="1:9" ht="21" customHeight="1">
      <c r="A85" s="58"/>
      <c r="B85" s="6"/>
      <c r="C85" s="57"/>
      <c r="D85" s="287"/>
      <c r="E85" s="260"/>
      <c r="F85" s="261"/>
      <c r="G85" s="260"/>
      <c r="H85" s="7"/>
      <c r="I85" s="7"/>
    </row>
    <row r="86" spans="1:9" ht="21" customHeight="1">
      <c r="A86" s="58"/>
      <c r="B86" s="6"/>
      <c r="C86" s="56"/>
      <c r="D86" s="287"/>
      <c r="E86" s="260"/>
      <c r="F86" s="261"/>
      <c r="G86" s="260"/>
      <c r="H86" s="7"/>
      <c r="I86" s="7"/>
    </row>
    <row r="87" spans="1:9" ht="21" customHeight="1">
      <c r="A87" s="58"/>
      <c r="B87" s="6"/>
      <c r="C87" s="56"/>
      <c r="D87" s="287"/>
      <c r="E87" s="260"/>
      <c r="F87" s="261"/>
      <c r="G87" s="260"/>
      <c r="H87" s="7"/>
      <c r="I87" s="7"/>
    </row>
    <row r="88" spans="1:9" ht="21" customHeight="1">
      <c r="A88" s="58"/>
      <c r="B88" s="6"/>
      <c r="C88" s="56"/>
      <c r="D88" s="287"/>
      <c r="E88" s="260"/>
      <c r="F88" s="261"/>
      <c r="G88" s="260"/>
      <c r="H88" s="7"/>
      <c r="I88" s="7"/>
    </row>
    <row r="89" spans="1:9" ht="21" customHeight="1">
      <c r="A89" s="58"/>
      <c r="B89" s="6"/>
      <c r="C89" s="56"/>
      <c r="D89" s="287"/>
      <c r="E89" s="260"/>
      <c r="F89" s="261"/>
      <c r="G89" s="260"/>
      <c r="H89" s="7"/>
      <c r="I89" s="7"/>
    </row>
    <row r="90" spans="1:9" ht="21" customHeight="1">
      <c r="A90" s="58"/>
      <c r="B90" s="6"/>
      <c r="C90" s="56"/>
      <c r="D90" s="287"/>
      <c r="E90" s="260"/>
      <c r="F90" s="261"/>
      <c r="G90" s="260"/>
      <c r="H90" s="7"/>
      <c r="I90" s="7"/>
    </row>
    <row r="91" spans="1:9" ht="21" customHeight="1">
      <c r="A91" s="58"/>
      <c r="B91" s="6"/>
      <c r="C91" s="56"/>
      <c r="D91" s="287"/>
      <c r="E91" s="260"/>
      <c r="F91" s="261"/>
      <c r="G91" s="260"/>
      <c r="H91" s="7"/>
      <c r="I91" s="7"/>
    </row>
    <row r="92" spans="1:9" ht="21" customHeight="1">
      <c r="A92" s="58"/>
      <c r="B92" s="6"/>
      <c r="C92" s="56"/>
      <c r="D92" s="287"/>
      <c r="E92" s="260"/>
      <c r="F92" s="261"/>
      <c r="G92" s="260"/>
      <c r="H92" s="7"/>
      <c r="I92" s="7"/>
    </row>
    <row r="93" spans="1:9" ht="21" customHeight="1">
      <c r="A93" s="58"/>
      <c r="B93" s="6"/>
      <c r="C93" s="56"/>
      <c r="D93" s="287"/>
      <c r="E93" s="260"/>
      <c r="F93" s="261"/>
      <c r="G93" s="260"/>
      <c r="H93" s="7"/>
      <c r="I93" s="7"/>
    </row>
    <row r="94" spans="1:9" ht="21" customHeight="1">
      <c r="A94" s="58"/>
      <c r="B94" s="6"/>
      <c r="C94" s="56"/>
      <c r="D94" s="287"/>
      <c r="E94" s="260"/>
      <c r="F94" s="261"/>
      <c r="G94" s="260"/>
      <c r="H94" s="7"/>
      <c r="I94" s="7"/>
    </row>
    <row r="95" spans="1:9" ht="21" customHeight="1">
      <c r="A95" s="58"/>
      <c r="B95" s="6"/>
      <c r="C95" s="56"/>
      <c r="D95" s="287"/>
      <c r="E95" s="260"/>
      <c r="F95" s="261"/>
      <c r="G95" s="260"/>
      <c r="H95" s="7"/>
      <c r="I95" s="7"/>
    </row>
    <row r="96" spans="1:9" ht="21" customHeight="1">
      <c r="A96" s="58"/>
      <c r="B96" s="6"/>
      <c r="C96" s="56"/>
      <c r="D96" s="287"/>
      <c r="E96" s="260"/>
      <c r="F96" s="261"/>
      <c r="G96" s="260"/>
      <c r="H96" s="7"/>
      <c r="I96" s="7"/>
    </row>
    <row r="97" spans="1:9" ht="21" customHeight="1">
      <c r="A97" s="58"/>
      <c r="B97" s="6"/>
      <c r="C97" s="56"/>
      <c r="D97" s="287"/>
      <c r="E97" s="260"/>
      <c r="F97" s="261"/>
      <c r="G97" s="260"/>
      <c r="H97" s="7"/>
      <c r="I97" s="7"/>
    </row>
    <row r="98" spans="1:9" ht="21" customHeight="1">
      <c r="A98" s="58"/>
      <c r="B98" s="6"/>
      <c r="C98" s="56"/>
      <c r="D98" s="287"/>
      <c r="E98" s="260"/>
      <c r="F98" s="261"/>
      <c r="G98" s="260"/>
      <c r="H98" s="7"/>
      <c r="I98" s="7"/>
    </row>
    <row r="99" spans="1:9" ht="21" customHeight="1">
      <c r="A99" s="58"/>
      <c r="B99" s="6"/>
      <c r="C99" s="56"/>
      <c r="D99" s="287"/>
      <c r="E99" s="260"/>
      <c r="F99" s="261"/>
      <c r="G99" s="260"/>
      <c r="H99" s="7"/>
      <c r="I99" s="7"/>
    </row>
    <row r="100" spans="1:9" ht="21" customHeight="1">
      <c r="A100" s="58"/>
      <c r="B100" s="6"/>
      <c r="C100" s="56"/>
      <c r="D100" s="287"/>
      <c r="E100" s="260"/>
      <c r="F100" s="261"/>
      <c r="G100" s="260"/>
      <c r="H100" s="7"/>
      <c r="I100" s="7"/>
    </row>
    <row r="101" spans="1:9" ht="21" customHeight="1">
      <c r="A101" s="58"/>
      <c r="B101" s="6"/>
      <c r="C101" s="56"/>
      <c r="D101" s="287"/>
      <c r="E101" s="260"/>
      <c r="F101" s="261"/>
      <c r="G101" s="260"/>
      <c r="H101" s="7"/>
      <c r="I101" s="7"/>
    </row>
    <row r="102" spans="1:9" ht="21" customHeight="1">
      <c r="A102" s="58"/>
      <c r="B102" s="6"/>
      <c r="C102" s="57"/>
      <c r="D102" s="287"/>
      <c r="E102" s="260"/>
      <c r="F102" s="261"/>
      <c r="G102" s="260"/>
      <c r="H102" s="7"/>
      <c r="I102" s="7"/>
    </row>
    <row r="103" spans="1:9" ht="21" customHeight="1">
      <c r="A103" s="58"/>
      <c r="B103" s="6"/>
      <c r="C103" s="56"/>
      <c r="D103" s="287"/>
      <c r="E103" s="260"/>
      <c r="F103" s="261"/>
      <c r="G103" s="260"/>
      <c r="H103" s="7"/>
      <c r="I103" s="7"/>
    </row>
  </sheetData>
  <mergeCells count="206"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D18:E18"/>
    <mergeCell ref="D58:E5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24:G24"/>
    <mergeCell ref="F12:G12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53:G53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9"/>
  <dimension ref="A1:O99"/>
  <sheetViews>
    <sheetView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1112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1113</v>
      </c>
      <c r="C3" s="263"/>
      <c r="D3" s="260"/>
      <c r="E3" s="266" t="s">
        <v>11</v>
      </c>
      <c r="F3" s="263"/>
      <c r="G3" s="260"/>
      <c r="H3" s="268" t="s">
        <v>960</v>
      </c>
      <c r="I3" s="269"/>
      <c r="J3" s="19" t="str">
        <f>B3</f>
        <v xml:space="preserve">Dalmadorm 15mg </v>
      </c>
      <c r="K3" s="34" t="s">
        <v>1114</v>
      </c>
      <c r="L3" s="5">
        <f>H7</f>
        <v>0</v>
      </c>
      <c r="M3" s="3">
        <f>SUM(C$8:C$1048576)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1115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104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33" t="s">
        <v>29</v>
      </c>
      <c r="B7" s="140" t="s">
        <v>5</v>
      </c>
      <c r="C7" s="140">
        <v>0</v>
      </c>
      <c r="D7" s="289"/>
      <c r="E7" s="260"/>
      <c r="F7" s="289"/>
      <c r="G7" s="260"/>
      <c r="H7" s="140">
        <v>0</v>
      </c>
      <c r="I7" s="202"/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92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92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92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92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92"/>
      <c r="J12" s="12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92"/>
      <c r="J13" s="12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92"/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92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92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92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92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92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124"/>
      <c r="J20" s="12"/>
    </row>
    <row r="21" spans="1:10" ht="26.7" customHeight="1">
      <c r="A21" s="39"/>
      <c r="B21" s="38"/>
      <c r="C21" s="93"/>
      <c r="D21" s="294"/>
      <c r="E21" s="260"/>
      <c r="F21" s="294"/>
      <c r="G21" s="260"/>
      <c r="H21" s="93"/>
      <c r="I21" s="26"/>
      <c r="J21" s="12"/>
    </row>
    <row r="22" spans="1:10" ht="26.7" customHeight="1">
      <c r="A22" s="39"/>
      <c r="B22" s="38"/>
      <c r="C22" s="93"/>
      <c r="D22" s="294"/>
      <c r="E22" s="260"/>
      <c r="F22" s="294"/>
      <c r="G22" s="260"/>
      <c r="H22" s="93"/>
      <c r="I22" s="26"/>
      <c r="J22" s="12"/>
    </row>
    <row r="23" spans="1:10" ht="26.7" customHeight="1">
      <c r="A23" s="39"/>
      <c r="B23" s="38"/>
      <c r="C23" s="93"/>
      <c r="D23" s="294"/>
      <c r="E23" s="260"/>
      <c r="F23" s="294"/>
      <c r="G23" s="260"/>
      <c r="H23" s="93"/>
      <c r="I23" s="26"/>
      <c r="J23" s="12"/>
    </row>
    <row r="24" spans="1:10" ht="26.7" customHeight="1">
      <c r="A24" s="39"/>
      <c r="B24" s="38"/>
      <c r="C24" s="93"/>
      <c r="D24" s="294"/>
      <c r="E24" s="260"/>
      <c r="F24" s="294"/>
      <c r="G24" s="260"/>
      <c r="H24" s="93"/>
      <c r="I24" s="26"/>
      <c r="J24" s="12"/>
    </row>
    <row r="25" spans="1:10" ht="26.7" customHeight="1">
      <c r="A25" s="39"/>
      <c r="B25" s="38"/>
      <c r="C25" s="93"/>
      <c r="D25" s="294"/>
      <c r="E25" s="260"/>
      <c r="F25" s="294"/>
      <c r="G25" s="260"/>
      <c r="H25" s="93"/>
      <c r="I25" s="26"/>
      <c r="J25" s="12"/>
    </row>
    <row r="26" spans="1:10" ht="26.7" customHeight="1" thickBot="1">
      <c r="A26" s="39"/>
      <c r="B26" s="54"/>
      <c r="C26" s="125"/>
      <c r="D26" s="322"/>
      <c r="E26" s="265"/>
      <c r="F26" s="322"/>
      <c r="G26" s="265"/>
      <c r="H26" s="125"/>
      <c r="I26" s="32"/>
      <c r="J26" s="12"/>
    </row>
    <row r="27" spans="1:10" ht="21" customHeight="1">
      <c r="A27" s="39"/>
      <c r="B27" s="55"/>
      <c r="C27" s="126"/>
      <c r="D27" s="323"/>
      <c r="E27" s="277"/>
      <c r="F27" s="323"/>
      <c r="G27" s="277"/>
      <c r="H27" s="126"/>
      <c r="I27" s="22"/>
      <c r="J27" s="3"/>
    </row>
    <row r="28" spans="1:10" ht="21" customHeight="1">
      <c r="A28" s="39"/>
      <c r="B28" s="38"/>
      <c r="C28" s="93"/>
      <c r="D28" s="294"/>
      <c r="E28" s="260"/>
      <c r="F28" s="294"/>
      <c r="G28" s="260"/>
      <c r="H28" s="93"/>
      <c r="I28" s="7"/>
    </row>
    <row r="29" spans="1:10" ht="21" customHeight="1">
      <c r="A29" s="39"/>
      <c r="B29" s="38"/>
      <c r="C29" s="93"/>
      <c r="D29" s="294"/>
      <c r="E29" s="260"/>
      <c r="F29" s="294"/>
      <c r="G29" s="260"/>
      <c r="H29" s="93"/>
      <c r="I29" s="16"/>
    </row>
    <row r="30" spans="1:10" ht="21" customHeight="1">
      <c r="A30" s="39"/>
      <c r="B30" s="38"/>
      <c r="C30" s="93"/>
      <c r="D30" s="294"/>
      <c r="E30" s="260"/>
      <c r="F30" s="294"/>
      <c r="G30" s="260"/>
      <c r="H30" s="93"/>
      <c r="I30" s="7"/>
    </row>
    <row r="31" spans="1:10" ht="21" customHeight="1">
      <c r="A31" s="39"/>
      <c r="B31" s="38"/>
      <c r="C31" s="93"/>
      <c r="D31" s="294"/>
      <c r="E31" s="260"/>
      <c r="F31" s="294"/>
      <c r="G31" s="260"/>
      <c r="H31" s="93"/>
      <c r="I31" s="7"/>
    </row>
    <row r="32" spans="1:10" ht="21" customHeight="1">
      <c r="A32" s="39"/>
      <c r="B32" s="38"/>
      <c r="C32" s="56"/>
      <c r="D32" s="294"/>
      <c r="E32" s="260"/>
      <c r="F32" s="294"/>
      <c r="G32" s="260"/>
      <c r="H32" s="93"/>
      <c r="I32" s="16"/>
    </row>
    <row r="33" spans="1:9" ht="21" customHeight="1">
      <c r="A33" s="39"/>
      <c r="B33" s="110"/>
      <c r="C33" s="3"/>
      <c r="D33" s="259"/>
      <c r="E33" s="260"/>
      <c r="F33" s="261"/>
      <c r="G33" s="260"/>
      <c r="H33" s="7"/>
      <c r="I33" s="7"/>
    </row>
    <row r="34" spans="1:9" ht="21" customHeight="1">
      <c r="A34" s="39"/>
      <c r="B34" s="110"/>
      <c r="C34" s="3"/>
      <c r="D34" s="259"/>
      <c r="E34" s="260"/>
      <c r="F34" s="261"/>
      <c r="G34" s="260"/>
      <c r="H34" s="7"/>
      <c r="I34" s="7"/>
    </row>
    <row r="35" spans="1:9" ht="21" customHeight="1">
      <c r="A35" s="39"/>
      <c r="B35" s="110"/>
      <c r="C35" s="3"/>
      <c r="D35" s="259"/>
      <c r="E35" s="260"/>
      <c r="F35" s="261"/>
      <c r="G35" s="260"/>
      <c r="H35" s="7"/>
      <c r="I35" s="7"/>
    </row>
    <row r="36" spans="1:9" ht="21" customHeight="1">
      <c r="A36" s="39"/>
      <c r="B36" s="110"/>
      <c r="C36" s="3"/>
      <c r="D36" s="259"/>
      <c r="E36" s="260"/>
      <c r="F36" s="261"/>
      <c r="G36" s="260"/>
      <c r="H36" s="7"/>
      <c r="I36" s="7"/>
    </row>
    <row r="37" spans="1:9" ht="21" customHeight="1">
      <c r="A37" s="39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39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39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39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39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39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39"/>
      <c r="B43" s="6"/>
      <c r="C43" s="10"/>
      <c r="D43" s="259"/>
      <c r="E43" s="260"/>
      <c r="F43" s="261"/>
      <c r="G43" s="260"/>
      <c r="H43" s="7"/>
      <c r="I43" s="7"/>
    </row>
    <row r="44" spans="1:9" ht="21" customHeight="1">
      <c r="A44" s="39"/>
      <c r="B44" s="8"/>
      <c r="C44" s="10"/>
      <c r="D44" s="259"/>
      <c r="E44" s="260"/>
      <c r="F44" s="261"/>
      <c r="G44" s="260"/>
      <c r="H44" s="7"/>
      <c r="I44" s="11"/>
    </row>
    <row r="45" spans="1:9" ht="21" customHeight="1">
      <c r="A45" s="39"/>
      <c r="B45" s="6"/>
      <c r="C45" s="9"/>
      <c r="D45" s="259"/>
      <c r="E45" s="260"/>
      <c r="F45" s="261"/>
      <c r="G45" s="260"/>
      <c r="H45" s="7"/>
      <c r="I45" s="7"/>
    </row>
    <row r="46" spans="1:9" ht="21" customHeight="1">
      <c r="A46" s="39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39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39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39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39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39"/>
      <c r="B51" s="6"/>
      <c r="C51" s="3"/>
      <c r="D51" s="259"/>
      <c r="E51" s="260"/>
      <c r="F51" s="261"/>
      <c r="G51" s="260"/>
      <c r="H51" s="7"/>
      <c r="I51" s="16"/>
    </row>
    <row r="52" spans="1:9" ht="21" customHeight="1">
      <c r="A52" s="39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39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39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39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39"/>
      <c r="B56" s="6"/>
      <c r="C56" s="9"/>
      <c r="D56" s="259"/>
      <c r="E56" s="260"/>
      <c r="F56" s="261"/>
      <c r="G56" s="260"/>
      <c r="H56" s="7"/>
      <c r="I56" s="7"/>
    </row>
    <row r="57" spans="1:9" ht="21" customHeight="1">
      <c r="A57" s="39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39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39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39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39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39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39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39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39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39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39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39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39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8"/>
      <c r="C77" s="9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8"/>
      <c r="C79" s="9"/>
      <c r="D79" s="259"/>
      <c r="E79" s="260"/>
      <c r="F79" s="261"/>
      <c r="G79" s="260"/>
      <c r="H79" s="7"/>
      <c r="I79" s="11"/>
    </row>
    <row r="80" spans="1:9" ht="21" customHeight="1">
      <c r="A80" s="15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5"/>
      <c r="B81" s="6"/>
      <c r="C81" s="9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9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</sheetData>
  <mergeCells count="198"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D18:E18"/>
    <mergeCell ref="D58:E5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12:G12"/>
    <mergeCell ref="F24:G24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53:G53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96:E96"/>
    <mergeCell ref="F7:G7"/>
    <mergeCell ref="F21:G21"/>
    <mergeCell ref="D52:E52"/>
    <mergeCell ref="D49:E49"/>
    <mergeCell ref="D27:E27"/>
    <mergeCell ref="F36:G36"/>
    <mergeCell ref="F50:G50"/>
    <mergeCell ref="D17:E17"/>
    <mergeCell ref="D91:E91"/>
    <mergeCell ref="F8:G8"/>
    <mergeCell ref="F91:G91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44:G44"/>
    <mergeCell ref="A5:B5"/>
    <mergeCell ref="F49:G49"/>
    <mergeCell ref="D14:E14"/>
    <mergeCell ref="E4:G4"/>
    <mergeCell ref="F14:G14"/>
    <mergeCell ref="D54:E54"/>
    <mergeCell ref="D99:E99"/>
    <mergeCell ref="F63:G63"/>
    <mergeCell ref="F99:G99"/>
    <mergeCell ref="F6:G6"/>
    <mergeCell ref="F74:G74"/>
    <mergeCell ref="F83:G83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66:G66"/>
    <mergeCell ref="F17:G17"/>
    <mergeCell ref="D75:E75"/>
    <mergeCell ref="D53:E53"/>
    <mergeCell ref="F75:G75"/>
    <mergeCell ref="D47:E47"/>
    <mergeCell ref="D98:E98"/>
    <mergeCell ref="D73:E73"/>
    <mergeCell ref="D51:E51"/>
    <mergeCell ref="F98:G98"/>
    <mergeCell ref="D88:E88"/>
    <mergeCell ref="D26:E26"/>
    <mergeCell ref="F57:G57"/>
    <mergeCell ref="F88:G88"/>
    <mergeCell ref="D35:E35"/>
    <mergeCell ref="F54:G54"/>
    <mergeCell ref="D34:E34"/>
    <mergeCell ref="F34:G34"/>
    <mergeCell ref="D90:E90"/>
    <mergeCell ref="F47:G47"/>
    <mergeCell ref="F62:G62"/>
    <mergeCell ref="D37:E37"/>
    <mergeCell ref="F31:G31"/>
    <mergeCell ref="F46:G46"/>
    <mergeCell ref="F28:G28"/>
    <mergeCell ref="D89:E89"/>
    <mergeCell ref="D79:E79"/>
    <mergeCell ref="F64:G64"/>
    <mergeCell ref="F73:G73"/>
    <mergeCell ref="F87:G87"/>
    <mergeCell ref="B4:D4"/>
    <mergeCell ref="F23:G23"/>
    <mergeCell ref="F81:G81"/>
    <mergeCell ref="D62:E62"/>
    <mergeCell ref="F13:G13"/>
    <mergeCell ref="D56:E56"/>
    <mergeCell ref="D71:E71"/>
    <mergeCell ref="F56:G56"/>
    <mergeCell ref="F96:G96"/>
    <mergeCell ref="F71:G71"/>
    <mergeCell ref="F43:G43"/>
    <mergeCell ref="D24:E24"/>
    <mergeCell ref="D64:E64"/>
    <mergeCell ref="D33:E33"/>
    <mergeCell ref="D10:E10"/>
    <mergeCell ref="F10:G10"/>
    <mergeCell ref="D19:E19"/>
    <mergeCell ref="F19:G19"/>
    <mergeCell ref="D9:E9"/>
    <mergeCell ref="F9:G9"/>
    <mergeCell ref="D63:E63"/>
    <mergeCell ref="D81:E81"/>
    <mergeCell ref="F89:G89"/>
    <mergeCell ref="D65:E65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D67:E67"/>
    <mergeCell ref="D85:E85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0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1116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1117</v>
      </c>
      <c r="C3" s="263"/>
      <c r="D3" s="260"/>
      <c r="E3" s="266" t="s">
        <v>11</v>
      </c>
      <c r="F3" s="263"/>
      <c r="G3" s="260"/>
      <c r="H3" s="268" t="s">
        <v>1118</v>
      </c>
      <c r="I3" s="269"/>
      <c r="J3" s="19" t="str">
        <f>B3</f>
        <v xml:space="preserve">Muaction S.R 100mg </v>
      </c>
      <c r="K3" s="34" t="s">
        <v>1119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9.2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1120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190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1"/>
  <dimension ref="A1:O94"/>
  <sheetViews>
    <sheetView topLeftCell="A7" workbookViewId="0">
      <selection activeCell="I17" sqref="I17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1121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1122</v>
      </c>
      <c r="C3" s="263"/>
      <c r="D3" s="260"/>
      <c r="E3" s="266" t="s">
        <v>11</v>
      </c>
      <c r="F3" s="263"/>
      <c r="G3" s="260"/>
      <c r="H3" s="268" t="s">
        <v>1123</v>
      </c>
      <c r="I3" s="269"/>
      <c r="J3" s="19" t="str">
        <f>B3</f>
        <v>Dormicum 7.5mg</v>
      </c>
      <c r="K3" s="34" t="s">
        <v>1124</v>
      </c>
      <c r="L3" s="5">
        <f>H7</f>
        <v>41</v>
      </c>
      <c r="M3" s="3">
        <f>SUM(C$8:C$1048576)</f>
        <v>800</v>
      </c>
      <c r="N3" s="3">
        <f>SUM(F:F)</f>
        <v>280</v>
      </c>
      <c r="O3" s="3">
        <f>L3+M3-N3</f>
        <v>561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619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117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41</v>
      </c>
      <c r="D7" s="280"/>
      <c r="E7" s="260"/>
      <c r="F7" s="280"/>
      <c r="G7" s="260"/>
      <c r="H7" s="155">
        <v>41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463</v>
      </c>
      <c r="B8" s="38" t="s">
        <v>323</v>
      </c>
      <c r="C8" s="38"/>
      <c r="D8" s="279"/>
      <c r="E8" s="260"/>
      <c r="F8" s="279">
        <v>56</v>
      </c>
      <c r="G8" s="260"/>
      <c r="H8" s="38">
        <f>H7-F8</f>
        <v>-15</v>
      </c>
      <c r="I8" s="92"/>
      <c r="J8" s="12"/>
    </row>
    <row r="9" spans="1:15" ht="26.7" customHeight="1">
      <c r="A9" s="41" t="s">
        <v>382</v>
      </c>
      <c r="B9" s="38" t="s">
        <v>324</v>
      </c>
      <c r="C9" s="38">
        <v>100</v>
      </c>
      <c r="D9" s="279" t="s">
        <v>1125</v>
      </c>
      <c r="E9" s="260"/>
      <c r="F9" s="279"/>
      <c r="G9" s="260"/>
      <c r="H9" s="38">
        <v>85</v>
      </c>
      <c r="I9" s="108" t="s">
        <v>437</v>
      </c>
      <c r="J9" s="12"/>
    </row>
    <row r="10" spans="1:15" ht="26.7" customHeight="1">
      <c r="A10" s="41" t="s">
        <v>477</v>
      </c>
      <c r="B10" s="38" t="s">
        <v>323</v>
      </c>
      <c r="C10" s="38"/>
      <c r="D10" s="279"/>
      <c r="E10" s="260"/>
      <c r="F10" s="279">
        <v>56</v>
      </c>
      <c r="G10" s="260"/>
      <c r="H10" s="38">
        <f>H9-F10</f>
        <v>29</v>
      </c>
      <c r="I10" s="108"/>
      <c r="J10" s="12"/>
    </row>
    <row r="11" spans="1:15" ht="26.7" customHeight="1">
      <c r="A11" s="39" t="s">
        <v>477</v>
      </c>
      <c r="B11" s="38" t="s">
        <v>324</v>
      </c>
      <c r="C11" s="38">
        <v>100</v>
      </c>
      <c r="D11" s="279" t="s">
        <v>1126</v>
      </c>
      <c r="E11" s="260"/>
      <c r="F11" s="279"/>
      <c r="G11" s="260"/>
      <c r="H11" s="38">
        <v>129</v>
      </c>
      <c r="I11" s="108" t="s">
        <v>437</v>
      </c>
      <c r="J11" s="12"/>
    </row>
    <row r="12" spans="1:15" ht="26.7" customHeight="1">
      <c r="A12" s="39" t="s">
        <v>533</v>
      </c>
      <c r="B12" s="38" t="s">
        <v>323</v>
      </c>
      <c r="C12" s="38"/>
      <c r="D12" s="279"/>
      <c r="E12" s="260"/>
      <c r="F12" s="279">
        <v>28</v>
      </c>
      <c r="G12" s="260"/>
      <c r="H12" s="38">
        <f>H11-F12</f>
        <v>101</v>
      </c>
      <c r="I12" s="92"/>
      <c r="J12" s="12"/>
    </row>
    <row r="13" spans="1:15" ht="26.7" customHeight="1">
      <c r="A13" s="39" t="s">
        <v>441</v>
      </c>
      <c r="B13" s="38" t="s">
        <v>323</v>
      </c>
      <c r="C13" s="38"/>
      <c r="D13" s="279"/>
      <c r="E13" s="260"/>
      <c r="F13" s="279">
        <v>56</v>
      </c>
      <c r="G13" s="260"/>
      <c r="H13" s="38">
        <f>H12-F13</f>
        <v>45</v>
      </c>
      <c r="I13" s="92" t="s">
        <v>437</v>
      </c>
      <c r="J13" s="12"/>
    </row>
    <row r="14" spans="1:15" ht="26.7" customHeight="1">
      <c r="A14" s="39" t="s">
        <v>358</v>
      </c>
      <c r="B14" s="38" t="s">
        <v>323</v>
      </c>
      <c r="C14" s="38"/>
      <c r="D14" s="279"/>
      <c r="E14" s="260"/>
      <c r="F14" s="279">
        <v>56</v>
      </c>
      <c r="G14" s="260"/>
      <c r="H14" s="38">
        <f>H13-F14</f>
        <v>-11</v>
      </c>
      <c r="I14" s="92"/>
      <c r="J14" s="12"/>
    </row>
    <row r="15" spans="1:15" ht="26.7" customHeight="1">
      <c r="A15" s="39" t="s">
        <v>399</v>
      </c>
      <c r="B15" s="38" t="s">
        <v>324</v>
      </c>
      <c r="C15" s="38">
        <v>100</v>
      </c>
      <c r="D15" s="279" t="s">
        <v>1127</v>
      </c>
      <c r="E15" s="260"/>
      <c r="F15" s="279"/>
      <c r="G15" s="260"/>
      <c r="H15" s="38">
        <v>89</v>
      </c>
      <c r="I15" s="92" t="s">
        <v>437</v>
      </c>
      <c r="J15" s="12"/>
    </row>
    <row r="16" spans="1:15" ht="26.7" customHeight="1">
      <c r="A16" s="39" t="s">
        <v>400</v>
      </c>
      <c r="B16" s="38" t="s">
        <v>323</v>
      </c>
      <c r="C16" s="38"/>
      <c r="D16" s="279"/>
      <c r="E16" s="260"/>
      <c r="F16" s="279">
        <v>28</v>
      </c>
      <c r="G16" s="260"/>
      <c r="H16" s="38">
        <f>H15-F16</f>
        <v>61</v>
      </c>
      <c r="I16" s="92"/>
      <c r="J16" s="12"/>
    </row>
    <row r="17" spans="1:10" ht="26.7" customHeight="1">
      <c r="A17" s="39" t="s">
        <v>369</v>
      </c>
      <c r="B17" s="38" t="s">
        <v>324</v>
      </c>
      <c r="C17" s="38">
        <v>500</v>
      </c>
      <c r="D17" s="279" t="s">
        <v>1128</v>
      </c>
      <c r="E17" s="260"/>
      <c r="F17" s="279"/>
      <c r="G17" s="260"/>
      <c r="H17" s="38">
        <v>561</v>
      </c>
      <c r="I17" s="92" t="s">
        <v>649</v>
      </c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92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92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92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92"/>
      <c r="J21" s="12"/>
    </row>
    <row r="22" spans="1:10">
      <c r="A22" s="39"/>
      <c r="B22" s="38"/>
      <c r="C22" s="38"/>
      <c r="D22" s="279"/>
      <c r="E22" s="260"/>
      <c r="F22" s="279"/>
      <c r="G22" s="260"/>
      <c r="H22" s="38"/>
      <c r="I22" s="92"/>
      <c r="J22" s="3"/>
    </row>
    <row r="23" spans="1:10">
      <c r="A23" s="39"/>
      <c r="B23" s="38"/>
      <c r="C23" s="38"/>
      <c r="D23" s="279"/>
      <c r="E23" s="260"/>
      <c r="F23" s="279"/>
      <c r="G23" s="260"/>
      <c r="H23" s="38"/>
      <c r="I23" s="92"/>
    </row>
    <row r="24" spans="1:10">
      <c r="A24" s="39"/>
      <c r="B24" s="38"/>
      <c r="C24" s="38"/>
      <c r="D24" s="279"/>
      <c r="E24" s="260"/>
      <c r="F24" s="279"/>
      <c r="G24" s="260"/>
      <c r="H24" s="38"/>
      <c r="I24" s="92"/>
    </row>
    <row r="25" spans="1:10">
      <c r="A25" s="39"/>
      <c r="B25" s="38"/>
      <c r="C25" s="38"/>
      <c r="D25" s="279"/>
      <c r="E25" s="260"/>
      <c r="F25" s="279"/>
      <c r="G25" s="260"/>
      <c r="H25" s="38"/>
      <c r="I25" s="92"/>
    </row>
    <row r="26" spans="1:10">
      <c r="A26" s="39"/>
      <c r="B26" s="38"/>
      <c r="C26" s="38"/>
      <c r="D26" s="279"/>
      <c r="E26" s="260"/>
      <c r="F26" s="279"/>
      <c r="G26" s="260"/>
      <c r="H26" s="38"/>
      <c r="I26" s="92"/>
    </row>
    <row r="27" spans="1:10">
      <c r="A27" s="39"/>
      <c r="B27" s="38"/>
      <c r="C27" s="38"/>
      <c r="D27" s="279"/>
      <c r="E27" s="260"/>
      <c r="F27" s="279"/>
      <c r="G27" s="260"/>
      <c r="H27" s="38"/>
      <c r="I27" s="92"/>
    </row>
    <row r="28" spans="1:10">
      <c r="A28" s="39"/>
      <c r="B28" s="38"/>
      <c r="C28" s="38"/>
      <c r="D28" s="279"/>
      <c r="E28" s="260"/>
      <c r="F28" s="279"/>
      <c r="G28" s="260"/>
      <c r="H28" s="38"/>
      <c r="I28" s="92"/>
    </row>
    <row r="29" spans="1:10">
      <c r="A29" s="39"/>
      <c r="B29" s="38"/>
      <c r="C29" s="38"/>
      <c r="D29" s="279"/>
      <c r="E29" s="260"/>
      <c r="F29" s="279"/>
      <c r="G29" s="260"/>
      <c r="H29" s="38"/>
      <c r="I29" s="92"/>
    </row>
    <row r="30" spans="1:10">
      <c r="A30" s="39"/>
      <c r="B30" s="38"/>
      <c r="C30" s="38"/>
      <c r="D30" s="279"/>
      <c r="E30" s="260"/>
      <c r="F30" s="279"/>
      <c r="G30" s="260"/>
      <c r="H30" s="38"/>
      <c r="I30" s="92"/>
    </row>
    <row r="31" spans="1:10">
      <c r="A31" s="39"/>
      <c r="B31" s="38"/>
      <c r="C31" s="38"/>
      <c r="D31" s="279"/>
      <c r="E31" s="260"/>
      <c r="F31" s="279"/>
      <c r="G31" s="260"/>
      <c r="H31" s="38"/>
      <c r="I31" s="92"/>
    </row>
    <row r="32" spans="1:10">
      <c r="A32" s="39"/>
      <c r="B32" s="38"/>
      <c r="C32" s="38"/>
      <c r="D32" s="279"/>
      <c r="E32" s="260"/>
      <c r="F32" s="279"/>
      <c r="G32" s="260"/>
      <c r="H32" s="38"/>
      <c r="I32" s="92"/>
    </row>
    <row r="33" spans="1:9">
      <c r="A33" s="39"/>
      <c r="B33" s="38"/>
      <c r="C33" s="38"/>
      <c r="D33" s="279"/>
      <c r="E33" s="260"/>
      <c r="F33" s="279"/>
      <c r="G33" s="260"/>
      <c r="H33" s="38"/>
      <c r="I33" s="92"/>
    </row>
    <row r="34" spans="1:9">
      <c r="A34" s="39"/>
      <c r="B34" s="38"/>
      <c r="C34" s="38"/>
      <c r="D34" s="279"/>
      <c r="E34" s="260"/>
      <c r="F34" s="279"/>
      <c r="G34" s="260"/>
      <c r="H34" s="38"/>
      <c r="I34" s="92"/>
    </row>
    <row r="35" spans="1:9">
      <c r="A35" s="39"/>
      <c r="B35" s="38"/>
      <c r="C35" s="38"/>
      <c r="D35" s="279"/>
      <c r="E35" s="260"/>
      <c r="F35" s="279"/>
      <c r="G35" s="260"/>
      <c r="H35" s="38"/>
      <c r="I35" s="92"/>
    </row>
    <row r="36" spans="1:9">
      <c r="A36" s="39"/>
      <c r="B36" s="38"/>
      <c r="C36" s="38"/>
      <c r="D36" s="279"/>
      <c r="E36" s="260"/>
      <c r="F36" s="279"/>
      <c r="G36" s="260"/>
      <c r="H36" s="38"/>
      <c r="I36" s="92"/>
    </row>
    <row r="37" spans="1:9">
      <c r="A37" s="39"/>
      <c r="B37" s="38"/>
      <c r="C37" s="38"/>
      <c r="D37" s="279"/>
      <c r="E37" s="260"/>
      <c r="F37" s="279"/>
      <c r="G37" s="260"/>
      <c r="H37" s="38"/>
      <c r="I37" s="92"/>
    </row>
    <row r="38" spans="1:9">
      <c r="A38" s="39"/>
      <c r="B38" s="38"/>
      <c r="C38" s="38"/>
      <c r="D38" s="279"/>
      <c r="E38" s="260"/>
      <c r="F38" s="279"/>
      <c r="G38" s="260"/>
      <c r="H38" s="38"/>
      <c r="I38" s="92"/>
    </row>
    <row r="39" spans="1:9">
      <c r="A39" s="39"/>
      <c r="B39" s="38"/>
      <c r="C39" s="38"/>
      <c r="D39" s="279"/>
      <c r="E39" s="260"/>
      <c r="F39" s="279"/>
      <c r="G39" s="260"/>
      <c r="H39" s="38"/>
      <c r="I39" s="92"/>
    </row>
    <row r="40" spans="1:9">
      <c r="A40" s="39"/>
      <c r="B40" s="38"/>
      <c r="C40" s="38"/>
      <c r="D40" s="279"/>
      <c r="E40" s="260"/>
      <c r="F40" s="279"/>
      <c r="G40" s="260"/>
      <c r="H40" s="38"/>
      <c r="I40" s="92"/>
    </row>
    <row r="41" spans="1:9">
      <c r="A41" s="39"/>
      <c r="B41" s="38"/>
      <c r="C41" s="38"/>
      <c r="D41" s="279"/>
      <c r="E41" s="260"/>
      <c r="F41" s="279"/>
      <c r="G41" s="260"/>
      <c r="H41" s="38"/>
      <c r="I41" s="92"/>
    </row>
    <row r="42" spans="1:9">
      <c r="A42" s="39"/>
      <c r="B42" s="38"/>
      <c r="C42" s="38"/>
      <c r="D42" s="279"/>
      <c r="E42" s="260"/>
      <c r="F42" s="279"/>
      <c r="G42" s="260"/>
      <c r="H42" s="38"/>
      <c r="I42" s="92"/>
    </row>
    <row r="43" spans="1:9">
      <c r="A43" s="39"/>
      <c r="B43" s="38"/>
      <c r="C43" s="38"/>
      <c r="D43" s="279"/>
      <c r="E43" s="260"/>
      <c r="F43" s="279"/>
      <c r="G43" s="260"/>
      <c r="H43" s="38"/>
      <c r="I43" s="92"/>
    </row>
    <row r="44" spans="1:9">
      <c r="A44" s="39"/>
      <c r="B44" s="38"/>
      <c r="C44" s="38"/>
      <c r="D44" s="279"/>
      <c r="E44" s="260"/>
      <c r="F44" s="279"/>
      <c r="G44" s="260"/>
      <c r="H44" s="38"/>
      <c r="I44" s="92"/>
    </row>
    <row r="45" spans="1:9">
      <c r="A45" s="39"/>
      <c r="B45" s="38"/>
      <c r="C45" s="38"/>
      <c r="D45" s="279"/>
      <c r="E45" s="260"/>
      <c r="F45" s="279"/>
      <c r="G45" s="260"/>
      <c r="H45" s="38"/>
      <c r="I45" s="92"/>
    </row>
    <row r="46" spans="1:9">
      <c r="A46" s="39"/>
      <c r="B46" s="38"/>
      <c r="C46" s="38"/>
      <c r="D46" s="279"/>
      <c r="E46" s="260"/>
      <c r="F46" s="279"/>
      <c r="G46" s="260"/>
      <c r="H46" s="38"/>
      <c r="I46" s="92"/>
    </row>
    <row r="47" spans="1:9">
      <c r="A47" s="39"/>
      <c r="B47" s="38"/>
      <c r="C47" s="38"/>
      <c r="D47" s="279"/>
      <c r="E47" s="260"/>
      <c r="F47" s="279"/>
      <c r="G47" s="260"/>
      <c r="H47" s="38"/>
      <c r="I47" s="92"/>
    </row>
    <row r="48" spans="1:9">
      <c r="A48" s="39"/>
      <c r="B48" s="38"/>
      <c r="C48" s="38"/>
      <c r="D48" s="279"/>
      <c r="E48" s="260"/>
      <c r="F48" s="279"/>
      <c r="G48" s="260"/>
      <c r="H48" s="38"/>
      <c r="I48" s="92"/>
    </row>
    <row r="49" spans="1:9">
      <c r="A49" s="39"/>
      <c r="B49" s="38"/>
      <c r="C49" s="38"/>
      <c r="D49" s="279"/>
      <c r="E49" s="260"/>
      <c r="F49" s="279"/>
      <c r="G49" s="260"/>
      <c r="H49" s="38"/>
      <c r="I49" s="92"/>
    </row>
    <row r="50" spans="1:9">
      <c r="A50" s="39"/>
      <c r="B50" s="38"/>
      <c r="C50" s="38"/>
      <c r="D50" s="279"/>
      <c r="E50" s="260"/>
      <c r="F50" s="279"/>
      <c r="G50" s="260"/>
      <c r="H50" s="38"/>
      <c r="I50" s="92"/>
    </row>
    <row r="51" spans="1:9">
      <c r="A51" s="39"/>
      <c r="B51" s="38"/>
      <c r="C51" s="38"/>
      <c r="D51" s="279"/>
      <c r="E51" s="260"/>
      <c r="F51" s="279"/>
      <c r="G51" s="260"/>
      <c r="H51" s="38"/>
      <c r="I51" s="92"/>
    </row>
    <row r="52" spans="1:9">
      <c r="A52" s="39"/>
      <c r="B52" s="38"/>
      <c r="C52" s="38"/>
      <c r="D52" s="279"/>
      <c r="E52" s="260"/>
      <c r="F52" s="279"/>
      <c r="G52" s="260"/>
      <c r="H52" s="38"/>
      <c r="I52" s="92"/>
    </row>
    <row r="53" spans="1:9">
      <c r="A53" s="39"/>
      <c r="B53" s="38"/>
      <c r="C53" s="38"/>
      <c r="D53" s="279"/>
      <c r="E53" s="260"/>
      <c r="F53" s="279"/>
      <c r="G53" s="260"/>
      <c r="H53" s="38"/>
      <c r="I53" s="92"/>
    </row>
    <row r="54" spans="1:9">
      <c r="A54" s="39"/>
      <c r="B54" s="38"/>
      <c r="C54" s="38"/>
      <c r="D54" s="279"/>
      <c r="E54" s="260"/>
      <c r="F54" s="279"/>
      <c r="G54" s="260"/>
      <c r="H54" s="38"/>
      <c r="I54" s="92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5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8"/>
      <c r="C72" s="9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8"/>
      <c r="C74" s="9"/>
      <c r="D74" s="259"/>
      <c r="E74" s="260"/>
      <c r="F74" s="261"/>
      <c r="G74" s="260"/>
      <c r="H74" s="7"/>
      <c r="I74" s="11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9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9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</sheetData>
  <mergeCells count="188"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D44:E44"/>
    <mergeCell ref="F44:G44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F12:G12"/>
    <mergeCell ref="F24:G24"/>
    <mergeCell ref="D57:E57"/>
    <mergeCell ref="D87:E87"/>
    <mergeCell ref="F90:G90"/>
    <mergeCell ref="D58:E58"/>
    <mergeCell ref="F58:G58"/>
    <mergeCell ref="F52:G52"/>
    <mergeCell ref="F67:G67"/>
    <mergeCell ref="D74:E74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8:E68"/>
    <mergeCell ref="D82:E82"/>
    <mergeCell ref="F82:G82"/>
    <mergeCell ref="F60:G60"/>
    <mergeCell ref="D59:E59"/>
    <mergeCell ref="H3:I3"/>
    <mergeCell ref="F39:G39"/>
    <mergeCell ref="F48:G48"/>
    <mergeCell ref="D15:E15"/>
    <mergeCell ref="D29:E29"/>
    <mergeCell ref="D23:E23"/>
    <mergeCell ref="D38:E38"/>
    <mergeCell ref="A1:I1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F53:G53"/>
    <mergeCell ref="D49:E49"/>
    <mergeCell ref="D27:E27"/>
    <mergeCell ref="F36:G36"/>
    <mergeCell ref="F94:G94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39:E39"/>
    <mergeCell ref="F61:G61"/>
    <mergeCell ref="F50:G50"/>
    <mergeCell ref="D17:E17"/>
    <mergeCell ref="D91:E91"/>
    <mergeCell ref="F91:G91"/>
    <mergeCell ref="D28:E28"/>
    <mergeCell ref="D93:E93"/>
    <mergeCell ref="F22:G22"/>
    <mergeCell ref="F93:G93"/>
    <mergeCell ref="D90:E90"/>
    <mergeCell ref="F63:G63"/>
    <mergeCell ref="F34:G34"/>
    <mergeCell ref="F19:G19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9:E9"/>
    <mergeCell ref="F9:G9"/>
    <mergeCell ref="F8:G8"/>
    <mergeCell ref="D12:E12"/>
    <mergeCell ref="D83:E83"/>
    <mergeCell ref="D25:E25"/>
    <mergeCell ref="F77:G77"/>
    <mergeCell ref="D88:E88"/>
    <mergeCell ref="D26:E26"/>
    <mergeCell ref="F88:G88"/>
    <mergeCell ref="F57:G57"/>
    <mergeCell ref="D35:E35"/>
    <mergeCell ref="D10:E10"/>
    <mergeCell ref="F54:G54"/>
    <mergeCell ref="D19:E19"/>
    <mergeCell ref="F10:G10"/>
    <mergeCell ref="D34:E34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A5:B5"/>
    <mergeCell ref="E4:G4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2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1129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1130</v>
      </c>
      <c r="C3" s="263"/>
      <c r="D3" s="260"/>
      <c r="E3" s="266" t="s">
        <v>11</v>
      </c>
      <c r="F3" s="263"/>
      <c r="G3" s="260"/>
      <c r="H3" s="268" t="s">
        <v>1131</v>
      </c>
      <c r="I3" s="269"/>
      <c r="J3" s="19" t="str">
        <f>B3</f>
        <v>Taee S.C 5mg</v>
      </c>
      <c r="K3" s="34" t="s">
        <v>1132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612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246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3">
    <tabColor theme="2" tint="-0.499984740745262"/>
  </sheetPr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1133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1134</v>
      </c>
      <c r="C3" s="263"/>
      <c r="D3" s="260"/>
      <c r="E3" s="266" t="s">
        <v>11</v>
      </c>
      <c r="F3" s="263"/>
      <c r="G3" s="260"/>
      <c r="H3" s="268" t="s">
        <v>965</v>
      </c>
      <c r="I3" s="269"/>
      <c r="J3" s="19" t="str">
        <f>B3</f>
        <v>Alepam 15mg</v>
      </c>
      <c r="K3" s="34" t="s">
        <v>1135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1136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45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4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1137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1138</v>
      </c>
      <c r="C3" s="263"/>
      <c r="D3" s="260"/>
      <c r="E3" s="266" t="s">
        <v>11</v>
      </c>
      <c r="F3" s="263"/>
      <c r="G3" s="260"/>
      <c r="H3" s="268" t="s">
        <v>1139</v>
      </c>
      <c r="I3" s="269"/>
      <c r="J3" s="19" t="str">
        <f>B3</f>
        <v>Dipoxido 10mg</v>
      </c>
      <c r="K3" s="34" t="s">
        <v>1140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612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1141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5"/>
  <dimension ref="A1:O104"/>
  <sheetViews>
    <sheetView workbookViewId="0">
      <selection activeCell="I7" sqref="I7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1142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1143</v>
      </c>
      <c r="C3" s="263"/>
      <c r="D3" s="260"/>
      <c r="E3" s="266" t="s">
        <v>11</v>
      </c>
      <c r="F3" s="263"/>
      <c r="G3" s="260"/>
      <c r="H3" s="268" t="s">
        <v>617</v>
      </c>
      <c r="I3" s="269"/>
      <c r="J3" s="19" t="str">
        <f>B3</f>
        <v>Bropan 3mg</v>
      </c>
      <c r="K3" s="34" t="s">
        <v>1144</v>
      </c>
      <c r="L3" s="5">
        <f>H7</f>
        <v>60</v>
      </c>
      <c r="M3" s="3">
        <f>SUM(C:C)</f>
        <v>60</v>
      </c>
      <c r="N3" s="3">
        <f>SUM(F:F)</f>
        <v>56</v>
      </c>
      <c r="O3" s="3">
        <f>L3+M3-N3</f>
        <v>64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1145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81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38" t="s">
        <v>23</v>
      </c>
      <c r="C6" s="38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495</v>
      </c>
      <c r="B7" s="38" t="s">
        <v>1146</v>
      </c>
      <c r="C7" s="38">
        <v>60</v>
      </c>
      <c r="D7" s="279" t="s">
        <v>1147</v>
      </c>
      <c r="E7" s="260"/>
      <c r="F7" s="279"/>
      <c r="G7" s="260"/>
      <c r="H7" s="38">
        <v>60</v>
      </c>
      <c r="I7" s="37" t="s">
        <v>437</v>
      </c>
      <c r="J7" s="12"/>
      <c r="K7" s="3"/>
      <c r="L7" s="3"/>
      <c r="M7" s="3"/>
      <c r="N7" s="3"/>
      <c r="O7" s="3"/>
    </row>
    <row r="8" spans="1:15" ht="26.7" customHeight="1">
      <c r="A8" s="39" t="s">
        <v>544</v>
      </c>
      <c r="B8" s="38" t="s">
        <v>323</v>
      </c>
      <c r="C8" s="38"/>
      <c r="D8" s="279"/>
      <c r="E8" s="260"/>
      <c r="F8" s="279">
        <v>28</v>
      </c>
      <c r="G8" s="260"/>
      <c r="H8" s="38">
        <f>H7-F8</f>
        <v>32</v>
      </c>
      <c r="I8" s="26"/>
      <c r="J8" s="12"/>
      <c r="K8" s="3"/>
      <c r="L8" s="3"/>
      <c r="M8" s="3"/>
      <c r="N8" s="3"/>
      <c r="O8" s="3"/>
    </row>
    <row r="9" spans="1:15" ht="26.7" customHeight="1">
      <c r="A9" s="39" t="s">
        <v>395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4</v>
      </c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37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37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37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37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37"/>
      <c r="J14" s="12"/>
      <c r="K14" s="3"/>
      <c r="L14" s="3"/>
      <c r="M14" s="3"/>
      <c r="N14" s="3"/>
      <c r="O14" s="3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37"/>
      <c r="J15" s="12"/>
      <c r="K15" s="3"/>
      <c r="L15" s="3"/>
      <c r="M15" s="3"/>
      <c r="N15" s="3"/>
      <c r="O15" s="3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37"/>
      <c r="J16" s="12"/>
      <c r="K16" s="3"/>
      <c r="L16" s="3"/>
      <c r="M16" s="3"/>
      <c r="N16" s="3"/>
      <c r="O16" s="3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37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37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37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37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37"/>
      <c r="J21" s="12"/>
    </row>
    <row r="22" spans="1:10" ht="26.7" customHeight="1">
      <c r="A22" s="39"/>
      <c r="B22" s="38"/>
      <c r="C22" s="38"/>
      <c r="D22" s="279"/>
      <c r="E22" s="260"/>
      <c r="F22" s="279"/>
      <c r="G22" s="260"/>
      <c r="H22" s="38"/>
      <c r="I22" s="37"/>
      <c r="J22" s="12"/>
    </row>
    <row r="23" spans="1:10" ht="26.7" customHeight="1">
      <c r="A23" s="39"/>
      <c r="B23" s="38"/>
      <c r="C23" s="38"/>
      <c r="D23" s="279"/>
      <c r="E23" s="260"/>
      <c r="F23" s="279"/>
      <c r="G23" s="260"/>
      <c r="H23" s="38"/>
      <c r="I23" s="114"/>
      <c r="J23" s="12"/>
    </row>
    <row r="24" spans="1:10" ht="26.7" customHeight="1">
      <c r="A24" s="39"/>
      <c r="B24" s="38"/>
      <c r="C24" s="38"/>
      <c r="D24" s="279"/>
      <c r="E24" s="260"/>
      <c r="F24" s="279"/>
      <c r="G24" s="260"/>
      <c r="H24" s="38"/>
      <c r="I24" s="114"/>
      <c r="J24" s="12"/>
    </row>
    <row r="25" spans="1:10" ht="26.7" customHeight="1">
      <c r="A25" s="39"/>
      <c r="B25" s="38"/>
      <c r="C25" s="38"/>
      <c r="D25" s="279"/>
      <c r="E25" s="260"/>
      <c r="F25" s="279"/>
      <c r="G25" s="260"/>
      <c r="H25" s="38"/>
      <c r="I25" s="37"/>
      <c r="J25" s="12"/>
    </row>
    <row r="26" spans="1:10" ht="26.7" customHeight="1">
      <c r="A26" s="39"/>
      <c r="B26" s="38"/>
      <c r="C26" s="38"/>
      <c r="D26" s="279"/>
      <c r="E26" s="260"/>
      <c r="F26" s="279"/>
      <c r="G26" s="260"/>
      <c r="H26" s="38"/>
      <c r="I26" s="37"/>
      <c r="J26" s="12"/>
    </row>
    <row r="27" spans="1:10" ht="26.7" customHeight="1">
      <c r="A27" s="39"/>
      <c r="B27" s="38"/>
      <c r="C27" s="38"/>
      <c r="D27" s="279"/>
      <c r="E27" s="260"/>
      <c r="F27" s="279"/>
      <c r="G27" s="260"/>
      <c r="H27" s="38"/>
      <c r="I27" s="37"/>
      <c r="J27" s="12"/>
    </row>
    <row r="28" spans="1:10" ht="26.7" customHeight="1">
      <c r="A28" s="39"/>
      <c r="B28" s="38"/>
      <c r="C28" s="38"/>
      <c r="D28" s="279"/>
      <c r="E28" s="260"/>
      <c r="F28" s="279"/>
      <c r="G28" s="260"/>
      <c r="H28" s="38"/>
      <c r="I28" s="37"/>
      <c r="J28" s="12"/>
    </row>
    <row r="29" spans="1:10" ht="26.7" customHeight="1">
      <c r="A29" s="39"/>
      <c r="B29" s="38"/>
      <c r="C29" s="38"/>
      <c r="D29" s="279"/>
      <c r="E29" s="260"/>
      <c r="F29" s="279"/>
      <c r="G29" s="260"/>
      <c r="H29" s="38"/>
      <c r="I29" s="37"/>
      <c r="J29" s="12"/>
    </row>
    <row r="30" spans="1:10" ht="26.7" customHeight="1">
      <c r="A30" s="39"/>
      <c r="B30" s="38"/>
      <c r="C30" s="38"/>
      <c r="D30" s="279"/>
      <c r="E30" s="260"/>
      <c r="F30" s="279"/>
      <c r="G30" s="260"/>
      <c r="H30" s="38"/>
      <c r="I30" s="37"/>
      <c r="J30" s="12"/>
    </row>
    <row r="31" spans="1:10" ht="26.7" customHeight="1" thickBot="1">
      <c r="A31" s="39"/>
      <c r="B31" s="38"/>
      <c r="C31" s="38"/>
      <c r="D31" s="279"/>
      <c r="E31" s="260"/>
      <c r="F31" s="279"/>
      <c r="G31" s="260"/>
      <c r="H31" s="38"/>
      <c r="I31" s="37"/>
      <c r="J31" s="12"/>
    </row>
    <row r="32" spans="1:10" ht="21" customHeight="1">
      <c r="A32" s="39"/>
      <c r="B32" s="38"/>
      <c r="C32" s="38"/>
      <c r="D32" s="276"/>
      <c r="E32" s="277"/>
      <c r="F32" s="279"/>
      <c r="G32" s="260"/>
      <c r="H32" s="38"/>
      <c r="I32" s="37"/>
      <c r="J32" s="3"/>
    </row>
    <row r="33" spans="1:9" ht="21" customHeight="1">
      <c r="A33" s="39"/>
      <c r="B33" s="38"/>
      <c r="C33" s="38"/>
      <c r="D33" s="259"/>
      <c r="E33" s="260"/>
      <c r="F33" s="279"/>
      <c r="G33" s="260"/>
      <c r="H33" s="38"/>
      <c r="I33" s="37"/>
    </row>
    <row r="34" spans="1:9" ht="21" customHeight="1">
      <c r="A34" s="39"/>
      <c r="B34" s="38"/>
      <c r="C34" s="38"/>
      <c r="D34" s="259"/>
      <c r="E34" s="260"/>
      <c r="F34" s="279"/>
      <c r="G34" s="260"/>
      <c r="H34" s="38"/>
      <c r="I34" s="37"/>
    </row>
    <row r="35" spans="1:9" ht="21" customHeight="1">
      <c r="A35" s="39"/>
      <c r="B35" s="38"/>
      <c r="C35" s="38"/>
      <c r="D35" s="259"/>
      <c r="E35" s="260"/>
      <c r="F35" s="279"/>
      <c r="G35" s="260"/>
      <c r="H35" s="38"/>
      <c r="I35" s="37"/>
    </row>
    <row r="36" spans="1:9" ht="21" customHeight="1">
      <c r="A36" s="39"/>
      <c r="B36" s="6"/>
      <c r="C36" s="38"/>
      <c r="D36" s="259"/>
      <c r="E36" s="260"/>
      <c r="F36" s="279"/>
      <c r="G36" s="260"/>
      <c r="H36" s="38"/>
      <c r="I36" s="37"/>
    </row>
    <row r="37" spans="1:9" ht="21" customHeight="1">
      <c r="A37" s="39"/>
      <c r="B37" s="6"/>
      <c r="C37" s="38"/>
      <c r="D37" s="259"/>
      <c r="E37" s="260"/>
      <c r="F37" s="279"/>
      <c r="G37" s="260"/>
      <c r="H37" s="38"/>
      <c r="I37" s="37"/>
    </row>
    <row r="38" spans="1:9" ht="21" customHeight="1">
      <c r="A38" s="39"/>
      <c r="B38" s="6"/>
      <c r="C38" s="38"/>
      <c r="D38" s="259"/>
      <c r="E38" s="260"/>
      <c r="F38" s="279"/>
      <c r="G38" s="260"/>
      <c r="H38" s="38"/>
      <c r="I38" s="37"/>
    </row>
    <row r="39" spans="1:9" ht="21" customHeight="1">
      <c r="A39" s="39"/>
      <c r="B39" s="6"/>
      <c r="C39" s="38"/>
      <c r="D39" s="259"/>
      <c r="E39" s="260"/>
      <c r="F39" s="279"/>
      <c r="G39" s="260"/>
      <c r="H39" s="38"/>
      <c r="I39" s="37"/>
    </row>
    <row r="40" spans="1:9" ht="21" customHeight="1">
      <c r="A40" s="39"/>
      <c r="B40" s="6"/>
      <c r="C40" s="38"/>
      <c r="D40" s="259"/>
      <c r="E40" s="260"/>
      <c r="F40" s="279"/>
      <c r="G40" s="260"/>
      <c r="H40" s="38"/>
      <c r="I40" s="37"/>
    </row>
    <row r="41" spans="1:9" ht="21" customHeight="1">
      <c r="A41" s="39"/>
      <c r="B41" s="6"/>
      <c r="C41" s="38"/>
      <c r="D41" s="259"/>
      <c r="E41" s="260"/>
      <c r="F41" s="279"/>
      <c r="G41" s="260"/>
      <c r="H41" s="38"/>
      <c r="I41" s="37"/>
    </row>
    <row r="42" spans="1:9" ht="21" customHeight="1">
      <c r="A42" s="39"/>
      <c r="B42" s="6"/>
      <c r="C42" s="38"/>
      <c r="D42" s="259"/>
      <c r="E42" s="260"/>
      <c r="F42" s="279"/>
      <c r="G42" s="260"/>
      <c r="H42" s="38"/>
      <c r="I42" s="37"/>
    </row>
    <row r="43" spans="1:9" ht="21" customHeight="1">
      <c r="A43" s="39"/>
      <c r="B43" s="6"/>
      <c r="C43" s="3"/>
      <c r="D43" s="259"/>
      <c r="E43" s="260"/>
      <c r="F43" s="279"/>
      <c r="G43" s="260"/>
      <c r="H43" s="38"/>
      <c r="I43" s="37"/>
    </row>
    <row r="44" spans="1:9" ht="21" customHeight="1">
      <c r="A44" s="39"/>
      <c r="B44" s="6"/>
      <c r="C44" s="3"/>
      <c r="D44" s="259"/>
      <c r="E44" s="260"/>
      <c r="F44" s="279"/>
      <c r="G44" s="260"/>
      <c r="H44" s="38"/>
      <c r="I44" s="37"/>
    </row>
    <row r="45" spans="1:9" ht="21" customHeight="1">
      <c r="A45" s="39"/>
      <c r="B45" s="6"/>
      <c r="C45" s="3"/>
      <c r="D45" s="259"/>
      <c r="E45" s="260"/>
      <c r="F45" s="279"/>
      <c r="G45" s="260"/>
      <c r="H45" s="38"/>
      <c r="I45" s="37"/>
    </row>
    <row r="46" spans="1:9" ht="21" customHeight="1">
      <c r="A46" s="39"/>
      <c r="B46" s="6"/>
      <c r="C46" s="3"/>
      <c r="D46" s="259"/>
      <c r="E46" s="260"/>
      <c r="F46" s="279"/>
      <c r="G46" s="260"/>
      <c r="H46" s="38"/>
      <c r="I46" s="37"/>
    </row>
    <row r="47" spans="1:9" ht="21" customHeight="1">
      <c r="A47" s="39"/>
      <c r="B47" s="6"/>
      <c r="C47" s="3"/>
      <c r="D47" s="259"/>
      <c r="E47" s="260"/>
      <c r="F47" s="279"/>
      <c r="G47" s="260"/>
      <c r="H47" s="38"/>
      <c r="I47" s="37"/>
    </row>
    <row r="48" spans="1:9" ht="21" customHeight="1">
      <c r="A48" s="39"/>
      <c r="B48" s="6"/>
      <c r="C48" s="10"/>
      <c r="D48" s="259"/>
      <c r="E48" s="260"/>
      <c r="F48" s="279"/>
      <c r="G48" s="260"/>
      <c r="H48" s="38"/>
      <c r="I48" s="37"/>
    </row>
    <row r="49" spans="1:9" ht="21" customHeight="1">
      <c r="A49" s="39"/>
      <c r="B49" s="8"/>
      <c r="C49" s="10"/>
      <c r="D49" s="259"/>
      <c r="E49" s="260"/>
      <c r="F49" s="279"/>
      <c r="G49" s="260"/>
      <c r="H49" s="38"/>
      <c r="I49" s="37"/>
    </row>
    <row r="50" spans="1:9" ht="21" customHeight="1">
      <c r="A50" s="39"/>
      <c r="B50" s="6"/>
      <c r="C50" s="9"/>
      <c r="D50" s="259"/>
      <c r="E50" s="260"/>
      <c r="F50" s="279"/>
      <c r="G50" s="260"/>
      <c r="H50" s="38"/>
      <c r="I50" s="37"/>
    </row>
    <row r="51" spans="1:9" ht="21" customHeight="1">
      <c r="A51" s="39"/>
      <c r="B51" s="6"/>
      <c r="C51" s="3"/>
      <c r="D51" s="259"/>
      <c r="E51" s="260"/>
      <c r="F51" s="279"/>
      <c r="G51" s="260"/>
      <c r="H51" s="38"/>
      <c r="I51" s="37"/>
    </row>
    <row r="52" spans="1:9" ht="21" customHeight="1">
      <c r="A52" s="39"/>
      <c r="B52" s="6"/>
      <c r="C52" s="3"/>
      <c r="D52" s="259"/>
      <c r="E52" s="260"/>
      <c r="F52" s="279"/>
      <c r="G52" s="260"/>
      <c r="H52" s="38"/>
      <c r="I52" s="37"/>
    </row>
    <row r="53" spans="1:9" ht="21" customHeight="1">
      <c r="A53" s="39"/>
      <c r="B53" s="6"/>
      <c r="C53" s="3"/>
      <c r="D53" s="259"/>
      <c r="E53" s="260"/>
      <c r="F53" s="279"/>
      <c r="G53" s="260"/>
      <c r="H53" s="38"/>
      <c r="I53" s="37"/>
    </row>
    <row r="54" spans="1:9" ht="21" customHeight="1">
      <c r="A54" s="39"/>
      <c r="B54" s="6"/>
      <c r="C54" s="3"/>
      <c r="D54" s="259"/>
      <c r="E54" s="260"/>
      <c r="F54" s="279"/>
      <c r="G54" s="260"/>
      <c r="H54" s="38"/>
      <c r="I54" s="37"/>
    </row>
    <row r="55" spans="1:9" ht="21" customHeight="1">
      <c r="A55" s="39"/>
      <c r="B55" s="6"/>
      <c r="C55" s="3"/>
      <c r="D55" s="259"/>
      <c r="E55" s="260"/>
      <c r="F55" s="279"/>
      <c r="G55" s="260"/>
      <c r="H55" s="38"/>
      <c r="I55" s="7"/>
    </row>
    <row r="56" spans="1:9" ht="21" customHeight="1">
      <c r="A56" s="39"/>
      <c r="B56" s="6"/>
      <c r="C56" s="3"/>
      <c r="D56" s="259"/>
      <c r="E56" s="260"/>
      <c r="F56" s="279"/>
      <c r="G56" s="260"/>
      <c r="H56" s="38"/>
      <c r="I56" s="16"/>
    </row>
    <row r="57" spans="1:9" ht="21" customHeight="1">
      <c r="A57" s="39"/>
      <c r="B57" s="6"/>
      <c r="C57" s="3"/>
      <c r="D57" s="259"/>
      <c r="E57" s="260"/>
      <c r="F57" s="279"/>
      <c r="G57" s="260"/>
      <c r="H57" s="38"/>
      <c r="I57" s="7"/>
    </row>
    <row r="58" spans="1:9" ht="21" customHeight="1">
      <c r="A58" s="39"/>
      <c r="B58" s="6"/>
      <c r="C58" s="3"/>
      <c r="D58" s="259"/>
      <c r="E58" s="260"/>
      <c r="F58" s="279"/>
      <c r="G58" s="260"/>
      <c r="H58" s="38"/>
      <c r="I58" s="7"/>
    </row>
    <row r="59" spans="1:9" ht="21" customHeight="1">
      <c r="A59" s="39"/>
      <c r="B59" s="6"/>
      <c r="C59" s="3"/>
      <c r="D59" s="259"/>
      <c r="E59" s="260"/>
      <c r="F59" s="279"/>
      <c r="G59" s="260"/>
      <c r="H59" s="38"/>
      <c r="I59" s="7"/>
    </row>
    <row r="60" spans="1:9" ht="21" customHeight="1">
      <c r="A60" s="39"/>
      <c r="B60" s="6"/>
      <c r="C60" s="3"/>
      <c r="D60" s="259"/>
      <c r="E60" s="260"/>
      <c r="F60" s="279"/>
      <c r="G60" s="260"/>
      <c r="H60" s="38"/>
      <c r="I60" s="7"/>
    </row>
    <row r="61" spans="1:9" ht="21" customHeight="1">
      <c r="A61" s="39"/>
      <c r="B61" s="6"/>
      <c r="C61" s="9"/>
      <c r="D61" s="259"/>
      <c r="E61" s="260"/>
      <c r="F61" s="279"/>
      <c r="G61" s="260"/>
      <c r="H61" s="38"/>
      <c r="I61" s="7"/>
    </row>
    <row r="62" spans="1:9" ht="21" customHeight="1">
      <c r="A62" s="39"/>
      <c r="B62" s="6"/>
      <c r="C62" s="3"/>
      <c r="D62" s="259"/>
      <c r="E62" s="260"/>
      <c r="F62" s="279"/>
      <c r="G62" s="260"/>
      <c r="H62" s="38"/>
      <c r="I62" s="7"/>
    </row>
    <row r="63" spans="1:9" ht="21" customHeight="1">
      <c r="A63" s="39"/>
      <c r="B63" s="6"/>
      <c r="C63" s="3"/>
      <c r="D63" s="259"/>
      <c r="E63" s="260"/>
      <c r="F63" s="279"/>
      <c r="G63" s="260"/>
      <c r="H63" s="38"/>
      <c r="I63" s="7"/>
    </row>
    <row r="64" spans="1:9" ht="21" customHeight="1">
      <c r="A64" s="39"/>
      <c r="B64" s="6"/>
      <c r="C64" s="3"/>
      <c r="D64" s="259"/>
      <c r="E64" s="260"/>
      <c r="F64" s="279"/>
      <c r="G64" s="260"/>
      <c r="H64" s="38"/>
      <c r="I64" s="7"/>
    </row>
    <row r="65" spans="1:9" ht="21" customHeight="1">
      <c r="A65" s="39"/>
      <c r="B65" s="6"/>
      <c r="C65" s="3"/>
      <c r="D65" s="259"/>
      <c r="E65" s="260"/>
      <c r="F65" s="279"/>
      <c r="G65" s="260"/>
      <c r="H65" s="38"/>
      <c r="I65" s="7"/>
    </row>
    <row r="66" spans="1:9" ht="21" customHeight="1">
      <c r="A66" s="39"/>
      <c r="B66" s="6"/>
      <c r="C66" s="3"/>
      <c r="D66" s="259"/>
      <c r="E66" s="260"/>
      <c r="F66" s="279"/>
      <c r="G66" s="260"/>
      <c r="H66" s="38"/>
      <c r="I66" s="7"/>
    </row>
    <row r="67" spans="1:9" ht="21" customHeight="1">
      <c r="A67" s="39"/>
      <c r="B67" s="6"/>
      <c r="C67" s="3"/>
      <c r="D67" s="259"/>
      <c r="E67" s="260"/>
      <c r="F67" s="279"/>
      <c r="G67" s="260"/>
      <c r="H67" s="38"/>
      <c r="I67" s="7"/>
    </row>
    <row r="68" spans="1:9" ht="21" customHeight="1">
      <c r="A68" s="39"/>
      <c r="B68" s="6"/>
      <c r="C68" s="3"/>
      <c r="D68" s="259"/>
      <c r="E68" s="260"/>
      <c r="F68" s="279"/>
      <c r="G68" s="260"/>
      <c r="H68" s="38"/>
      <c r="I68" s="7"/>
    </row>
    <row r="69" spans="1:9" ht="21" customHeight="1">
      <c r="A69" s="39"/>
      <c r="B69" s="6"/>
      <c r="C69" s="3"/>
      <c r="D69" s="259"/>
      <c r="E69" s="260"/>
      <c r="F69" s="279"/>
      <c r="G69" s="260"/>
      <c r="H69" s="38"/>
      <c r="I69" s="7"/>
    </row>
    <row r="70" spans="1:9" ht="21" customHeight="1">
      <c r="A70" s="39"/>
      <c r="B70" s="6"/>
      <c r="C70" s="3"/>
      <c r="D70" s="259"/>
      <c r="E70" s="260"/>
      <c r="F70" s="279"/>
      <c r="G70" s="260"/>
      <c r="H70" s="38"/>
      <c r="I70" s="7"/>
    </row>
    <row r="71" spans="1:9" ht="21" customHeight="1">
      <c r="A71" s="39"/>
      <c r="B71" s="6"/>
      <c r="C71" s="3"/>
      <c r="D71" s="259"/>
      <c r="E71" s="260"/>
      <c r="F71" s="279"/>
      <c r="G71" s="260"/>
      <c r="H71" s="38"/>
      <c r="I71" s="7"/>
    </row>
    <row r="72" spans="1:9" ht="21" customHeight="1">
      <c r="A72" s="39"/>
      <c r="B72" s="6"/>
      <c r="C72" s="3"/>
      <c r="D72" s="259"/>
      <c r="E72" s="260"/>
      <c r="F72" s="279"/>
      <c r="G72" s="260"/>
      <c r="H72" s="38"/>
      <c r="I72" s="7"/>
    </row>
    <row r="73" spans="1:9" ht="21" customHeight="1">
      <c r="A73" s="39"/>
      <c r="B73" s="6"/>
      <c r="C73" s="3"/>
      <c r="D73" s="259"/>
      <c r="E73" s="260"/>
      <c r="F73" s="279"/>
      <c r="G73" s="260"/>
      <c r="H73" s="38"/>
      <c r="I73" s="7"/>
    </row>
    <row r="74" spans="1:9" ht="21" customHeight="1">
      <c r="A74" s="39"/>
      <c r="B74" s="6"/>
      <c r="C74" s="3"/>
      <c r="D74" s="259"/>
      <c r="E74" s="260"/>
      <c r="F74" s="279"/>
      <c r="G74" s="260"/>
      <c r="H74" s="38"/>
      <c r="I74" s="7"/>
    </row>
    <row r="75" spans="1:9" ht="21" customHeight="1">
      <c r="A75" s="39"/>
      <c r="B75" s="6"/>
      <c r="C75" s="3"/>
      <c r="D75" s="259"/>
      <c r="E75" s="260"/>
      <c r="F75" s="279"/>
      <c r="G75" s="260"/>
      <c r="H75" s="38"/>
      <c r="I75" s="7"/>
    </row>
    <row r="76" spans="1:9" ht="21" customHeight="1">
      <c r="A76" s="39"/>
      <c r="B76" s="6"/>
      <c r="C76" s="3"/>
      <c r="D76" s="259"/>
      <c r="E76" s="260"/>
      <c r="F76" s="279"/>
      <c r="G76" s="260"/>
      <c r="H76" s="38"/>
      <c r="I76" s="7"/>
    </row>
    <row r="77" spans="1:9" ht="21" customHeight="1">
      <c r="A77" s="39"/>
      <c r="B77" s="6"/>
      <c r="C77" s="3"/>
      <c r="D77" s="259"/>
      <c r="E77" s="260"/>
      <c r="F77" s="279"/>
      <c r="G77" s="260"/>
      <c r="H77" s="38"/>
      <c r="I77" s="7"/>
    </row>
    <row r="78" spans="1:9" ht="21" customHeight="1">
      <c r="A78" s="39"/>
      <c r="B78" s="6"/>
      <c r="C78" s="3"/>
      <c r="D78" s="259"/>
      <c r="E78" s="260"/>
      <c r="F78" s="279"/>
      <c r="G78" s="260"/>
      <c r="H78" s="38"/>
      <c r="I78" s="7"/>
    </row>
    <row r="79" spans="1:9" ht="21" customHeight="1">
      <c r="A79" s="39"/>
      <c r="B79" s="6"/>
      <c r="C79" s="3"/>
      <c r="D79" s="259"/>
      <c r="E79" s="260"/>
      <c r="F79" s="279"/>
      <c r="G79" s="260"/>
      <c r="H79" s="38"/>
      <c r="I79" s="7"/>
    </row>
    <row r="80" spans="1:9" ht="21" customHeight="1">
      <c r="A80" s="39"/>
      <c r="B80" s="6"/>
      <c r="C80" s="3"/>
      <c r="D80" s="259"/>
      <c r="E80" s="260"/>
      <c r="F80" s="279"/>
      <c r="G80" s="260"/>
      <c r="H80" s="38"/>
      <c r="I80" s="7"/>
    </row>
    <row r="81" spans="1:9" ht="21" customHeight="1">
      <c r="A81" s="39"/>
      <c r="B81" s="6"/>
      <c r="C81" s="3"/>
      <c r="D81" s="259"/>
      <c r="E81" s="260"/>
      <c r="F81" s="279"/>
      <c r="G81" s="260"/>
      <c r="H81" s="38"/>
      <c r="I81" s="7"/>
    </row>
    <row r="82" spans="1:9" ht="21" customHeight="1">
      <c r="A82" s="39"/>
      <c r="B82" s="8"/>
      <c r="C82" s="9"/>
      <c r="D82" s="259"/>
      <c r="E82" s="260"/>
      <c r="F82" s="279"/>
      <c r="G82" s="260"/>
      <c r="H82" s="38"/>
      <c r="I82" s="7"/>
    </row>
    <row r="83" spans="1:9" ht="21" customHeight="1">
      <c r="A83" s="39"/>
      <c r="B83" s="6"/>
      <c r="C83" s="3"/>
      <c r="D83" s="259"/>
      <c r="E83" s="260"/>
      <c r="F83" s="279"/>
      <c r="G83" s="260"/>
      <c r="H83" s="38"/>
      <c r="I83" s="7"/>
    </row>
    <row r="84" spans="1:9" ht="21" customHeight="1">
      <c r="A84" s="39"/>
      <c r="B84" s="8"/>
      <c r="C84" s="9"/>
      <c r="D84" s="259"/>
      <c r="E84" s="260"/>
      <c r="F84" s="279"/>
      <c r="G84" s="260"/>
      <c r="H84" s="38"/>
      <c r="I84" s="11"/>
    </row>
    <row r="85" spans="1:9" ht="21" customHeight="1">
      <c r="A85" s="15"/>
      <c r="B85" s="6"/>
      <c r="C85" s="3"/>
      <c r="D85" s="259"/>
      <c r="E85" s="260"/>
      <c r="F85" s="279"/>
      <c r="G85" s="260"/>
      <c r="H85" s="38"/>
      <c r="I85" s="7"/>
    </row>
    <row r="86" spans="1:9" ht="21" customHeight="1">
      <c r="A86" s="15"/>
      <c r="B86" s="6"/>
      <c r="C86" s="9"/>
      <c r="D86" s="259"/>
      <c r="E86" s="260"/>
      <c r="F86" s="279"/>
      <c r="G86" s="260"/>
      <c r="H86" s="38"/>
      <c r="I86" s="7"/>
    </row>
    <row r="87" spans="1:9" ht="21" customHeight="1">
      <c r="A87" s="14"/>
      <c r="B87" s="6"/>
      <c r="C87" s="3"/>
      <c r="D87" s="259"/>
      <c r="E87" s="260"/>
      <c r="F87" s="279"/>
      <c r="G87" s="260"/>
      <c r="H87" s="38"/>
      <c r="I87" s="7"/>
    </row>
    <row r="88" spans="1:9" ht="21" customHeight="1">
      <c r="A88" s="15"/>
      <c r="B88" s="6"/>
      <c r="C88" s="3"/>
      <c r="D88" s="259"/>
      <c r="E88" s="260"/>
      <c r="F88" s="279"/>
      <c r="G88" s="260"/>
      <c r="H88" s="38"/>
      <c r="I88" s="7"/>
    </row>
    <row r="89" spans="1:9" ht="21" customHeight="1">
      <c r="A89" s="15"/>
      <c r="B89" s="6"/>
      <c r="C89" s="3"/>
      <c r="D89" s="259"/>
      <c r="E89" s="260"/>
      <c r="F89" s="279"/>
      <c r="G89" s="260"/>
      <c r="H89" s="38"/>
      <c r="I89" s="7"/>
    </row>
    <row r="90" spans="1:9" ht="21" customHeight="1">
      <c r="A90" s="14"/>
      <c r="B90" s="6"/>
      <c r="C90" s="3"/>
      <c r="D90" s="259"/>
      <c r="E90" s="260"/>
      <c r="F90" s="279"/>
      <c r="G90" s="260"/>
      <c r="H90" s="38"/>
      <c r="I90" s="7"/>
    </row>
    <row r="91" spans="1:9" ht="21" customHeight="1">
      <c r="A91" s="15"/>
      <c r="B91" s="6"/>
      <c r="C91" s="3"/>
      <c r="D91" s="259"/>
      <c r="E91" s="260"/>
      <c r="F91" s="279"/>
      <c r="G91" s="260"/>
      <c r="H91" s="38"/>
      <c r="I91" s="7"/>
    </row>
    <row r="92" spans="1:9" ht="21" customHeight="1">
      <c r="A92" s="15"/>
      <c r="B92" s="6"/>
      <c r="C92" s="3"/>
      <c r="D92" s="259"/>
      <c r="E92" s="260"/>
      <c r="F92" s="279"/>
      <c r="G92" s="260"/>
      <c r="H92" s="38"/>
      <c r="I92" s="7"/>
    </row>
    <row r="93" spans="1:9" ht="21" customHeight="1">
      <c r="A93" s="15"/>
      <c r="B93" s="6"/>
      <c r="C93" s="3"/>
      <c r="D93" s="259"/>
      <c r="E93" s="260"/>
      <c r="F93" s="279"/>
      <c r="G93" s="260"/>
      <c r="H93" s="38"/>
      <c r="I93" s="7"/>
    </row>
    <row r="94" spans="1:9" ht="21" customHeight="1">
      <c r="A94" s="14"/>
      <c r="B94" s="6"/>
      <c r="C94" s="3"/>
      <c r="D94" s="259"/>
      <c r="E94" s="260"/>
      <c r="F94" s="279"/>
      <c r="G94" s="260"/>
      <c r="H94" s="38"/>
      <c r="I94" s="7"/>
    </row>
    <row r="95" spans="1:9" ht="21" customHeight="1">
      <c r="A95" s="14"/>
      <c r="B95" s="6"/>
      <c r="C95" s="3"/>
      <c r="D95" s="259"/>
      <c r="E95" s="260"/>
      <c r="F95" s="279"/>
      <c r="G95" s="260"/>
      <c r="H95" s="38"/>
      <c r="I95" s="7"/>
    </row>
    <row r="96" spans="1:9" ht="21" customHeight="1">
      <c r="A96" s="14"/>
      <c r="B96" s="6"/>
      <c r="C96" s="3"/>
      <c r="D96" s="259"/>
      <c r="E96" s="260"/>
      <c r="F96" s="279"/>
      <c r="G96" s="260"/>
      <c r="H96" s="38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38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38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38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38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38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38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38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38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6"/>
  <dimension ref="A1:O91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1148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1149</v>
      </c>
      <c r="C3" s="263"/>
      <c r="D3" s="260"/>
      <c r="E3" s="266" t="s">
        <v>11</v>
      </c>
      <c r="F3" s="263"/>
      <c r="G3" s="260"/>
      <c r="H3" s="296" t="s">
        <v>674</v>
      </c>
      <c r="I3" s="269"/>
      <c r="J3" s="19" t="str">
        <f>B3</f>
        <v>Tramacet 37.5mg</v>
      </c>
      <c r="K3" s="34" t="s">
        <v>1150</v>
      </c>
      <c r="L3" s="5">
        <f>H7</f>
        <v>275</v>
      </c>
      <c r="M3" s="3">
        <f>SUM(C$8:C$1048576)</f>
        <v>0</v>
      </c>
      <c r="N3" s="3">
        <f>SUM(F:F)</f>
        <v>136</v>
      </c>
      <c r="O3" s="3">
        <f>L3+M3-N3</f>
        <v>139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1151</v>
      </c>
      <c r="I4" s="269"/>
      <c r="J4" s="12"/>
      <c r="K4" s="3"/>
      <c r="L4" s="3"/>
      <c r="M4" s="3"/>
      <c r="N4" s="3"/>
      <c r="O4" s="3"/>
    </row>
    <row r="5" spans="1:15" ht="27" customHeight="1">
      <c r="A5" s="272" t="s">
        <v>18</v>
      </c>
      <c r="B5" s="260"/>
      <c r="C5" s="262" t="s">
        <v>249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6.2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/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275</v>
      </c>
      <c r="D7" s="280"/>
      <c r="E7" s="260"/>
      <c r="F7" s="280"/>
      <c r="G7" s="260"/>
      <c r="H7" s="155">
        <v>275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333</v>
      </c>
      <c r="B8" s="38" t="s">
        <v>323</v>
      </c>
      <c r="C8" s="38"/>
      <c r="D8" s="279"/>
      <c r="E8" s="260"/>
      <c r="F8" s="261">
        <v>84</v>
      </c>
      <c r="G8" s="260"/>
      <c r="H8" s="38">
        <f t="shared" ref="H8:H15" si="0">H7-F8</f>
        <v>191</v>
      </c>
      <c r="I8" s="114"/>
      <c r="J8" s="12"/>
    </row>
    <row r="9" spans="1:15" ht="26.7" customHeight="1">
      <c r="A9" s="39" t="s">
        <v>340</v>
      </c>
      <c r="B9" s="38" t="s">
        <v>323</v>
      </c>
      <c r="C9" s="38"/>
      <c r="D9" s="279"/>
      <c r="E9" s="260"/>
      <c r="F9" s="298">
        <v>9</v>
      </c>
      <c r="G9" s="260"/>
      <c r="H9" s="38">
        <f t="shared" si="0"/>
        <v>182</v>
      </c>
      <c r="I9" s="77"/>
      <c r="J9" s="12"/>
    </row>
    <row r="10" spans="1:15" ht="26.7" customHeight="1">
      <c r="A10" s="39" t="s">
        <v>475</v>
      </c>
      <c r="B10" s="38" t="s">
        <v>323</v>
      </c>
      <c r="C10" s="38"/>
      <c r="D10" s="279"/>
      <c r="E10" s="260"/>
      <c r="F10" s="298">
        <v>6</v>
      </c>
      <c r="G10" s="260"/>
      <c r="H10" s="38">
        <f t="shared" si="0"/>
        <v>176</v>
      </c>
      <c r="I10" s="77"/>
      <c r="J10" s="12"/>
    </row>
    <row r="11" spans="1:15" ht="26.7" customHeight="1">
      <c r="A11" s="39" t="s">
        <v>342</v>
      </c>
      <c r="B11" s="38" t="s">
        <v>323</v>
      </c>
      <c r="C11" s="38"/>
      <c r="D11" s="279"/>
      <c r="E11" s="260"/>
      <c r="F11" s="298">
        <v>9</v>
      </c>
      <c r="G11" s="260"/>
      <c r="H11" s="38">
        <f t="shared" si="0"/>
        <v>167</v>
      </c>
      <c r="I11" s="114" t="s">
        <v>608</v>
      </c>
      <c r="J11" s="12"/>
    </row>
    <row r="12" spans="1:15" ht="26.7" customHeight="1">
      <c r="A12" s="39" t="s">
        <v>480</v>
      </c>
      <c r="B12" s="38" t="s">
        <v>323</v>
      </c>
      <c r="C12" s="38"/>
      <c r="D12" s="279"/>
      <c r="E12" s="260"/>
      <c r="F12" s="298">
        <v>10</v>
      </c>
      <c r="G12" s="260"/>
      <c r="H12" s="38">
        <f t="shared" si="0"/>
        <v>157</v>
      </c>
      <c r="I12" s="77"/>
      <c r="J12" s="12"/>
    </row>
    <row r="13" spans="1:15" ht="26.7" customHeight="1">
      <c r="A13" s="39" t="s">
        <v>387</v>
      </c>
      <c r="B13" s="38" t="s">
        <v>323</v>
      </c>
      <c r="C13" s="38"/>
      <c r="D13" s="279"/>
      <c r="E13" s="260"/>
      <c r="F13" s="298">
        <v>6</v>
      </c>
      <c r="G13" s="260"/>
      <c r="H13" s="38">
        <f t="shared" si="0"/>
        <v>151</v>
      </c>
      <c r="I13" s="77"/>
      <c r="J13" s="12"/>
    </row>
    <row r="14" spans="1:15" ht="26.7" customHeight="1">
      <c r="A14" s="39" t="s">
        <v>528</v>
      </c>
      <c r="B14" s="38" t="s">
        <v>323</v>
      </c>
      <c r="C14" s="38"/>
      <c r="D14" s="279"/>
      <c r="E14" s="260"/>
      <c r="F14" s="298">
        <v>6</v>
      </c>
      <c r="G14" s="260"/>
      <c r="H14" s="38">
        <f t="shared" si="0"/>
        <v>145</v>
      </c>
      <c r="I14" s="77"/>
      <c r="J14" s="12"/>
    </row>
    <row r="15" spans="1:15" ht="26.7" customHeight="1">
      <c r="A15" s="39" t="s">
        <v>530</v>
      </c>
      <c r="B15" s="38" t="s">
        <v>323</v>
      </c>
      <c r="C15" s="38"/>
      <c r="D15" s="279"/>
      <c r="E15" s="260"/>
      <c r="F15" s="298">
        <v>6</v>
      </c>
      <c r="G15" s="260"/>
      <c r="H15" s="38">
        <f t="shared" si="0"/>
        <v>139</v>
      </c>
      <c r="I15" s="77"/>
      <c r="J15" s="12"/>
    </row>
    <row r="16" spans="1:15" ht="26.7" customHeight="1">
      <c r="A16" s="39"/>
      <c r="B16" s="38"/>
      <c r="C16" s="38"/>
      <c r="D16" s="279"/>
      <c r="E16" s="260"/>
      <c r="F16" s="261"/>
      <c r="G16" s="260"/>
      <c r="H16" s="38"/>
      <c r="I16" s="77"/>
      <c r="J16" s="12"/>
    </row>
    <row r="17" spans="1:10" ht="26.7" customHeight="1">
      <c r="A17" s="39"/>
      <c r="B17" s="38"/>
      <c r="C17" s="38"/>
      <c r="D17" s="279"/>
      <c r="E17" s="260"/>
      <c r="F17" s="261"/>
      <c r="G17" s="260"/>
      <c r="H17" s="38"/>
      <c r="I17" s="77"/>
      <c r="J17" s="12"/>
    </row>
    <row r="18" spans="1:10" ht="26.7" customHeight="1">
      <c r="A18" s="39"/>
      <c r="B18" s="38"/>
      <c r="C18" s="38"/>
      <c r="D18" s="279"/>
      <c r="E18" s="260"/>
      <c r="F18" s="261"/>
      <c r="G18" s="260"/>
      <c r="H18" s="38"/>
      <c r="I18" s="77"/>
      <c r="J18" s="12"/>
    </row>
    <row r="19" spans="1:10" ht="21" customHeight="1">
      <c r="A19" s="39"/>
      <c r="B19" s="38"/>
      <c r="C19" s="38"/>
      <c r="D19" s="279"/>
      <c r="E19" s="260"/>
      <c r="F19" s="261"/>
      <c r="G19" s="260"/>
      <c r="H19" s="38"/>
      <c r="I19" s="77"/>
      <c r="J19" s="3"/>
    </row>
    <row r="20" spans="1:10" ht="21" customHeight="1">
      <c r="A20" s="39"/>
      <c r="B20" s="38"/>
      <c r="C20" s="38"/>
      <c r="D20" s="279"/>
      <c r="E20" s="260"/>
      <c r="F20" s="261"/>
      <c r="G20" s="260"/>
      <c r="H20" s="38"/>
      <c r="I20" s="77"/>
    </row>
    <row r="21" spans="1:10" ht="21" customHeight="1">
      <c r="A21" s="39"/>
      <c r="B21" s="38"/>
      <c r="C21" s="38"/>
      <c r="D21" s="279"/>
      <c r="E21" s="260"/>
      <c r="F21" s="261"/>
      <c r="G21" s="260"/>
      <c r="H21" s="38"/>
      <c r="I21" s="77"/>
    </row>
    <row r="22" spans="1:10" ht="21" customHeight="1">
      <c r="A22" s="39"/>
      <c r="B22" s="38"/>
      <c r="C22" s="38"/>
      <c r="D22" s="279"/>
      <c r="E22" s="260"/>
      <c r="F22" s="261"/>
      <c r="G22" s="260"/>
      <c r="H22" s="38"/>
      <c r="I22" s="77"/>
    </row>
    <row r="23" spans="1:10" ht="21" customHeight="1">
      <c r="A23" s="39"/>
      <c r="B23" s="38"/>
      <c r="C23" s="38"/>
      <c r="D23" s="279"/>
      <c r="E23" s="260"/>
      <c r="F23" s="261"/>
      <c r="G23" s="260"/>
      <c r="H23" s="38"/>
      <c r="I23" s="77"/>
    </row>
    <row r="24" spans="1:10" ht="21" customHeight="1">
      <c r="A24" s="39"/>
      <c r="B24" s="38"/>
      <c r="C24" s="38"/>
      <c r="D24" s="279"/>
      <c r="E24" s="260"/>
      <c r="F24" s="261"/>
      <c r="G24" s="260"/>
      <c r="H24" s="38"/>
      <c r="I24" s="77"/>
    </row>
    <row r="25" spans="1:10" ht="21" customHeight="1">
      <c r="A25" s="39"/>
      <c r="B25" s="38"/>
      <c r="C25" s="38"/>
      <c r="D25" s="279"/>
      <c r="E25" s="260"/>
      <c r="F25" s="261"/>
      <c r="G25" s="260"/>
      <c r="H25" s="38"/>
      <c r="I25" s="77"/>
    </row>
    <row r="26" spans="1:10" ht="21" customHeight="1">
      <c r="A26" s="39"/>
      <c r="B26" s="38"/>
      <c r="C26" s="38"/>
      <c r="D26" s="279"/>
      <c r="E26" s="260"/>
      <c r="F26" s="261"/>
      <c r="G26" s="260"/>
      <c r="H26" s="38"/>
      <c r="I26" s="77"/>
    </row>
    <row r="27" spans="1:10" ht="21" customHeight="1">
      <c r="A27" s="39"/>
      <c r="B27" s="38"/>
      <c r="C27" s="38"/>
      <c r="D27" s="279"/>
      <c r="E27" s="260"/>
      <c r="F27" s="261"/>
      <c r="G27" s="260"/>
      <c r="H27" s="38"/>
      <c r="I27" s="77"/>
    </row>
    <row r="28" spans="1:10" ht="21" customHeight="1">
      <c r="A28" s="39"/>
      <c r="B28" s="38"/>
      <c r="C28" s="38"/>
      <c r="D28" s="279"/>
      <c r="E28" s="260"/>
      <c r="F28" s="261"/>
      <c r="G28" s="260"/>
      <c r="H28" s="38"/>
      <c r="I28" s="77"/>
    </row>
    <row r="29" spans="1:10" ht="21" customHeight="1">
      <c r="A29" s="39"/>
      <c r="B29" s="38"/>
      <c r="C29" s="38"/>
      <c r="D29" s="279"/>
      <c r="E29" s="260"/>
      <c r="F29" s="261"/>
      <c r="G29" s="260"/>
      <c r="H29" s="38"/>
      <c r="I29" s="77"/>
    </row>
    <row r="30" spans="1:10" ht="21" customHeight="1">
      <c r="A30" s="39"/>
      <c r="B30" s="38"/>
      <c r="C30" s="38"/>
      <c r="D30" s="279"/>
      <c r="E30" s="260"/>
      <c r="F30" s="261"/>
      <c r="G30" s="260"/>
      <c r="H30" s="38"/>
      <c r="I30" s="77"/>
    </row>
    <row r="31" spans="1:10" ht="21" customHeight="1">
      <c r="A31" s="39"/>
      <c r="B31" s="38"/>
      <c r="C31" s="38"/>
      <c r="D31" s="279"/>
      <c r="E31" s="260"/>
      <c r="F31" s="261"/>
      <c r="G31" s="260"/>
      <c r="H31" s="38"/>
      <c r="I31" s="77"/>
    </row>
    <row r="32" spans="1:10" ht="21" customHeight="1">
      <c r="A32" s="39"/>
      <c r="B32" s="38"/>
      <c r="C32" s="38"/>
      <c r="D32" s="279"/>
      <c r="E32" s="260"/>
      <c r="F32" s="261"/>
      <c r="G32" s="260"/>
      <c r="H32" s="38"/>
      <c r="I32" s="77"/>
    </row>
    <row r="33" spans="1:9" ht="21" customHeight="1">
      <c r="A33" s="39"/>
      <c r="B33" s="38"/>
      <c r="C33" s="38"/>
      <c r="D33" s="279"/>
      <c r="E33" s="260"/>
      <c r="F33" s="261"/>
      <c r="G33" s="260"/>
      <c r="H33" s="38"/>
      <c r="I33" s="77"/>
    </row>
    <row r="34" spans="1:9" ht="21" customHeight="1">
      <c r="A34" s="39"/>
      <c r="B34" s="38"/>
      <c r="C34" s="38"/>
      <c r="D34" s="279"/>
      <c r="E34" s="260"/>
      <c r="F34" s="261"/>
      <c r="G34" s="260"/>
      <c r="H34" s="38"/>
      <c r="I34" s="77"/>
    </row>
    <row r="35" spans="1:9" ht="21" customHeight="1">
      <c r="A35" s="39"/>
      <c r="B35" s="38"/>
      <c r="C35" s="38"/>
      <c r="D35" s="279"/>
      <c r="E35" s="260"/>
      <c r="F35" s="261"/>
      <c r="G35" s="260"/>
      <c r="H35" s="38"/>
      <c r="I35" s="77"/>
    </row>
    <row r="36" spans="1:9" ht="21" customHeight="1">
      <c r="A36" s="39"/>
      <c r="B36" s="38"/>
      <c r="C36" s="38"/>
      <c r="D36" s="279"/>
      <c r="E36" s="260"/>
      <c r="F36" s="261"/>
      <c r="G36" s="260"/>
      <c r="H36" s="38"/>
      <c r="I36" s="77"/>
    </row>
    <row r="37" spans="1:9" ht="21" customHeight="1">
      <c r="A37" s="39"/>
      <c r="B37" s="38"/>
      <c r="C37" s="38"/>
      <c r="D37" s="279"/>
      <c r="E37" s="260"/>
      <c r="F37" s="261"/>
      <c r="G37" s="260"/>
      <c r="H37" s="38"/>
      <c r="I37" s="77"/>
    </row>
    <row r="38" spans="1:9" ht="21" customHeight="1">
      <c r="A38" s="39"/>
      <c r="B38" s="38"/>
      <c r="C38" s="38"/>
      <c r="D38" s="279"/>
      <c r="E38" s="260"/>
      <c r="F38" s="261"/>
      <c r="G38" s="260"/>
      <c r="H38" s="38"/>
      <c r="I38" s="77"/>
    </row>
    <row r="39" spans="1:9" ht="21" customHeight="1">
      <c r="A39" s="39"/>
      <c r="B39" s="38"/>
      <c r="C39" s="38"/>
      <c r="D39" s="279"/>
      <c r="E39" s="260"/>
      <c r="F39" s="261"/>
      <c r="G39" s="260"/>
      <c r="H39" s="38"/>
      <c r="I39" s="77"/>
    </row>
    <row r="40" spans="1:9" ht="21" customHeight="1">
      <c r="A40" s="39"/>
      <c r="B40" s="38"/>
      <c r="C40" s="38"/>
      <c r="D40" s="279"/>
      <c r="E40" s="260"/>
      <c r="F40" s="261"/>
      <c r="G40" s="260"/>
      <c r="H40" s="38"/>
      <c r="I40" s="77"/>
    </row>
    <row r="41" spans="1:9" ht="21" customHeight="1">
      <c r="A41" s="39"/>
      <c r="B41" s="38"/>
      <c r="C41" s="38"/>
      <c r="D41" s="279"/>
      <c r="E41" s="260"/>
      <c r="F41" s="261"/>
      <c r="G41" s="260"/>
      <c r="H41" s="38"/>
      <c r="I41" s="77"/>
    </row>
    <row r="42" spans="1:9" ht="21" customHeight="1">
      <c r="A42" s="39"/>
      <c r="B42" s="38"/>
      <c r="C42" s="38"/>
      <c r="D42" s="279"/>
      <c r="E42" s="260"/>
      <c r="F42" s="261"/>
      <c r="G42" s="260"/>
      <c r="H42" s="38"/>
      <c r="I42" s="77"/>
    </row>
    <row r="43" spans="1:9" ht="21" customHeight="1">
      <c r="A43" s="39"/>
      <c r="B43" s="38"/>
      <c r="C43" s="38"/>
      <c r="D43" s="279"/>
      <c r="E43" s="260"/>
      <c r="F43" s="261"/>
      <c r="G43" s="260"/>
      <c r="H43" s="38"/>
      <c r="I43" s="77"/>
    </row>
    <row r="44" spans="1:9" ht="21" customHeight="1">
      <c r="A44" s="39"/>
      <c r="B44" s="38"/>
      <c r="C44" s="38"/>
      <c r="D44" s="279"/>
      <c r="E44" s="260"/>
      <c r="F44" s="261"/>
      <c r="G44" s="260"/>
      <c r="H44" s="38"/>
      <c r="I44" s="77"/>
    </row>
    <row r="45" spans="1:9" ht="21" customHeight="1">
      <c r="A45" s="39"/>
      <c r="B45" s="38"/>
      <c r="C45" s="38"/>
      <c r="D45" s="279"/>
      <c r="E45" s="260"/>
      <c r="F45" s="261"/>
      <c r="G45" s="260"/>
      <c r="H45" s="38"/>
      <c r="I45" s="77"/>
    </row>
    <row r="46" spans="1:9" ht="21" customHeight="1">
      <c r="A46" s="39"/>
      <c r="B46" s="38"/>
      <c r="C46" s="38"/>
      <c r="D46" s="279"/>
      <c r="E46" s="260"/>
      <c r="F46" s="261"/>
      <c r="G46" s="260"/>
      <c r="H46" s="38"/>
      <c r="I46" s="77"/>
    </row>
    <row r="47" spans="1:9" ht="21" customHeight="1">
      <c r="A47" s="39"/>
      <c r="B47" s="38"/>
      <c r="C47" s="38"/>
      <c r="D47" s="279"/>
      <c r="E47" s="260"/>
      <c r="F47" s="261"/>
      <c r="G47" s="260"/>
      <c r="H47" s="38"/>
      <c r="I47" s="77"/>
    </row>
    <row r="48" spans="1:9" ht="21" customHeight="1">
      <c r="A48" s="39"/>
      <c r="B48" s="38"/>
      <c r="C48" s="38"/>
      <c r="D48" s="279"/>
      <c r="E48" s="260"/>
      <c r="F48" s="261"/>
      <c r="G48" s="260"/>
      <c r="H48" s="38"/>
      <c r="I48" s="77"/>
    </row>
    <row r="49" spans="1:9" ht="21" customHeight="1">
      <c r="A49" s="39"/>
      <c r="B49" s="38"/>
      <c r="C49" s="38"/>
      <c r="D49" s="279"/>
      <c r="E49" s="260"/>
      <c r="F49" s="261"/>
      <c r="G49" s="260"/>
      <c r="H49" s="38"/>
      <c r="I49" s="77"/>
    </row>
    <row r="50" spans="1:9" ht="21" customHeight="1">
      <c r="A50" s="39"/>
      <c r="B50" s="38"/>
      <c r="C50" s="38"/>
      <c r="D50" s="279"/>
      <c r="E50" s="260"/>
      <c r="F50" s="261"/>
      <c r="G50" s="260"/>
      <c r="H50" s="38"/>
      <c r="I50" s="77"/>
    </row>
    <row r="51" spans="1:9" ht="21" customHeight="1">
      <c r="A51" s="39"/>
      <c r="B51" s="38"/>
      <c r="C51" s="38"/>
      <c r="D51" s="279"/>
      <c r="E51" s="260"/>
      <c r="F51" s="261"/>
      <c r="G51" s="260"/>
      <c r="H51" s="38"/>
      <c r="I51" s="77"/>
    </row>
    <row r="52" spans="1:9" ht="21" customHeight="1">
      <c r="A52" s="39"/>
      <c r="B52" s="38"/>
      <c r="C52" s="38"/>
      <c r="D52" s="279"/>
      <c r="E52" s="260"/>
      <c r="F52" s="261"/>
      <c r="G52" s="260"/>
      <c r="H52" s="38"/>
      <c r="I52" s="77"/>
    </row>
    <row r="53" spans="1:9" ht="21" customHeight="1">
      <c r="A53" s="39"/>
      <c r="B53" s="38"/>
      <c r="C53" s="38"/>
      <c r="D53" s="279"/>
      <c r="E53" s="260"/>
      <c r="F53" s="261"/>
      <c r="G53" s="260"/>
      <c r="H53" s="38"/>
      <c r="I53" s="77"/>
    </row>
    <row r="54" spans="1:9" ht="21" customHeight="1">
      <c r="A54" s="39"/>
      <c r="B54" s="38"/>
      <c r="C54" s="38"/>
      <c r="D54" s="279"/>
      <c r="E54" s="260"/>
      <c r="F54" s="261"/>
      <c r="G54" s="260"/>
      <c r="H54" s="38"/>
      <c r="I54" s="77"/>
    </row>
    <row r="55" spans="1:9" ht="21" customHeight="1">
      <c r="A55" s="39"/>
      <c r="B55" s="38"/>
      <c r="C55" s="38"/>
      <c r="D55" s="279"/>
      <c r="E55" s="260"/>
      <c r="F55" s="261"/>
      <c r="G55" s="260"/>
      <c r="H55" s="38"/>
      <c r="I55" s="77"/>
    </row>
    <row r="56" spans="1:9" ht="21" customHeight="1">
      <c r="A56" s="39"/>
      <c r="B56" s="38"/>
      <c r="C56" s="38"/>
      <c r="D56" s="279"/>
      <c r="E56" s="260"/>
      <c r="F56" s="261"/>
      <c r="G56" s="260"/>
      <c r="H56" s="38"/>
      <c r="I56" s="77"/>
    </row>
    <row r="57" spans="1:9" ht="21" customHeight="1">
      <c r="A57" s="39"/>
      <c r="B57" s="38"/>
      <c r="C57" s="38"/>
      <c r="D57" s="279"/>
      <c r="E57" s="260"/>
      <c r="F57" s="261"/>
      <c r="G57" s="260"/>
      <c r="H57" s="38"/>
      <c r="I57" s="77"/>
    </row>
    <row r="58" spans="1:9" ht="21" customHeight="1">
      <c r="A58" s="39"/>
      <c r="B58" s="38"/>
      <c r="C58" s="38"/>
      <c r="D58" s="279"/>
      <c r="E58" s="260"/>
      <c r="F58" s="261"/>
      <c r="G58" s="260"/>
      <c r="H58" s="38"/>
      <c r="I58" s="77"/>
    </row>
    <row r="59" spans="1:9" ht="21" customHeight="1">
      <c r="A59" s="39"/>
      <c r="B59" s="38"/>
      <c r="C59" s="38"/>
      <c r="D59" s="279"/>
      <c r="E59" s="260"/>
      <c r="F59" s="261"/>
      <c r="G59" s="260"/>
      <c r="H59" s="38"/>
      <c r="I59" s="77"/>
    </row>
    <row r="60" spans="1:9" ht="21" customHeight="1">
      <c r="A60" s="39"/>
      <c r="B60" s="38"/>
      <c r="C60" s="38"/>
      <c r="D60" s="279"/>
      <c r="E60" s="260"/>
      <c r="F60" s="261"/>
      <c r="G60" s="260"/>
      <c r="H60" s="38"/>
      <c r="I60" s="77"/>
    </row>
    <row r="61" spans="1:9" ht="21" customHeight="1">
      <c r="A61" s="39"/>
      <c r="B61" s="38"/>
      <c r="C61" s="38"/>
      <c r="D61" s="279"/>
      <c r="E61" s="260"/>
      <c r="F61" s="261"/>
      <c r="G61" s="260"/>
      <c r="H61" s="38"/>
      <c r="I61" s="77"/>
    </row>
    <row r="62" spans="1:9" ht="21" customHeight="1">
      <c r="A62" s="39"/>
      <c r="B62" s="38"/>
      <c r="C62" s="38"/>
      <c r="D62" s="279"/>
      <c r="E62" s="260"/>
      <c r="F62" s="261"/>
      <c r="G62" s="260"/>
      <c r="H62" s="38"/>
      <c r="I62" s="77"/>
    </row>
    <row r="63" spans="1:9" ht="21" customHeight="1">
      <c r="A63" s="39"/>
      <c r="B63" s="38"/>
      <c r="C63" s="38"/>
      <c r="D63" s="279"/>
      <c r="E63" s="260"/>
      <c r="F63" s="261"/>
      <c r="G63" s="260"/>
      <c r="H63" s="38"/>
      <c r="I63" s="77"/>
    </row>
    <row r="64" spans="1:9" ht="21" customHeight="1">
      <c r="A64" s="39"/>
      <c r="B64" s="38"/>
      <c r="C64" s="38"/>
      <c r="D64" s="279"/>
      <c r="E64" s="260"/>
      <c r="F64" s="261"/>
      <c r="G64" s="260"/>
      <c r="H64" s="38"/>
      <c r="I64" s="77"/>
    </row>
    <row r="65" spans="1:9" ht="21" customHeight="1">
      <c r="A65" s="39"/>
      <c r="B65" s="38"/>
      <c r="C65" s="38"/>
      <c r="D65" s="279"/>
      <c r="E65" s="260"/>
      <c r="F65" s="261"/>
      <c r="G65" s="260"/>
      <c r="H65" s="38"/>
      <c r="I65" s="77"/>
    </row>
    <row r="66" spans="1:9" ht="21" customHeight="1">
      <c r="A66" s="39"/>
      <c r="B66" s="38"/>
      <c r="C66" s="38"/>
      <c r="D66" s="279"/>
      <c r="E66" s="260"/>
      <c r="F66" s="261"/>
      <c r="G66" s="260"/>
      <c r="H66" s="38"/>
      <c r="I66" s="77"/>
    </row>
    <row r="67" spans="1:9" ht="21" customHeight="1">
      <c r="A67" s="39"/>
      <c r="B67" s="38"/>
      <c r="C67" s="38"/>
      <c r="D67" s="279"/>
      <c r="E67" s="260"/>
      <c r="F67" s="261"/>
      <c r="G67" s="260"/>
      <c r="H67" s="38"/>
      <c r="I67" s="77"/>
    </row>
    <row r="68" spans="1:9" ht="21" customHeight="1">
      <c r="A68" s="39"/>
      <c r="B68" s="38"/>
      <c r="C68" s="38"/>
      <c r="D68" s="279"/>
      <c r="E68" s="260"/>
      <c r="F68" s="261"/>
      <c r="G68" s="260"/>
      <c r="H68" s="38"/>
      <c r="I68" s="77"/>
    </row>
    <row r="69" spans="1:9" ht="21" customHeight="1">
      <c r="A69" s="39"/>
      <c r="B69" s="38"/>
      <c r="C69" s="38"/>
      <c r="D69" s="279"/>
      <c r="E69" s="260"/>
      <c r="F69" s="261"/>
      <c r="G69" s="260"/>
      <c r="H69" s="38"/>
      <c r="I69" s="77"/>
    </row>
    <row r="70" spans="1:9" ht="21" customHeight="1">
      <c r="A70" s="39"/>
      <c r="B70" s="38"/>
      <c r="C70" s="38"/>
      <c r="D70" s="279"/>
      <c r="E70" s="260"/>
      <c r="F70" s="261"/>
      <c r="G70" s="260"/>
      <c r="H70" s="38"/>
      <c r="I70" s="77"/>
    </row>
    <row r="71" spans="1:9" ht="21" customHeight="1">
      <c r="A71" s="39"/>
      <c r="B71" s="38"/>
      <c r="C71" s="38"/>
      <c r="D71" s="279"/>
      <c r="E71" s="260"/>
      <c r="F71" s="261"/>
      <c r="G71" s="260"/>
      <c r="H71" s="38"/>
      <c r="I71" s="77"/>
    </row>
    <row r="72" spans="1:9" ht="21" customHeight="1">
      <c r="A72" s="39"/>
      <c r="B72" s="38"/>
      <c r="C72" s="38"/>
      <c r="D72" s="279"/>
      <c r="E72" s="260"/>
      <c r="F72" s="261"/>
      <c r="G72" s="260"/>
      <c r="H72" s="38"/>
      <c r="I72" s="77"/>
    </row>
    <row r="73" spans="1:9" ht="21" customHeight="1">
      <c r="A73" s="39"/>
      <c r="B73" s="38"/>
      <c r="C73" s="38"/>
      <c r="D73" s="279"/>
      <c r="E73" s="260"/>
      <c r="F73" s="261"/>
      <c r="G73" s="260"/>
      <c r="H73" s="38"/>
      <c r="I73" s="77"/>
    </row>
    <row r="74" spans="1:9" ht="21" customHeight="1">
      <c r="A74" s="14"/>
      <c r="B74" s="6"/>
      <c r="C74" s="3"/>
      <c r="D74" s="259"/>
      <c r="E74" s="260"/>
      <c r="F74" s="261"/>
      <c r="G74" s="260"/>
      <c r="H74" s="38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38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38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38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38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38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38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38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38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38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38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38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38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38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38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38"/>
      <c r="I89" s="7"/>
    </row>
    <row r="90" spans="1:9" ht="21" customHeight="1">
      <c r="A90" s="14"/>
      <c r="B90" s="6"/>
      <c r="C90" s="9"/>
      <c r="D90" s="259"/>
      <c r="E90" s="260"/>
      <c r="F90" s="261"/>
      <c r="G90" s="260"/>
      <c r="H90" s="38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38"/>
      <c r="I91" s="7"/>
    </row>
  </sheetData>
  <mergeCells count="182">
    <mergeCell ref="F90:G90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H4:I4"/>
    <mergeCell ref="D80:E80"/>
    <mergeCell ref="F40:G40"/>
    <mergeCell ref="D21:E21"/>
    <mergeCell ref="F59:G59"/>
    <mergeCell ref="F55:G55"/>
    <mergeCell ref="F12:G12"/>
    <mergeCell ref="F24:G24"/>
    <mergeCell ref="D57:E57"/>
    <mergeCell ref="D91:E91"/>
    <mergeCell ref="F8:G8"/>
    <mergeCell ref="F91:G91"/>
    <mergeCell ref="A5:B5"/>
    <mergeCell ref="D28:E28"/>
    <mergeCell ref="F22:G22"/>
    <mergeCell ref="D12:E12"/>
    <mergeCell ref="D25:E25"/>
    <mergeCell ref="D83:E83"/>
    <mergeCell ref="F77:G77"/>
    <mergeCell ref="D55:E55"/>
    <mergeCell ref="D30:E30"/>
    <mergeCell ref="D67:E67"/>
    <mergeCell ref="F49:G49"/>
    <mergeCell ref="D14:E14"/>
    <mergeCell ref="D85:E85"/>
    <mergeCell ref="F14:G14"/>
    <mergeCell ref="D54:E54"/>
    <mergeCell ref="D69:E69"/>
    <mergeCell ref="F69:G69"/>
    <mergeCell ref="F11:G11"/>
    <mergeCell ref="F78:G78"/>
    <mergeCell ref="F65:G65"/>
    <mergeCell ref="D46:E46"/>
    <mergeCell ref="H3:I3"/>
    <mergeCell ref="F39:G39"/>
    <mergeCell ref="F48:G48"/>
    <mergeCell ref="D15:E15"/>
    <mergeCell ref="D29:E29"/>
    <mergeCell ref="D23:E23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F53:G53"/>
    <mergeCell ref="D49:E49"/>
    <mergeCell ref="D27:E27"/>
    <mergeCell ref="F36:G36"/>
    <mergeCell ref="D90:E90"/>
    <mergeCell ref="F19:G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18:G18"/>
    <mergeCell ref="F76:G76"/>
    <mergeCell ref="F33:G33"/>
    <mergeCell ref="F45:G45"/>
    <mergeCell ref="F85:G85"/>
    <mergeCell ref="F42:G42"/>
    <mergeCell ref="D66:E66"/>
    <mergeCell ref="F17:G17"/>
    <mergeCell ref="F66:G66"/>
    <mergeCell ref="D75:E75"/>
    <mergeCell ref="D53:E53"/>
    <mergeCell ref="F75:G75"/>
    <mergeCell ref="D47:E47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34:E34"/>
    <mergeCell ref="F47:G47"/>
    <mergeCell ref="F62:G62"/>
    <mergeCell ref="D37:E37"/>
    <mergeCell ref="F31:G31"/>
    <mergeCell ref="F46:G46"/>
    <mergeCell ref="F28:G28"/>
    <mergeCell ref="D39:E39"/>
    <mergeCell ref="F61:G61"/>
    <mergeCell ref="F50:G50"/>
    <mergeCell ref="D17:E17"/>
    <mergeCell ref="D40:E40"/>
    <mergeCell ref="D87:E87"/>
    <mergeCell ref="B4:D4"/>
    <mergeCell ref="D62:E62"/>
    <mergeCell ref="D56:E56"/>
    <mergeCell ref="F13:G13"/>
    <mergeCell ref="D71:E71"/>
    <mergeCell ref="F56:G56"/>
    <mergeCell ref="F71:G71"/>
    <mergeCell ref="F43:G43"/>
    <mergeCell ref="D24:E24"/>
    <mergeCell ref="D64:E64"/>
    <mergeCell ref="D33:E33"/>
    <mergeCell ref="D51:E51"/>
    <mergeCell ref="D9:E9"/>
    <mergeCell ref="F9:G9"/>
    <mergeCell ref="E4:G4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F23:G23"/>
    <mergeCell ref="F81:G81"/>
    <mergeCell ref="D73:E7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7"/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7" style="246" customWidth="1"/>
    <col min="7" max="7" width="6.33203125" style="246" customWidth="1"/>
    <col min="8" max="8" width="11.77734375" style="246" customWidth="1"/>
    <col min="9" max="9" width="18.4414062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1152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1153</v>
      </c>
      <c r="C3" s="263"/>
      <c r="D3" s="260"/>
      <c r="E3" s="266" t="s">
        <v>11</v>
      </c>
      <c r="F3" s="263"/>
      <c r="G3" s="260"/>
      <c r="H3" s="268" t="s">
        <v>1154</v>
      </c>
      <c r="I3" s="269"/>
      <c r="J3" s="19" t="str">
        <f>B3</f>
        <v>Larpam 2mg</v>
      </c>
      <c r="K3" s="34" t="s">
        <v>1155</v>
      </c>
      <c r="L3" s="5">
        <f>H7</f>
        <v>0</v>
      </c>
      <c r="M3" s="3">
        <f>SUM(C$7:C$1048576)</f>
        <v>0</v>
      </c>
      <c r="N3" s="3">
        <f>SUM(F:F)</f>
        <v>0</v>
      </c>
      <c r="O3" s="3">
        <f>L3+M3-N3</f>
        <v>0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1156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164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7"/>
      <c r="D8" s="259"/>
      <c r="E8" s="260"/>
      <c r="F8" s="279"/>
      <c r="G8" s="260"/>
      <c r="H8" s="38"/>
      <c r="I8" s="90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7"/>
      <c r="D10" s="259"/>
      <c r="E10" s="260"/>
      <c r="F10" s="279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7"/>
      <c r="D11" s="259"/>
      <c r="E11" s="260"/>
      <c r="F11" s="279"/>
      <c r="G11" s="260"/>
      <c r="H11" s="38"/>
      <c r="I11" s="27"/>
      <c r="J11" s="12"/>
      <c r="K11" s="3"/>
      <c r="L11" s="3"/>
      <c r="M11" s="3"/>
      <c r="N11" s="3"/>
      <c r="O11" s="3"/>
    </row>
    <row r="12" spans="1:15" ht="26.7" customHeight="1">
      <c r="A12" s="39"/>
      <c r="B12" s="6"/>
      <c r="C12" s="7"/>
      <c r="D12" s="259"/>
      <c r="E12" s="260"/>
      <c r="F12" s="279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7"/>
      <c r="D13" s="259"/>
      <c r="E13" s="260"/>
      <c r="F13" s="279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6"/>
      <c r="C14" s="7"/>
      <c r="D14" s="259"/>
      <c r="E14" s="260"/>
      <c r="F14" s="279"/>
      <c r="G14" s="260"/>
      <c r="H14" s="38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6"/>
      <c r="C15" s="7"/>
      <c r="D15" s="259"/>
      <c r="E15" s="260"/>
      <c r="F15" s="279"/>
      <c r="G15" s="260"/>
      <c r="H15" s="38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6"/>
      <c r="C16" s="7"/>
      <c r="D16" s="259"/>
      <c r="E16" s="260"/>
      <c r="F16" s="279"/>
      <c r="G16" s="260"/>
      <c r="H16" s="38"/>
      <c r="I16" s="26"/>
      <c r="J16" s="12"/>
      <c r="K16" s="3"/>
      <c r="L16" s="3"/>
      <c r="M16" s="3"/>
      <c r="N16" s="3"/>
      <c r="O16" s="3"/>
    </row>
    <row r="17" spans="1:10" ht="26.7" customHeight="1">
      <c r="A17" s="39"/>
      <c r="B17" s="6"/>
      <c r="C17" s="7"/>
      <c r="D17" s="259"/>
      <c r="E17" s="260"/>
      <c r="F17" s="279"/>
      <c r="G17" s="260"/>
      <c r="H17" s="38"/>
      <c r="I17" s="26"/>
      <c r="J17" s="12"/>
    </row>
    <row r="18" spans="1:10" ht="26.7" customHeight="1">
      <c r="A18" s="39"/>
      <c r="B18" s="6"/>
      <c r="C18" s="7"/>
      <c r="D18" s="259"/>
      <c r="E18" s="260"/>
      <c r="F18" s="279"/>
      <c r="G18" s="260"/>
      <c r="H18" s="38"/>
      <c r="I18" s="26"/>
      <c r="J18" s="12"/>
    </row>
    <row r="19" spans="1:10" ht="26.7" customHeight="1">
      <c r="A19" s="39"/>
      <c r="B19" s="6"/>
      <c r="C19" s="7"/>
      <c r="D19" s="259"/>
      <c r="E19" s="260"/>
      <c r="F19" s="279"/>
      <c r="G19" s="260"/>
      <c r="H19" s="38"/>
      <c r="I19" s="26"/>
      <c r="J19" s="12"/>
    </row>
    <row r="20" spans="1:10" ht="26.7" customHeight="1">
      <c r="A20" s="39"/>
      <c r="B20" s="6"/>
      <c r="C20" s="7"/>
      <c r="D20" s="259"/>
      <c r="E20" s="260"/>
      <c r="F20" s="279"/>
      <c r="G20" s="260"/>
      <c r="H20" s="38"/>
      <c r="I20" s="26"/>
      <c r="J20" s="12"/>
    </row>
    <row r="21" spans="1:10" ht="26.7" customHeight="1">
      <c r="A21" s="39"/>
      <c r="B21" s="6"/>
      <c r="C21" s="7"/>
      <c r="D21" s="259"/>
      <c r="E21" s="260"/>
      <c r="F21" s="279"/>
      <c r="G21" s="260"/>
      <c r="H21" s="38"/>
      <c r="I21" s="26"/>
      <c r="J21" s="12"/>
    </row>
    <row r="22" spans="1:10" ht="26.7" customHeight="1">
      <c r="A22" s="39"/>
      <c r="B22" s="6"/>
      <c r="C22" s="7"/>
      <c r="D22" s="259"/>
      <c r="E22" s="260"/>
      <c r="F22" s="279"/>
      <c r="G22" s="260"/>
      <c r="H22" s="38"/>
      <c r="I22" s="26"/>
      <c r="J22" s="12"/>
    </row>
    <row r="23" spans="1:10" ht="26.7" customHeight="1">
      <c r="A23" s="39"/>
      <c r="B23" s="6"/>
      <c r="C23" s="7"/>
      <c r="D23" s="259"/>
      <c r="E23" s="260"/>
      <c r="F23" s="279"/>
      <c r="G23" s="260"/>
      <c r="H23" s="38"/>
      <c r="I23" s="26"/>
      <c r="J23" s="12"/>
    </row>
    <row r="24" spans="1:10" ht="26.7" customHeight="1">
      <c r="A24" s="39"/>
      <c r="B24" s="6"/>
      <c r="C24" s="7"/>
      <c r="D24" s="259"/>
      <c r="E24" s="260"/>
      <c r="F24" s="279"/>
      <c r="G24" s="260"/>
      <c r="H24" s="38"/>
      <c r="I24" s="26"/>
      <c r="J24" s="12"/>
    </row>
    <row r="25" spans="1:10" ht="26.7" customHeight="1">
      <c r="A25" s="39"/>
      <c r="B25" s="6"/>
      <c r="C25" s="7"/>
      <c r="D25" s="259"/>
      <c r="E25" s="260"/>
      <c r="F25" s="279"/>
      <c r="G25" s="260"/>
      <c r="H25" s="38"/>
      <c r="I25" s="28"/>
      <c r="J25" s="12"/>
    </row>
    <row r="26" spans="1:10" ht="26.7" customHeight="1">
      <c r="A26" s="39"/>
      <c r="B26" s="6"/>
      <c r="C26" s="7"/>
      <c r="D26" s="259"/>
      <c r="E26" s="260"/>
      <c r="F26" s="279"/>
      <c r="G26" s="260"/>
      <c r="H26" s="38"/>
      <c r="I26" s="26"/>
      <c r="J26" s="12"/>
    </row>
    <row r="27" spans="1:10" ht="26.7" customHeight="1">
      <c r="A27" s="39"/>
      <c r="B27" s="6"/>
      <c r="C27" s="7"/>
      <c r="D27" s="259"/>
      <c r="E27" s="260"/>
      <c r="F27" s="279"/>
      <c r="G27" s="260"/>
      <c r="H27" s="38"/>
      <c r="I27" s="26"/>
      <c r="J27" s="12"/>
    </row>
    <row r="28" spans="1:10" ht="26.7" customHeight="1">
      <c r="A28" s="39"/>
      <c r="B28" s="6"/>
      <c r="C28" s="7"/>
      <c r="D28" s="259"/>
      <c r="E28" s="260"/>
      <c r="F28" s="279"/>
      <c r="G28" s="260"/>
      <c r="H28" s="38"/>
      <c r="I28" s="26"/>
      <c r="J28" s="12"/>
    </row>
    <row r="29" spans="1:10" ht="26.7" customHeight="1">
      <c r="A29" s="39"/>
      <c r="B29" s="6"/>
      <c r="C29" s="7"/>
      <c r="D29" s="259"/>
      <c r="E29" s="260"/>
      <c r="F29" s="279"/>
      <c r="G29" s="260"/>
      <c r="H29" s="38"/>
      <c r="I29" s="26"/>
      <c r="J29" s="12"/>
    </row>
    <row r="30" spans="1:10" ht="26.7" customHeight="1">
      <c r="A30" s="39"/>
      <c r="B30" s="6"/>
      <c r="C30" s="7"/>
      <c r="D30" s="259"/>
      <c r="E30" s="260"/>
      <c r="F30" s="279"/>
      <c r="G30" s="260"/>
      <c r="H30" s="38"/>
      <c r="I30" s="26"/>
      <c r="J30" s="12"/>
    </row>
    <row r="31" spans="1:10" ht="26.7" customHeight="1" thickBot="1">
      <c r="A31" s="39"/>
      <c r="B31" s="30"/>
      <c r="C31" s="31"/>
      <c r="D31" s="264"/>
      <c r="E31" s="265"/>
      <c r="F31" s="279"/>
      <c r="G31" s="260"/>
      <c r="H31" s="38"/>
      <c r="I31" s="32"/>
      <c r="J31" s="12"/>
    </row>
    <row r="32" spans="1:10" ht="21" customHeight="1">
      <c r="A32" s="39"/>
      <c r="B32" s="21"/>
      <c r="C32" s="22"/>
      <c r="D32" s="276"/>
      <c r="E32" s="277"/>
      <c r="F32" s="279"/>
      <c r="G32" s="260"/>
      <c r="H32" s="38"/>
      <c r="I32" s="22"/>
      <c r="J32" s="3"/>
    </row>
    <row r="33" spans="1:9" ht="21" customHeight="1">
      <c r="A33" s="39"/>
      <c r="B33" s="6"/>
      <c r="C33" s="7"/>
      <c r="D33" s="259"/>
      <c r="E33" s="260"/>
      <c r="F33" s="279"/>
      <c r="G33" s="260"/>
      <c r="H33" s="38"/>
      <c r="I33" s="7"/>
    </row>
    <row r="34" spans="1:9" ht="21" customHeight="1">
      <c r="A34" s="39"/>
      <c r="B34" s="6"/>
      <c r="C34" s="7"/>
      <c r="D34" s="259"/>
      <c r="E34" s="260"/>
      <c r="F34" s="279"/>
      <c r="G34" s="260"/>
      <c r="H34" s="38"/>
      <c r="I34" s="16"/>
    </row>
    <row r="35" spans="1:9" ht="21" customHeight="1">
      <c r="A35" s="39"/>
      <c r="B35" s="6"/>
      <c r="C35" s="7"/>
      <c r="D35" s="259"/>
      <c r="E35" s="260"/>
      <c r="F35" s="279"/>
      <c r="G35" s="260"/>
      <c r="H35" s="38"/>
      <c r="I35" s="7"/>
    </row>
    <row r="36" spans="1:9" ht="21" customHeight="1">
      <c r="A36" s="39"/>
      <c r="B36" s="6"/>
      <c r="C36" s="7"/>
      <c r="D36" s="259"/>
      <c r="E36" s="260"/>
      <c r="F36" s="279"/>
      <c r="G36" s="260"/>
      <c r="H36" s="38"/>
      <c r="I36" s="7"/>
    </row>
    <row r="37" spans="1:9" ht="21" customHeight="1">
      <c r="A37" s="39"/>
      <c r="B37" s="6"/>
      <c r="C37" s="3"/>
      <c r="D37" s="259"/>
      <c r="E37" s="260"/>
      <c r="F37" s="279"/>
      <c r="G37" s="260"/>
      <c r="H37" s="38"/>
      <c r="I37" s="16"/>
    </row>
    <row r="38" spans="1:9" ht="21" customHeight="1">
      <c r="A38" s="39"/>
      <c r="B38" s="6"/>
      <c r="C38" s="3"/>
      <c r="D38" s="259"/>
      <c r="E38" s="260"/>
      <c r="F38" s="279"/>
      <c r="G38" s="260"/>
      <c r="H38" s="38"/>
      <c r="I38" s="7"/>
    </row>
    <row r="39" spans="1:9" ht="21" customHeight="1">
      <c r="A39" s="39"/>
      <c r="B39" s="6"/>
      <c r="C39" s="3"/>
      <c r="D39" s="259"/>
      <c r="E39" s="260"/>
      <c r="F39" s="279"/>
      <c r="G39" s="260"/>
      <c r="H39" s="38"/>
      <c r="I39" s="7"/>
    </row>
    <row r="40" spans="1:9" ht="21" customHeight="1">
      <c r="A40" s="39"/>
      <c r="B40" s="6"/>
      <c r="C40" s="3"/>
      <c r="D40" s="259"/>
      <c r="E40" s="260"/>
      <c r="F40" s="279"/>
      <c r="G40" s="260"/>
      <c r="H40" s="38"/>
      <c r="I40" s="7"/>
    </row>
    <row r="41" spans="1:9" ht="21" customHeight="1">
      <c r="A41" s="39"/>
      <c r="B41" s="6"/>
      <c r="C41" s="3"/>
      <c r="D41" s="259"/>
      <c r="E41" s="260"/>
      <c r="F41" s="279"/>
      <c r="G41" s="260"/>
      <c r="H41" s="38"/>
      <c r="I41" s="7"/>
    </row>
    <row r="42" spans="1:9" ht="21" customHeight="1">
      <c r="A42" s="39"/>
      <c r="B42" s="6"/>
      <c r="C42" s="3"/>
      <c r="D42" s="259"/>
      <c r="E42" s="260"/>
      <c r="F42" s="279"/>
      <c r="G42" s="260"/>
      <c r="H42" s="38"/>
      <c r="I42" s="7"/>
    </row>
    <row r="43" spans="1:9" ht="21" customHeight="1">
      <c r="A43" s="39"/>
      <c r="B43" s="6"/>
      <c r="C43" s="3"/>
      <c r="D43" s="259"/>
      <c r="E43" s="260"/>
      <c r="F43" s="279"/>
      <c r="G43" s="260"/>
      <c r="H43" s="38"/>
      <c r="I43" s="7"/>
    </row>
    <row r="44" spans="1:9" ht="21" customHeight="1">
      <c r="A44" s="39"/>
      <c r="B44" s="6"/>
      <c r="C44" s="3"/>
      <c r="D44" s="259"/>
      <c r="E44" s="260"/>
      <c r="F44" s="279"/>
      <c r="G44" s="260"/>
      <c r="H44" s="38"/>
      <c r="I44" s="7"/>
    </row>
    <row r="45" spans="1:9" ht="21" customHeight="1">
      <c r="A45" s="39"/>
      <c r="B45" s="6"/>
      <c r="C45" s="3"/>
      <c r="D45" s="259"/>
      <c r="E45" s="260"/>
      <c r="F45" s="261"/>
      <c r="G45" s="260"/>
      <c r="H45" s="38"/>
      <c r="I45" s="7"/>
    </row>
    <row r="46" spans="1:9" ht="21" customHeight="1">
      <c r="A46" s="39"/>
      <c r="B46" s="6"/>
      <c r="C46" s="3"/>
      <c r="D46" s="259"/>
      <c r="E46" s="260"/>
      <c r="F46" s="261"/>
      <c r="G46" s="260"/>
      <c r="H46" s="38"/>
      <c r="I46" s="7"/>
    </row>
    <row r="47" spans="1:9" ht="21" customHeight="1">
      <c r="A47" s="39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39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39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39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39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39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39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39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39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39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39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39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39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39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39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39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39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39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8">
    <tabColor theme="2" tint="-0.499984740745262"/>
  </sheetPr>
  <dimension ref="A1:O104"/>
  <sheetViews>
    <sheetView topLeftCell="C1" workbookViewId="0">
      <selection activeCell="O3" sqref="O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1157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1158</v>
      </c>
      <c r="C3" s="263"/>
      <c r="D3" s="260"/>
      <c r="E3" s="266" t="s">
        <v>11</v>
      </c>
      <c r="F3" s="263"/>
      <c r="G3" s="260"/>
      <c r="H3" s="268" t="s">
        <v>1159</v>
      </c>
      <c r="I3" s="269"/>
      <c r="J3" s="19" t="str">
        <f>B3</f>
        <v>Camadol 50mg</v>
      </c>
      <c r="K3" s="34" t="s">
        <v>1160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1161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86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9"/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1162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1163</v>
      </c>
      <c r="C3" s="263"/>
      <c r="D3" s="260"/>
      <c r="E3" s="266" t="s">
        <v>11</v>
      </c>
      <c r="F3" s="263"/>
      <c r="G3" s="260"/>
      <c r="H3" s="268" t="s">
        <v>1159</v>
      </c>
      <c r="I3" s="269"/>
      <c r="J3" s="19" t="str">
        <f>B3</f>
        <v>Tramed 50mg</v>
      </c>
      <c r="K3" s="34" t="s">
        <v>1164</v>
      </c>
      <c r="L3" s="5">
        <f>H7</f>
        <v>8</v>
      </c>
      <c r="M3" s="3">
        <f>SUM(C$8:C$1048576)</f>
        <v>0</v>
      </c>
      <c r="N3" s="3">
        <f>SUM(F:F)</f>
        <v>0</v>
      </c>
      <c r="O3" s="3">
        <f>L3+M3-N3</f>
        <v>8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1165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252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8</v>
      </c>
      <c r="D7" s="279"/>
      <c r="E7" s="260"/>
      <c r="F7" s="279"/>
      <c r="G7" s="260"/>
      <c r="H7" s="38">
        <v>8</v>
      </c>
      <c r="I7" s="37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26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94"/>
      <c r="G9" s="260"/>
      <c r="H9" s="38"/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7"/>
      <c r="D10" s="259"/>
      <c r="E10" s="260"/>
      <c r="F10" s="279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7"/>
      <c r="D11" s="259"/>
      <c r="E11" s="260"/>
      <c r="F11" s="279"/>
      <c r="G11" s="260"/>
      <c r="H11" s="38"/>
      <c r="I11" s="27"/>
      <c r="J11" s="12"/>
      <c r="K11" s="3"/>
      <c r="L11" s="3"/>
      <c r="M11" s="3"/>
      <c r="N11" s="3"/>
      <c r="O11" s="3"/>
    </row>
    <row r="12" spans="1:15" ht="26.7" customHeight="1">
      <c r="A12" s="39"/>
      <c r="B12" s="6"/>
      <c r="C12" s="7"/>
      <c r="D12" s="259"/>
      <c r="E12" s="260"/>
      <c r="F12" s="279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39"/>
      <c r="B13" s="8"/>
      <c r="C13" s="7"/>
      <c r="D13" s="259"/>
      <c r="E13" s="260"/>
      <c r="F13" s="279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6"/>
      <c r="C14" s="7"/>
      <c r="D14" s="259"/>
      <c r="E14" s="260"/>
      <c r="F14" s="279"/>
      <c r="G14" s="260"/>
      <c r="H14" s="38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6"/>
      <c r="C15" s="7"/>
      <c r="D15" s="259"/>
      <c r="E15" s="260"/>
      <c r="F15" s="279"/>
      <c r="G15" s="260"/>
      <c r="H15" s="38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6"/>
      <c r="C16" s="7"/>
      <c r="D16" s="259"/>
      <c r="E16" s="260"/>
      <c r="F16" s="279"/>
      <c r="G16" s="260"/>
      <c r="H16" s="38"/>
      <c r="I16" s="26"/>
      <c r="J16" s="12"/>
      <c r="K16" s="3"/>
      <c r="L16" s="3"/>
      <c r="M16" s="3"/>
      <c r="N16" s="3"/>
      <c r="O16" s="3"/>
    </row>
    <row r="17" spans="1:10" ht="26.7" customHeight="1">
      <c r="A17" s="39"/>
      <c r="B17" s="6"/>
      <c r="C17" s="7"/>
      <c r="D17" s="259"/>
      <c r="E17" s="260"/>
      <c r="F17" s="279"/>
      <c r="G17" s="260"/>
      <c r="H17" s="38"/>
      <c r="I17" s="26"/>
      <c r="J17" s="12"/>
    </row>
    <row r="18" spans="1:10" ht="26.7" customHeight="1">
      <c r="A18" s="39"/>
      <c r="B18" s="6"/>
      <c r="C18" s="7"/>
      <c r="D18" s="259"/>
      <c r="E18" s="260"/>
      <c r="F18" s="279"/>
      <c r="G18" s="260"/>
      <c r="H18" s="38"/>
      <c r="I18" s="26"/>
      <c r="J18" s="12"/>
    </row>
    <row r="19" spans="1:10" ht="26.7" customHeight="1">
      <c r="A19" s="39"/>
      <c r="B19" s="6"/>
      <c r="C19" s="7"/>
      <c r="D19" s="259"/>
      <c r="E19" s="260"/>
      <c r="F19" s="279"/>
      <c r="G19" s="260"/>
      <c r="H19" s="38"/>
      <c r="I19" s="26"/>
      <c r="J19" s="12"/>
    </row>
    <row r="20" spans="1:10" ht="26.7" customHeight="1">
      <c r="A20" s="39"/>
      <c r="B20" s="6"/>
      <c r="C20" s="7"/>
      <c r="D20" s="259"/>
      <c r="E20" s="260"/>
      <c r="F20" s="279"/>
      <c r="G20" s="260"/>
      <c r="H20" s="38"/>
      <c r="I20" s="26"/>
      <c r="J20" s="12"/>
    </row>
    <row r="21" spans="1:10" ht="26.7" customHeight="1">
      <c r="A21" s="39"/>
      <c r="B21" s="6"/>
      <c r="C21" s="7"/>
      <c r="D21" s="259"/>
      <c r="E21" s="260"/>
      <c r="F21" s="279"/>
      <c r="G21" s="260"/>
      <c r="H21" s="38"/>
      <c r="I21" s="26"/>
      <c r="J21" s="12"/>
    </row>
    <row r="22" spans="1:10" ht="26.7" customHeight="1">
      <c r="A22" s="39"/>
      <c r="B22" s="6"/>
      <c r="C22" s="7"/>
      <c r="D22" s="259"/>
      <c r="E22" s="260"/>
      <c r="F22" s="279"/>
      <c r="G22" s="260"/>
      <c r="H22" s="38"/>
      <c r="I22" s="26"/>
      <c r="J22" s="12"/>
    </row>
    <row r="23" spans="1:10" ht="26.7" customHeight="1">
      <c r="A23" s="39"/>
      <c r="B23" s="6"/>
      <c r="C23" s="7"/>
      <c r="D23" s="259"/>
      <c r="E23" s="260"/>
      <c r="F23" s="279"/>
      <c r="G23" s="260"/>
      <c r="H23" s="38"/>
      <c r="I23" s="26"/>
      <c r="J23" s="12"/>
    </row>
    <row r="24" spans="1:10" ht="26.7" customHeight="1">
      <c r="A24" s="39"/>
      <c r="B24" s="6"/>
      <c r="C24" s="7"/>
      <c r="D24" s="259"/>
      <c r="E24" s="260"/>
      <c r="F24" s="279"/>
      <c r="G24" s="260"/>
      <c r="H24" s="38"/>
      <c r="I24" s="26"/>
      <c r="J24" s="12"/>
    </row>
    <row r="25" spans="1:10" ht="26.7" customHeight="1">
      <c r="A25" s="39"/>
      <c r="B25" s="6"/>
      <c r="C25" s="7"/>
      <c r="D25" s="259"/>
      <c r="E25" s="260"/>
      <c r="F25" s="279"/>
      <c r="G25" s="260"/>
      <c r="H25" s="38"/>
      <c r="I25" s="28"/>
      <c r="J25" s="12"/>
    </row>
    <row r="26" spans="1:10" ht="26.7" customHeight="1">
      <c r="A26" s="39"/>
      <c r="B26" s="6"/>
      <c r="C26" s="7"/>
      <c r="D26" s="259"/>
      <c r="E26" s="260"/>
      <c r="F26" s="279"/>
      <c r="G26" s="260"/>
      <c r="H26" s="38"/>
      <c r="I26" s="26"/>
      <c r="J26" s="12"/>
    </row>
    <row r="27" spans="1:10" ht="26.7" customHeight="1">
      <c r="A27" s="39"/>
      <c r="B27" s="6"/>
      <c r="C27" s="7"/>
      <c r="D27" s="259"/>
      <c r="E27" s="260"/>
      <c r="F27" s="279"/>
      <c r="G27" s="260"/>
      <c r="H27" s="38"/>
      <c r="I27" s="26"/>
      <c r="J27" s="12"/>
    </row>
    <row r="28" spans="1:10" ht="26.7" customHeight="1">
      <c r="A28" s="39"/>
      <c r="B28" s="6"/>
      <c r="C28" s="7"/>
      <c r="D28" s="259"/>
      <c r="E28" s="260"/>
      <c r="F28" s="279"/>
      <c r="G28" s="260"/>
      <c r="H28" s="38"/>
      <c r="I28" s="26"/>
      <c r="J28" s="12"/>
    </row>
    <row r="29" spans="1:10" ht="26.7" customHeight="1">
      <c r="A29" s="39"/>
      <c r="B29" s="6"/>
      <c r="C29" s="7"/>
      <c r="D29" s="259"/>
      <c r="E29" s="260"/>
      <c r="F29" s="279"/>
      <c r="G29" s="260"/>
      <c r="H29" s="38"/>
      <c r="I29" s="26"/>
      <c r="J29" s="12"/>
    </row>
    <row r="30" spans="1:10" ht="26.7" customHeight="1">
      <c r="A30" s="39"/>
      <c r="B30" s="6"/>
      <c r="C30" s="7"/>
      <c r="D30" s="259"/>
      <c r="E30" s="260"/>
      <c r="F30" s="279"/>
      <c r="G30" s="260"/>
      <c r="H30" s="38"/>
      <c r="I30" s="26"/>
      <c r="J30" s="12"/>
    </row>
    <row r="31" spans="1:10" ht="26.7" customHeight="1" thickBot="1">
      <c r="A31" s="39"/>
      <c r="B31" s="30"/>
      <c r="C31" s="31"/>
      <c r="D31" s="264"/>
      <c r="E31" s="265"/>
      <c r="F31" s="279"/>
      <c r="G31" s="260"/>
      <c r="H31" s="38"/>
      <c r="I31" s="32"/>
      <c r="J31" s="12"/>
    </row>
    <row r="32" spans="1:10" ht="21" customHeight="1">
      <c r="A32" s="39"/>
      <c r="B32" s="21"/>
      <c r="C32" s="22"/>
      <c r="D32" s="276"/>
      <c r="E32" s="277"/>
      <c r="F32" s="279"/>
      <c r="G32" s="260"/>
      <c r="H32" s="38"/>
      <c r="I32" s="22"/>
      <c r="J32" s="3"/>
    </row>
    <row r="33" spans="1:9" ht="21" customHeight="1">
      <c r="A33" s="39"/>
      <c r="B33" s="6"/>
      <c r="C33" s="7"/>
      <c r="D33" s="259"/>
      <c r="E33" s="260"/>
      <c r="F33" s="279"/>
      <c r="G33" s="260"/>
      <c r="H33" s="38"/>
      <c r="I33" s="7"/>
    </row>
    <row r="34" spans="1:9" ht="21" customHeight="1">
      <c r="A34" s="39"/>
      <c r="B34" s="6"/>
      <c r="C34" s="7"/>
      <c r="D34" s="259"/>
      <c r="E34" s="260"/>
      <c r="F34" s="279"/>
      <c r="G34" s="260"/>
      <c r="H34" s="38"/>
      <c r="I34" s="16"/>
    </row>
    <row r="35" spans="1:9" ht="21" customHeight="1">
      <c r="A35" s="39"/>
      <c r="B35" s="6"/>
      <c r="C35" s="7"/>
      <c r="D35" s="259"/>
      <c r="E35" s="260"/>
      <c r="F35" s="279"/>
      <c r="G35" s="260"/>
      <c r="H35" s="38"/>
      <c r="I35" s="7"/>
    </row>
    <row r="36" spans="1:9" ht="21" customHeight="1">
      <c r="A36" s="39"/>
      <c r="B36" s="6"/>
      <c r="C36" s="7"/>
      <c r="D36" s="259"/>
      <c r="E36" s="260"/>
      <c r="F36" s="279"/>
      <c r="G36" s="260"/>
      <c r="H36" s="38"/>
      <c r="I36" s="7"/>
    </row>
    <row r="37" spans="1:9" ht="21" customHeight="1">
      <c r="A37" s="39"/>
      <c r="B37" s="6"/>
      <c r="C37" s="3"/>
      <c r="D37" s="259"/>
      <c r="E37" s="260"/>
      <c r="F37" s="279"/>
      <c r="G37" s="260"/>
      <c r="H37" s="38"/>
      <c r="I37" s="16"/>
    </row>
    <row r="38" spans="1:9" ht="21" customHeight="1">
      <c r="A38" s="39"/>
      <c r="B38" s="6"/>
      <c r="C38" s="3"/>
      <c r="D38" s="259"/>
      <c r="E38" s="260"/>
      <c r="F38" s="279"/>
      <c r="G38" s="260"/>
      <c r="H38" s="38"/>
      <c r="I38" s="7"/>
    </row>
    <row r="39" spans="1:9" ht="21" customHeight="1">
      <c r="A39" s="39"/>
      <c r="B39" s="6"/>
      <c r="C39" s="3"/>
      <c r="D39" s="259"/>
      <c r="E39" s="260"/>
      <c r="F39" s="279"/>
      <c r="G39" s="260"/>
      <c r="H39" s="38"/>
      <c r="I39" s="7"/>
    </row>
    <row r="40" spans="1:9" ht="21" customHeight="1">
      <c r="A40" s="39"/>
      <c r="B40" s="6"/>
      <c r="C40" s="3"/>
      <c r="D40" s="259"/>
      <c r="E40" s="260"/>
      <c r="F40" s="279"/>
      <c r="G40" s="260"/>
      <c r="H40" s="38"/>
      <c r="I40" s="7"/>
    </row>
    <row r="41" spans="1:9" ht="21" customHeight="1">
      <c r="A41" s="39"/>
      <c r="B41" s="6"/>
      <c r="C41" s="3"/>
      <c r="D41" s="259"/>
      <c r="E41" s="260"/>
      <c r="F41" s="279"/>
      <c r="G41" s="260"/>
      <c r="H41" s="38"/>
      <c r="I41" s="7"/>
    </row>
    <row r="42" spans="1:9" ht="21" customHeight="1">
      <c r="A42" s="39"/>
      <c r="B42" s="6"/>
      <c r="C42" s="3"/>
      <c r="D42" s="259"/>
      <c r="E42" s="260"/>
      <c r="F42" s="279"/>
      <c r="G42" s="260"/>
      <c r="H42" s="38"/>
      <c r="I42" s="7"/>
    </row>
    <row r="43" spans="1:9" ht="21" customHeight="1">
      <c r="A43" s="39"/>
      <c r="B43" s="6"/>
      <c r="C43" s="3"/>
      <c r="D43" s="259"/>
      <c r="E43" s="260"/>
      <c r="F43" s="279"/>
      <c r="G43" s="260"/>
      <c r="H43" s="38"/>
      <c r="I43" s="7"/>
    </row>
    <row r="44" spans="1:9" ht="21" customHeight="1">
      <c r="A44" s="39"/>
      <c r="B44" s="6"/>
      <c r="C44" s="3"/>
      <c r="D44" s="259"/>
      <c r="E44" s="260"/>
      <c r="F44" s="279"/>
      <c r="G44" s="260"/>
      <c r="H44" s="38"/>
      <c r="I44" s="7"/>
    </row>
    <row r="45" spans="1:9" ht="21" customHeight="1">
      <c r="A45" s="39"/>
      <c r="B45" s="6"/>
      <c r="C45" s="3"/>
      <c r="D45" s="259"/>
      <c r="E45" s="260"/>
      <c r="F45" s="279"/>
      <c r="G45" s="260"/>
      <c r="H45" s="38"/>
      <c r="I45" s="7"/>
    </row>
    <row r="46" spans="1:9" ht="21" customHeight="1">
      <c r="A46" s="39"/>
      <c r="B46" s="6"/>
      <c r="C46" s="3"/>
      <c r="D46" s="259"/>
      <c r="E46" s="260"/>
      <c r="F46" s="279"/>
      <c r="G46" s="260"/>
      <c r="H46" s="38"/>
      <c r="I46" s="7"/>
    </row>
    <row r="47" spans="1:9" ht="21" customHeight="1">
      <c r="A47" s="39"/>
      <c r="B47" s="6"/>
      <c r="C47" s="3"/>
      <c r="D47" s="259"/>
      <c r="E47" s="260"/>
      <c r="F47" s="279"/>
      <c r="G47" s="260"/>
      <c r="H47" s="38"/>
      <c r="I47" s="7"/>
    </row>
    <row r="48" spans="1:9" ht="21" customHeight="1">
      <c r="A48" s="39"/>
      <c r="B48" s="6"/>
      <c r="C48" s="10"/>
      <c r="D48" s="259"/>
      <c r="E48" s="260"/>
      <c r="F48" s="279"/>
      <c r="G48" s="260"/>
      <c r="H48" s="38"/>
      <c r="I48" s="7"/>
    </row>
    <row r="49" spans="1:9" ht="21" customHeight="1">
      <c r="A49" s="39"/>
      <c r="B49" s="8"/>
      <c r="C49" s="10"/>
      <c r="D49" s="259"/>
      <c r="E49" s="260"/>
      <c r="F49" s="279"/>
      <c r="G49" s="260"/>
      <c r="H49" s="38"/>
      <c r="I49" s="11"/>
    </row>
    <row r="50" spans="1:9" ht="21" customHeight="1">
      <c r="A50" s="39"/>
      <c r="B50" s="6"/>
      <c r="C50" s="9"/>
      <c r="D50" s="259"/>
      <c r="E50" s="260"/>
      <c r="F50" s="279"/>
      <c r="G50" s="260"/>
      <c r="H50" s="38"/>
      <c r="I50" s="7"/>
    </row>
    <row r="51" spans="1:9" ht="21" customHeight="1">
      <c r="A51" s="39"/>
      <c r="B51" s="6"/>
      <c r="C51" s="3"/>
      <c r="D51" s="259"/>
      <c r="E51" s="260"/>
      <c r="F51" s="279"/>
      <c r="G51" s="260"/>
      <c r="H51" s="38"/>
      <c r="I51" s="7"/>
    </row>
    <row r="52" spans="1:9" ht="21" customHeight="1">
      <c r="A52" s="39"/>
      <c r="B52" s="6"/>
      <c r="C52" s="3"/>
      <c r="D52" s="259"/>
      <c r="E52" s="260"/>
      <c r="F52" s="279"/>
      <c r="G52" s="260"/>
      <c r="H52" s="38"/>
      <c r="I52" s="7"/>
    </row>
    <row r="53" spans="1:9" ht="21" customHeight="1">
      <c r="A53" s="39"/>
      <c r="B53" s="6"/>
      <c r="C53" s="3"/>
      <c r="D53" s="259"/>
      <c r="E53" s="260"/>
      <c r="F53" s="279"/>
      <c r="G53" s="260"/>
      <c r="H53" s="38"/>
      <c r="I53" s="7"/>
    </row>
    <row r="54" spans="1:9" ht="21" customHeight="1">
      <c r="A54" s="39"/>
      <c r="B54" s="6"/>
      <c r="C54" s="3"/>
      <c r="D54" s="259"/>
      <c r="E54" s="260"/>
      <c r="F54" s="279"/>
      <c r="G54" s="260"/>
      <c r="H54" s="38"/>
      <c r="I54" s="7"/>
    </row>
    <row r="55" spans="1:9" ht="21" customHeight="1">
      <c r="A55" s="39"/>
      <c r="B55" s="6"/>
      <c r="C55" s="3"/>
      <c r="D55" s="259"/>
      <c r="E55" s="260"/>
      <c r="F55" s="261"/>
      <c r="G55" s="260"/>
      <c r="H55" s="38"/>
      <c r="I55" s="7"/>
    </row>
    <row r="56" spans="1:9" ht="21" customHeight="1">
      <c r="A56" s="39"/>
      <c r="B56" s="6"/>
      <c r="C56" s="3"/>
      <c r="D56" s="259"/>
      <c r="E56" s="260"/>
      <c r="F56" s="261"/>
      <c r="G56" s="260"/>
      <c r="H56" s="38"/>
      <c r="I56" s="16"/>
    </row>
    <row r="57" spans="1:9" ht="21" customHeight="1">
      <c r="A57" s="39"/>
      <c r="B57" s="6"/>
      <c r="C57" s="3"/>
      <c r="D57" s="259"/>
      <c r="E57" s="260"/>
      <c r="F57" s="261"/>
      <c r="G57" s="260"/>
      <c r="H57" s="38"/>
      <c r="I57" s="7"/>
    </row>
    <row r="58" spans="1:9" ht="21" customHeight="1">
      <c r="A58" s="39"/>
      <c r="B58" s="6"/>
      <c r="C58" s="3"/>
      <c r="D58" s="259"/>
      <c r="E58" s="260"/>
      <c r="F58" s="261"/>
      <c r="G58" s="260"/>
      <c r="H58" s="38"/>
      <c r="I58" s="7"/>
    </row>
    <row r="59" spans="1:9" ht="21" customHeight="1">
      <c r="A59" s="39"/>
      <c r="B59" s="6"/>
      <c r="C59" s="3"/>
      <c r="D59" s="259"/>
      <c r="E59" s="260"/>
      <c r="F59" s="261"/>
      <c r="G59" s="260"/>
      <c r="H59" s="38"/>
      <c r="I59" s="7"/>
    </row>
    <row r="60" spans="1:9" ht="21" customHeight="1">
      <c r="A60" s="39"/>
      <c r="B60" s="6"/>
      <c r="C60" s="3"/>
      <c r="D60" s="259"/>
      <c r="E60" s="260"/>
      <c r="F60" s="261"/>
      <c r="G60" s="260"/>
      <c r="H60" s="38"/>
      <c r="I60" s="7"/>
    </row>
    <row r="61" spans="1:9" ht="21" customHeight="1">
      <c r="A61" s="39"/>
      <c r="B61" s="6"/>
      <c r="C61" s="9"/>
      <c r="D61" s="259"/>
      <c r="E61" s="260"/>
      <c r="F61" s="261"/>
      <c r="G61" s="260"/>
      <c r="H61" s="38"/>
      <c r="I61" s="7"/>
    </row>
    <row r="62" spans="1:9" ht="21" customHeight="1">
      <c r="A62" s="39"/>
      <c r="B62" s="6"/>
      <c r="C62" s="3"/>
      <c r="D62" s="259"/>
      <c r="E62" s="260"/>
      <c r="F62" s="261"/>
      <c r="G62" s="260"/>
      <c r="H62" s="38"/>
      <c r="I62" s="7"/>
    </row>
    <row r="63" spans="1:9" ht="21" customHeight="1">
      <c r="A63" s="39"/>
      <c r="B63" s="6"/>
      <c r="C63" s="3"/>
      <c r="D63" s="259"/>
      <c r="E63" s="260"/>
      <c r="F63" s="261"/>
      <c r="G63" s="260"/>
      <c r="H63" s="38"/>
      <c r="I63" s="7"/>
    </row>
    <row r="64" spans="1:9" ht="21" customHeight="1">
      <c r="A64" s="39"/>
      <c r="B64" s="6"/>
      <c r="C64" s="3"/>
      <c r="D64" s="259"/>
      <c r="E64" s="260"/>
      <c r="F64" s="261"/>
      <c r="G64" s="260"/>
      <c r="H64" s="38"/>
      <c r="I64" s="7"/>
    </row>
    <row r="65" spans="1:9" ht="21" customHeight="1">
      <c r="A65" s="39"/>
      <c r="B65" s="6"/>
      <c r="C65" s="3"/>
      <c r="D65" s="259"/>
      <c r="E65" s="260"/>
      <c r="F65" s="261"/>
      <c r="G65" s="260"/>
      <c r="H65" s="38"/>
      <c r="I65" s="7"/>
    </row>
    <row r="66" spans="1:9" ht="21" customHeight="1">
      <c r="A66" s="39"/>
      <c r="B66" s="6"/>
      <c r="C66" s="3"/>
      <c r="D66" s="259"/>
      <c r="E66" s="260"/>
      <c r="F66" s="261"/>
      <c r="G66" s="260"/>
      <c r="H66" s="38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38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38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38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38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38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38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38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38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38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38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38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38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38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38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38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38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38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38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0"/>
  <dimension ref="A1:O104"/>
  <sheetViews>
    <sheetView topLeftCell="C1" workbookViewId="0">
      <selection activeCell="N4" sqref="N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1166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1167</v>
      </c>
      <c r="C3" s="263"/>
      <c r="D3" s="260"/>
      <c r="E3" s="266" t="s">
        <v>11</v>
      </c>
      <c r="F3" s="263"/>
      <c r="G3" s="260"/>
      <c r="H3" s="268" t="s">
        <v>460</v>
      </c>
      <c r="I3" s="269"/>
      <c r="J3" s="19" t="str">
        <f>B3</f>
        <v>Seanto 10mg</v>
      </c>
      <c r="K3" s="34" t="s">
        <v>1168</v>
      </c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30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1169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219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31.95" customHeight="1">
      <c r="A7" s="25" t="s">
        <v>29</v>
      </c>
      <c r="B7" s="17" t="s">
        <v>5</v>
      </c>
      <c r="C7" s="7">
        <v>0</v>
      </c>
      <c r="D7" s="259"/>
      <c r="E7" s="260"/>
      <c r="F7" s="261"/>
      <c r="G7" s="260"/>
      <c r="H7" s="7">
        <v>0</v>
      </c>
      <c r="I7" s="35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1"/>
  <dimension ref="A1:O102"/>
  <sheetViews>
    <sheetView topLeftCell="A28" workbookViewId="0">
      <selection activeCell="I39" sqref="I39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6" t="s">
        <v>1170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1171</v>
      </c>
      <c r="C3" s="263"/>
      <c r="D3" s="260"/>
      <c r="E3" s="266" t="s">
        <v>11</v>
      </c>
      <c r="F3" s="263"/>
      <c r="G3" s="260"/>
      <c r="H3" s="268" t="s">
        <v>12</v>
      </c>
      <c r="I3" s="269"/>
      <c r="J3" s="19" t="str">
        <f>B3</f>
        <v>Aprazo 0.5mg</v>
      </c>
      <c r="K3" s="34" t="s">
        <v>1172</v>
      </c>
      <c r="L3" s="5">
        <f>H7</f>
        <v>94</v>
      </c>
      <c r="M3" s="3">
        <f>SUM(C$8:C$1048576)</f>
        <v>1580</v>
      </c>
      <c r="N3" s="3">
        <f>SUM(F:F)</f>
        <v>1242</v>
      </c>
      <c r="O3" s="3">
        <f>L3+M3-N3</f>
        <v>432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1151</v>
      </c>
      <c r="I4" s="269"/>
      <c r="J4" s="12"/>
      <c r="K4" s="3"/>
      <c r="L4" s="3"/>
      <c r="M4" s="3"/>
      <c r="N4" s="3"/>
      <c r="O4" s="3"/>
    </row>
    <row r="5" spans="1:15" ht="28.5" customHeight="1">
      <c r="A5" s="272" t="s">
        <v>18</v>
      </c>
      <c r="B5" s="260"/>
      <c r="C5" s="262" t="s">
        <v>58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34.950000000000003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39" t="s">
        <v>29</v>
      </c>
      <c r="B7" s="38" t="s">
        <v>5</v>
      </c>
      <c r="C7" s="38">
        <v>94</v>
      </c>
      <c r="D7" s="279"/>
      <c r="E7" s="260"/>
      <c r="F7" s="279"/>
      <c r="G7" s="260"/>
      <c r="H7" s="38">
        <v>94</v>
      </c>
      <c r="I7" s="37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694</v>
      </c>
      <c r="B8" s="38" t="s">
        <v>323</v>
      </c>
      <c r="C8" s="3"/>
      <c r="D8" s="259"/>
      <c r="E8" s="260"/>
      <c r="F8" s="279">
        <v>60</v>
      </c>
      <c r="G8" s="260"/>
      <c r="H8" s="38">
        <f>H7-F8</f>
        <v>34</v>
      </c>
      <c r="I8" s="7"/>
      <c r="J8" s="12"/>
      <c r="K8" s="3"/>
      <c r="L8" s="3"/>
      <c r="M8" s="3"/>
      <c r="N8" s="3"/>
      <c r="O8" s="3"/>
    </row>
    <row r="9" spans="1:15" ht="26.7" customHeight="1">
      <c r="A9" s="39" t="s">
        <v>333</v>
      </c>
      <c r="B9" s="38" t="s">
        <v>324</v>
      </c>
      <c r="C9" s="3">
        <v>100</v>
      </c>
      <c r="D9" s="259" t="s">
        <v>1173</v>
      </c>
      <c r="E9" s="260"/>
      <c r="F9" s="279"/>
      <c r="G9" s="260"/>
      <c r="H9" s="38">
        <v>134</v>
      </c>
      <c r="I9" s="109" t="s">
        <v>437</v>
      </c>
      <c r="J9" s="12"/>
      <c r="K9" s="3"/>
      <c r="L9" s="3"/>
      <c r="M9" s="3"/>
      <c r="N9" s="3"/>
      <c r="O9" s="3"/>
    </row>
    <row r="10" spans="1:15" ht="26.7" customHeight="1">
      <c r="A10" s="39" t="s">
        <v>466</v>
      </c>
      <c r="B10" s="38" t="s">
        <v>323</v>
      </c>
      <c r="C10" s="3"/>
      <c r="D10" s="259"/>
      <c r="E10" s="260"/>
      <c r="F10" s="279">
        <v>28</v>
      </c>
      <c r="G10" s="260"/>
      <c r="H10" s="38">
        <f>H9-F10</f>
        <v>106</v>
      </c>
      <c r="I10" s="7"/>
      <c r="J10" s="12"/>
      <c r="K10" s="3"/>
      <c r="L10" s="3"/>
      <c r="M10" s="3"/>
      <c r="N10" s="3"/>
      <c r="O10" s="3"/>
    </row>
    <row r="11" spans="1:15" ht="26.7" customHeight="1">
      <c r="A11" s="39" t="s">
        <v>470</v>
      </c>
      <c r="B11" s="38" t="s">
        <v>323</v>
      </c>
      <c r="C11" s="3"/>
      <c r="D11" s="259"/>
      <c r="E11" s="260"/>
      <c r="F11" s="279">
        <v>112</v>
      </c>
      <c r="G11" s="260"/>
      <c r="H11" s="38">
        <f>H10-F11</f>
        <v>-6</v>
      </c>
      <c r="I11" s="7" t="s">
        <v>437</v>
      </c>
      <c r="J11" s="12"/>
      <c r="K11" s="3"/>
      <c r="L11" s="3"/>
      <c r="M11" s="3"/>
      <c r="N11" s="3"/>
      <c r="O11" s="3"/>
    </row>
    <row r="12" spans="1:15" ht="26.7" customHeight="1">
      <c r="A12" s="39" t="s">
        <v>434</v>
      </c>
      <c r="B12" s="38" t="s">
        <v>324</v>
      </c>
      <c r="C12" s="3">
        <v>300</v>
      </c>
      <c r="D12" s="183" t="s">
        <v>1174</v>
      </c>
      <c r="E12" s="184"/>
      <c r="F12" s="279"/>
      <c r="G12" s="260"/>
      <c r="H12" s="38">
        <v>294</v>
      </c>
      <c r="I12" s="109" t="s">
        <v>608</v>
      </c>
      <c r="J12" s="12"/>
      <c r="K12" s="3"/>
      <c r="L12" s="3"/>
      <c r="M12" s="3"/>
      <c r="N12" s="3"/>
      <c r="O12" s="3"/>
    </row>
    <row r="13" spans="1:15" ht="26.7" customHeight="1">
      <c r="A13" s="39" t="s">
        <v>383</v>
      </c>
      <c r="B13" s="38" t="s">
        <v>323</v>
      </c>
      <c r="C13" s="3"/>
      <c r="D13" s="183"/>
      <c r="E13" s="184"/>
      <c r="F13" s="279">
        <v>60</v>
      </c>
      <c r="G13" s="260"/>
      <c r="H13" s="38">
        <f>H12-F13</f>
        <v>234</v>
      </c>
      <c r="I13" s="7" t="s">
        <v>437</v>
      </c>
      <c r="J13" s="12"/>
      <c r="K13" s="3"/>
      <c r="L13" s="3"/>
      <c r="M13" s="3"/>
      <c r="N13" s="3"/>
      <c r="O13" s="3"/>
    </row>
    <row r="14" spans="1:15" ht="26.7" customHeight="1">
      <c r="A14" s="39" t="s">
        <v>473</v>
      </c>
      <c r="B14" s="38" t="s">
        <v>323</v>
      </c>
      <c r="C14" s="3"/>
      <c r="D14" s="183"/>
      <c r="E14" s="184"/>
      <c r="F14" s="279">
        <v>28</v>
      </c>
      <c r="G14" s="260"/>
      <c r="H14" s="38">
        <f>H13-F14</f>
        <v>206</v>
      </c>
      <c r="I14" s="7"/>
      <c r="J14" s="12"/>
      <c r="K14" s="3"/>
      <c r="L14" s="3"/>
      <c r="M14" s="3"/>
      <c r="N14" s="3"/>
      <c r="O14" s="3"/>
    </row>
    <row r="15" spans="1:15" ht="26.7" customHeight="1">
      <c r="A15" s="39" t="s">
        <v>577</v>
      </c>
      <c r="B15" s="38" t="s">
        <v>324</v>
      </c>
      <c r="C15" s="3">
        <v>80</v>
      </c>
      <c r="D15" s="183" t="s">
        <v>1174</v>
      </c>
      <c r="E15" s="184"/>
      <c r="F15" s="279"/>
      <c r="G15" s="260"/>
      <c r="H15" s="38">
        <v>286</v>
      </c>
      <c r="I15" s="7" t="s">
        <v>608</v>
      </c>
      <c r="J15" s="12"/>
    </row>
    <row r="16" spans="1:15" ht="26.7" customHeight="1">
      <c r="A16" s="39" t="s">
        <v>476</v>
      </c>
      <c r="B16" s="38" t="s">
        <v>323</v>
      </c>
      <c r="C16" s="3"/>
      <c r="D16" s="183"/>
      <c r="E16" s="184"/>
      <c r="F16" s="279">
        <v>112</v>
      </c>
      <c r="G16" s="260"/>
      <c r="H16" s="38">
        <f>H15-F16</f>
        <v>174</v>
      </c>
      <c r="I16" s="7"/>
      <c r="J16" s="12"/>
    </row>
    <row r="17" spans="1:10" ht="26.7" customHeight="1">
      <c r="A17" s="39" t="s">
        <v>341</v>
      </c>
      <c r="B17" s="38" t="s">
        <v>323</v>
      </c>
      <c r="C17" s="3"/>
      <c r="D17" s="183"/>
      <c r="E17" s="184"/>
      <c r="F17" s="279">
        <v>60</v>
      </c>
      <c r="G17" s="260"/>
      <c r="H17" s="38">
        <f>H16-F17</f>
        <v>114</v>
      </c>
      <c r="I17" s="109" t="s">
        <v>437</v>
      </c>
      <c r="J17" s="12"/>
    </row>
    <row r="18" spans="1:10" ht="26.7" customHeight="1">
      <c r="A18" s="39" t="s">
        <v>346</v>
      </c>
      <c r="B18" s="38" t="s">
        <v>323</v>
      </c>
      <c r="C18" s="3"/>
      <c r="D18" s="183"/>
      <c r="E18" s="184"/>
      <c r="F18" s="279">
        <v>28</v>
      </c>
      <c r="G18" s="260"/>
      <c r="H18" s="38">
        <f>H17-F18</f>
        <v>86</v>
      </c>
      <c r="I18" s="7"/>
      <c r="J18" s="12"/>
    </row>
    <row r="19" spans="1:10" ht="26.7" customHeight="1">
      <c r="A19" s="39" t="s">
        <v>348</v>
      </c>
      <c r="B19" s="38" t="s">
        <v>323</v>
      </c>
      <c r="C19" s="3"/>
      <c r="D19" s="183"/>
      <c r="E19" s="184"/>
      <c r="F19" s="279">
        <v>28</v>
      </c>
      <c r="G19" s="260"/>
      <c r="H19" s="38">
        <f>H18-F19</f>
        <v>58</v>
      </c>
      <c r="I19" s="7"/>
      <c r="J19" s="12"/>
    </row>
    <row r="20" spans="1:10" ht="26.7" customHeight="1">
      <c r="A20" s="39" t="s">
        <v>389</v>
      </c>
      <c r="B20" s="38" t="s">
        <v>323</v>
      </c>
      <c r="C20" s="3"/>
      <c r="D20" s="183"/>
      <c r="E20" s="184"/>
      <c r="F20" s="279">
        <v>28</v>
      </c>
      <c r="G20" s="260"/>
      <c r="H20" s="38">
        <f>H19-F20</f>
        <v>30</v>
      </c>
      <c r="I20" s="7"/>
      <c r="J20" s="12"/>
    </row>
    <row r="21" spans="1:10" ht="26.7" customHeight="1">
      <c r="A21" s="39" t="s">
        <v>390</v>
      </c>
      <c r="B21" s="38" t="s">
        <v>324</v>
      </c>
      <c r="C21" s="3">
        <v>100</v>
      </c>
      <c r="D21" s="183"/>
      <c r="E21" s="184" t="s">
        <v>1175</v>
      </c>
      <c r="F21" s="279"/>
      <c r="G21" s="260"/>
      <c r="H21" s="38">
        <v>130</v>
      </c>
      <c r="I21" s="109" t="s">
        <v>437</v>
      </c>
      <c r="J21" s="12"/>
    </row>
    <row r="22" spans="1:10" ht="26.7" customHeight="1">
      <c r="A22" s="39" t="s">
        <v>579</v>
      </c>
      <c r="B22" s="38" t="s">
        <v>323</v>
      </c>
      <c r="C22" s="3"/>
      <c r="D22" s="183"/>
      <c r="E22" s="184"/>
      <c r="F22" s="279">
        <v>60</v>
      </c>
      <c r="G22" s="260"/>
      <c r="H22" s="38">
        <f>H21-F22</f>
        <v>70</v>
      </c>
      <c r="I22" s="7"/>
      <c r="J22" s="12"/>
    </row>
    <row r="23" spans="1:10" ht="26.7" customHeight="1">
      <c r="A23" s="39" t="s">
        <v>353</v>
      </c>
      <c r="B23" s="38" t="s">
        <v>323</v>
      </c>
      <c r="C23" s="3"/>
      <c r="D23" s="183"/>
      <c r="E23" s="184"/>
      <c r="F23" s="279">
        <v>66</v>
      </c>
      <c r="G23" s="260"/>
      <c r="H23" s="38">
        <f>H22-F23</f>
        <v>4</v>
      </c>
      <c r="I23" s="7"/>
      <c r="J23" s="12"/>
    </row>
    <row r="24" spans="1:10" ht="26.7" customHeight="1">
      <c r="A24" s="39" t="s">
        <v>741</v>
      </c>
      <c r="B24" s="38" t="s">
        <v>324</v>
      </c>
      <c r="C24" s="3">
        <v>300</v>
      </c>
      <c r="D24" s="183" t="s">
        <v>1175</v>
      </c>
      <c r="E24" s="184"/>
      <c r="F24" s="279"/>
      <c r="G24" s="260"/>
      <c r="H24" s="38">
        <v>304</v>
      </c>
      <c r="I24" s="109" t="s">
        <v>437</v>
      </c>
      <c r="J24" s="12"/>
    </row>
    <row r="25" spans="1:10" ht="26.7" customHeight="1">
      <c r="A25" s="39" t="s">
        <v>394</v>
      </c>
      <c r="B25" s="38" t="s">
        <v>323</v>
      </c>
      <c r="C25" s="3"/>
      <c r="D25" s="183"/>
      <c r="E25" s="184"/>
      <c r="F25" s="279">
        <v>60</v>
      </c>
      <c r="G25" s="260"/>
      <c r="H25" s="38">
        <f>H24-F25</f>
        <v>244</v>
      </c>
      <c r="I25" s="7"/>
      <c r="J25" s="12"/>
    </row>
    <row r="26" spans="1:10" ht="26.7" customHeight="1">
      <c r="A26" s="39" t="s">
        <v>445</v>
      </c>
      <c r="B26" s="38" t="s">
        <v>323</v>
      </c>
      <c r="C26" s="3"/>
      <c r="D26" s="183"/>
      <c r="E26" s="184"/>
      <c r="F26" s="279">
        <v>140</v>
      </c>
      <c r="G26" s="260"/>
      <c r="H26" s="38">
        <f>H25-F26</f>
        <v>104</v>
      </c>
      <c r="I26" s="7"/>
      <c r="J26" s="12"/>
    </row>
    <row r="27" spans="1:10" ht="26.7" customHeight="1">
      <c r="A27" s="39" t="s">
        <v>445</v>
      </c>
      <c r="B27" s="38" t="s">
        <v>324</v>
      </c>
      <c r="C27" s="3">
        <v>200</v>
      </c>
      <c r="D27" s="183" t="s">
        <v>1176</v>
      </c>
      <c r="E27" s="184"/>
      <c r="F27" s="279"/>
      <c r="G27" s="260"/>
      <c r="H27" s="38">
        <v>304</v>
      </c>
      <c r="I27" s="7" t="s">
        <v>437</v>
      </c>
      <c r="J27" s="12"/>
    </row>
    <row r="28" spans="1:10" ht="26.7" customHeight="1">
      <c r="A28" s="39" t="s">
        <v>496</v>
      </c>
      <c r="B28" s="38" t="s">
        <v>323</v>
      </c>
      <c r="C28" s="3"/>
      <c r="D28" s="183"/>
      <c r="E28" s="184"/>
      <c r="F28" s="279">
        <v>28</v>
      </c>
      <c r="G28" s="260"/>
      <c r="H28" s="38">
        <f>H27-F28</f>
        <v>276</v>
      </c>
      <c r="I28" s="7"/>
      <c r="J28" s="12"/>
    </row>
    <row r="29" spans="1:10" ht="26.7" customHeight="1">
      <c r="A29" s="39" t="s">
        <v>449</v>
      </c>
      <c r="B29" s="38" t="s">
        <v>323</v>
      </c>
      <c r="C29" s="3"/>
      <c r="D29" s="183"/>
      <c r="E29" s="184"/>
      <c r="F29" s="279">
        <v>60</v>
      </c>
      <c r="G29" s="260"/>
      <c r="H29" s="38">
        <f>H28-F29</f>
        <v>216</v>
      </c>
      <c r="I29" s="7"/>
      <c r="J29" s="12"/>
    </row>
    <row r="30" spans="1:10" ht="21" customHeight="1">
      <c r="A30" s="39" t="s">
        <v>449</v>
      </c>
      <c r="B30" s="38" t="s">
        <v>324</v>
      </c>
      <c r="C30" s="3">
        <v>100</v>
      </c>
      <c r="D30" s="183" t="s">
        <v>1177</v>
      </c>
      <c r="E30" s="184"/>
      <c r="F30" s="279"/>
      <c r="G30" s="260"/>
      <c r="H30" s="38">
        <v>316</v>
      </c>
      <c r="I30" s="7" t="s">
        <v>437</v>
      </c>
      <c r="J30" s="3"/>
    </row>
    <row r="31" spans="1:10" ht="21" customHeight="1">
      <c r="A31" s="39" t="s">
        <v>502</v>
      </c>
      <c r="B31" s="38" t="s">
        <v>323</v>
      </c>
      <c r="C31" s="3"/>
      <c r="D31" s="183"/>
      <c r="E31" s="184"/>
      <c r="F31" s="279">
        <v>112</v>
      </c>
      <c r="G31" s="260"/>
      <c r="H31" s="38">
        <f t="shared" ref="H31:H36" si="0">H30-F31</f>
        <v>204</v>
      </c>
      <c r="I31" s="7"/>
    </row>
    <row r="32" spans="1:10" ht="21" customHeight="1">
      <c r="A32" s="39" t="s">
        <v>503</v>
      </c>
      <c r="B32" s="38" t="s">
        <v>323</v>
      </c>
      <c r="C32" s="3"/>
      <c r="D32" s="183"/>
      <c r="E32" s="184"/>
      <c r="F32" s="279">
        <v>28</v>
      </c>
      <c r="G32" s="260"/>
      <c r="H32" s="38">
        <f t="shared" si="0"/>
        <v>176</v>
      </c>
      <c r="I32" s="7"/>
    </row>
    <row r="33" spans="1:9" ht="21" customHeight="1">
      <c r="A33" s="39" t="s">
        <v>361</v>
      </c>
      <c r="B33" s="38" t="s">
        <v>323</v>
      </c>
      <c r="C33" s="3"/>
      <c r="D33" s="279"/>
      <c r="E33" s="260"/>
      <c r="F33" s="279">
        <v>28</v>
      </c>
      <c r="G33" s="260"/>
      <c r="H33" s="38">
        <f t="shared" si="0"/>
        <v>148</v>
      </c>
      <c r="I33" s="7"/>
    </row>
    <row r="34" spans="1:9" ht="21" customHeight="1">
      <c r="A34" s="39" t="s">
        <v>365</v>
      </c>
      <c r="B34" s="38" t="s">
        <v>323</v>
      </c>
      <c r="C34" s="3"/>
      <c r="D34" s="279"/>
      <c r="E34" s="260"/>
      <c r="F34" s="279">
        <v>60</v>
      </c>
      <c r="G34" s="260"/>
      <c r="H34" s="38">
        <f t="shared" si="0"/>
        <v>88</v>
      </c>
      <c r="I34" s="7"/>
    </row>
    <row r="35" spans="1:9" ht="21" customHeight="1">
      <c r="A35" s="39" t="s">
        <v>587</v>
      </c>
      <c r="B35" s="38" t="s">
        <v>323</v>
      </c>
      <c r="C35" s="3"/>
      <c r="D35" s="279"/>
      <c r="E35" s="260"/>
      <c r="F35" s="279">
        <v>28</v>
      </c>
      <c r="G35" s="260"/>
      <c r="H35" s="38">
        <f t="shared" si="0"/>
        <v>60</v>
      </c>
      <c r="I35" s="7"/>
    </row>
    <row r="36" spans="1:9" ht="21" customHeight="1">
      <c r="A36" s="39" t="s">
        <v>588</v>
      </c>
      <c r="B36" s="38" t="s">
        <v>323</v>
      </c>
      <c r="C36" s="3"/>
      <c r="D36" s="279"/>
      <c r="E36" s="260"/>
      <c r="F36" s="279">
        <v>28</v>
      </c>
      <c r="G36" s="260"/>
      <c r="H36" s="38">
        <f t="shared" si="0"/>
        <v>32</v>
      </c>
      <c r="I36" s="7"/>
    </row>
    <row r="37" spans="1:9" ht="21" customHeight="1">
      <c r="A37" s="39" t="s">
        <v>511</v>
      </c>
      <c r="B37" s="38" t="s">
        <v>324</v>
      </c>
      <c r="C37" s="3">
        <v>100</v>
      </c>
      <c r="D37" s="279" t="s">
        <v>1178</v>
      </c>
      <c r="E37" s="260"/>
      <c r="F37" s="279"/>
      <c r="G37" s="260"/>
      <c r="H37" s="38">
        <v>132</v>
      </c>
      <c r="I37" s="109" t="s">
        <v>437</v>
      </c>
    </row>
    <row r="38" spans="1:9" ht="21" customHeight="1">
      <c r="A38" s="39" t="s">
        <v>369</v>
      </c>
      <c r="B38" s="38" t="s">
        <v>324</v>
      </c>
      <c r="C38" s="3">
        <v>300</v>
      </c>
      <c r="D38" s="279" t="s">
        <v>1179</v>
      </c>
      <c r="E38" s="260"/>
      <c r="F38" s="279"/>
      <c r="G38" s="260"/>
      <c r="H38" s="38">
        <v>432</v>
      </c>
      <c r="I38" s="7" t="s">
        <v>437</v>
      </c>
    </row>
    <row r="39" spans="1:9" ht="21" customHeight="1">
      <c r="A39" s="39"/>
      <c r="B39" s="38"/>
      <c r="C39" s="3"/>
      <c r="D39" s="279"/>
      <c r="E39" s="260"/>
      <c r="F39" s="279"/>
      <c r="G39" s="260"/>
      <c r="H39" s="38"/>
      <c r="I39" s="7"/>
    </row>
    <row r="40" spans="1:9" ht="21" customHeight="1">
      <c r="A40" s="39"/>
      <c r="B40" s="38"/>
      <c r="C40" s="3"/>
      <c r="D40" s="279"/>
      <c r="E40" s="260"/>
      <c r="F40" s="279"/>
      <c r="G40" s="260"/>
      <c r="H40" s="38"/>
      <c r="I40" s="7"/>
    </row>
    <row r="41" spans="1:9" ht="21" customHeight="1">
      <c r="A41" s="39"/>
      <c r="B41" s="38"/>
      <c r="C41" s="3"/>
      <c r="D41" s="279"/>
      <c r="E41" s="260"/>
      <c r="F41" s="279"/>
      <c r="G41" s="260"/>
      <c r="H41" s="38"/>
      <c r="I41" s="7"/>
    </row>
    <row r="42" spans="1:9" ht="21" customHeight="1">
      <c r="A42" s="39"/>
      <c r="B42" s="38"/>
      <c r="C42" s="3"/>
      <c r="D42" s="279"/>
      <c r="E42" s="260"/>
      <c r="F42" s="279"/>
      <c r="G42" s="260"/>
      <c r="H42" s="38"/>
      <c r="I42" s="7"/>
    </row>
    <row r="43" spans="1:9" ht="21" customHeight="1">
      <c r="A43" s="39"/>
      <c r="B43" s="38"/>
      <c r="C43" s="3"/>
      <c r="D43" s="279"/>
      <c r="E43" s="260"/>
      <c r="F43" s="279"/>
      <c r="G43" s="260"/>
      <c r="H43" s="38"/>
      <c r="I43" s="7"/>
    </row>
    <row r="44" spans="1:9" ht="21" customHeight="1">
      <c r="A44" s="13"/>
      <c r="B44" s="6"/>
      <c r="C44" s="3"/>
      <c r="D44" s="279"/>
      <c r="E44" s="260"/>
      <c r="F44" s="279"/>
      <c r="G44" s="260"/>
      <c r="H44" s="7"/>
      <c r="I44" s="7"/>
    </row>
    <row r="45" spans="1:9" ht="21" customHeight="1">
      <c r="A45" s="13"/>
      <c r="B45" s="6"/>
      <c r="C45" s="3"/>
      <c r="D45" s="279"/>
      <c r="E45" s="260"/>
      <c r="F45" s="279"/>
      <c r="G45" s="260"/>
      <c r="H45" s="7"/>
      <c r="I45" s="7"/>
    </row>
    <row r="46" spans="1:9" ht="21" customHeight="1">
      <c r="A46" s="13"/>
      <c r="B46" s="6"/>
      <c r="C46" s="10"/>
      <c r="D46" s="279"/>
      <c r="E46" s="260"/>
      <c r="F46" s="279"/>
      <c r="G46" s="260"/>
      <c r="H46" s="7"/>
      <c r="I46" s="7"/>
    </row>
    <row r="47" spans="1:9" ht="21" customHeight="1">
      <c r="A47" s="13"/>
      <c r="B47" s="8"/>
      <c r="C47" s="10"/>
      <c r="D47" s="279"/>
      <c r="E47" s="260"/>
      <c r="F47" s="279"/>
      <c r="G47" s="260"/>
      <c r="H47" s="7"/>
      <c r="I47" s="11"/>
    </row>
    <row r="48" spans="1:9" ht="21" customHeight="1">
      <c r="A48" s="13"/>
      <c r="B48" s="6"/>
      <c r="C48" s="9"/>
      <c r="D48" s="279"/>
      <c r="E48" s="260"/>
      <c r="F48" s="279"/>
      <c r="G48" s="260"/>
      <c r="H48" s="7"/>
      <c r="I48" s="7"/>
    </row>
    <row r="49" spans="1:9" ht="21" customHeight="1">
      <c r="A49" s="14"/>
      <c r="B49" s="6"/>
      <c r="C49" s="3"/>
      <c r="D49" s="279"/>
      <c r="E49" s="260"/>
      <c r="F49" s="279"/>
      <c r="G49" s="260"/>
      <c r="H49" s="7"/>
      <c r="I49" s="7"/>
    </row>
    <row r="50" spans="1:9" ht="21" customHeight="1">
      <c r="A50" s="14"/>
      <c r="B50" s="6"/>
      <c r="C50" s="3"/>
      <c r="D50" s="279"/>
      <c r="E50" s="260"/>
      <c r="F50" s="279"/>
      <c r="G50" s="260"/>
      <c r="H50" s="7"/>
      <c r="I50" s="7"/>
    </row>
    <row r="51" spans="1:9" ht="21" customHeight="1">
      <c r="A51" s="15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16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5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9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8"/>
      <c r="C80" s="9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8"/>
      <c r="C82" s="9"/>
      <c r="D82" s="259"/>
      <c r="E82" s="260"/>
      <c r="F82" s="261"/>
      <c r="G82" s="260"/>
      <c r="H82" s="7"/>
      <c r="I82" s="11"/>
    </row>
    <row r="83" spans="1:9" ht="21" customHeight="1">
      <c r="A83" s="15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9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9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</sheetData>
  <mergeCells count="183">
    <mergeCell ref="F97:G97"/>
    <mergeCell ref="F35:G35"/>
    <mergeCell ref="D87:E87"/>
    <mergeCell ref="F38:G38"/>
    <mergeCell ref="D43:E43"/>
    <mergeCell ref="F90:G90"/>
    <mergeCell ref="E3:G3"/>
    <mergeCell ref="D58:E58"/>
    <mergeCell ref="F27:G27"/>
    <mergeCell ref="F58:G58"/>
    <mergeCell ref="F52:G52"/>
    <mergeCell ref="F67:G67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D102:E102"/>
    <mergeCell ref="F102:G102"/>
    <mergeCell ref="D83:E83"/>
    <mergeCell ref="F77:G77"/>
    <mergeCell ref="D92:E92"/>
    <mergeCell ref="D55:E55"/>
    <mergeCell ref="F92:G92"/>
    <mergeCell ref="D67:E67"/>
    <mergeCell ref="F49:G49"/>
    <mergeCell ref="D85:E85"/>
    <mergeCell ref="D54:E54"/>
    <mergeCell ref="D94:E94"/>
    <mergeCell ref="D69:E69"/>
    <mergeCell ref="F69:G69"/>
    <mergeCell ref="F78:G78"/>
    <mergeCell ref="F65:G65"/>
    <mergeCell ref="D80:E80"/>
    <mergeCell ref="F59:G59"/>
    <mergeCell ref="F55:G55"/>
    <mergeCell ref="D95:E95"/>
    <mergeCell ref="F95:G95"/>
    <mergeCell ref="D57:E57"/>
    <mergeCell ref="F51:G51"/>
    <mergeCell ref="D97:E97"/>
    <mergeCell ref="D96:E96"/>
    <mergeCell ref="F7:G7"/>
    <mergeCell ref="F21:G21"/>
    <mergeCell ref="D52:E52"/>
    <mergeCell ref="D49:E49"/>
    <mergeCell ref="F36:G36"/>
    <mergeCell ref="F50:G50"/>
    <mergeCell ref="F101:G101"/>
    <mergeCell ref="D91:E91"/>
    <mergeCell ref="F8:G8"/>
    <mergeCell ref="F91:G91"/>
    <mergeCell ref="F100:G100"/>
    <mergeCell ref="D93:E93"/>
    <mergeCell ref="F22:G22"/>
    <mergeCell ref="F93:G93"/>
    <mergeCell ref="F14:G14"/>
    <mergeCell ref="F11:G11"/>
    <mergeCell ref="D46:E46"/>
    <mergeCell ref="D40:E40"/>
    <mergeCell ref="F40:G40"/>
    <mergeCell ref="F12:G12"/>
    <mergeCell ref="F24:G24"/>
    <mergeCell ref="F32:G32"/>
    <mergeCell ref="D41:E41"/>
    <mergeCell ref="H3:I3"/>
    <mergeCell ref="F39:G39"/>
    <mergeCell ref="F48:G48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A5:B5"/>
    <mergeCell ref="E4:G4"/>
    <mergeCell ref="H4:I4"/>
    <mergeCell ref="B2:I2"/>
    <mergeCell ref="F26:G26"/>
    <mergeCell ref="F41:G41"/>
    <mergeCell ref="F53:G53"/>
    <mergeCell ref="D99:E99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76:G76"/>
    <mergeCell ref="F45:G45"/>
    <mergeCell ref="F33:G33"/>
    <mergeCell ref="F85:G85"/>
    <mergeCell ref="F42:G42"/>
    <mergeCell ref="F94:G94"/>
    <mergeCell ref="D66:E66"/>
    <mergeCell ref="F17:G17"/>
    <mergeCell ref="D75:E75"/>
    <mergeCell ref="F66:G66"/>
    <mergeCell ref="D53:E53"/>
    <mergeCell ref="F75:G75"/>
    <mergeCell ref="D47:E47"/>
    <mergeCell ref="F96:G96"/>
    <mergeCell ref="F56:G56"/>
    <mergeCell ref="F71:G71"/>
    <mergeCell ref="F43:G43"/>
    <mergeCell ref="D64:E64"/>
    <mergeCell ref="D33:E33"/>
    <mergeCell ref="D98:E98"/>
    <mergeCell ref="D73:E73"/>
    <mergeCell ref="F98:G98"/>
    <mergeCell ref="D51:E51"/>
    <mergeCell ref="D88:E88"/>
    <mergeCell ref="F88:G88"/>
    <mergeCell ref="F57:G57"/>
    <mergeCell ref="D35:E35"/>
    <mergeCell ref="F54:G54"/>
    <mergeCell ref="D34:E34"/>
    <mergeCell ref="D90:E90"/>
    <mergeCell ref="F63:G63"/>
    <mergeCell ref="F34:G34"/>
    <mergeCell ref="F47:G47"/>
    <mergeCell ref="F62:G62"/>
    <mergeCell ref="D37:E37"/>
    <mergeCell ref="F46:G46"/>
    <mergeCell ref="D39:E39"/>
    <mergeCell ref="D78:E78"/>
    <mergeCell ref="F72:G72"/>
    <mergeCell ref="B4:D4"/>
    <mergeCell ref="F81:G81"/>
    <mergeCell ref="F23:G23"/>
    <mergeCell ref="D62:E62"/>
    <mergeCell ref="F13:G13"/>
    <mergeCell ref="D56:E56"/>
    <mergeCell ref="D71:E71"/>
    <mergeCell ref="D10:E10"/>
    <mergeCell ref="F10:G10"/>
    <mergeCell ref="F19:G19"/>
    <mergeCell ref="F31:G31"/>
    <mergeCell ref="F28:G28"/>
    <mergeCell ref="D9:E9"/>
    <mergeCell ref="F9:G9"/>
    <mergeCell ref="F61:G61"/>
    <mergeCell ref="D60:E60"/>
    <mergeCell ref="D100:E100"/>
    <mergeCell ref="F29:G29"/>
    <mergeCell ref="F16:G16"/>
    <mergeCell ref="F68:G68"/>
    <mergeCell ref="F25:G25"/>
    <mergeCell ref="C5:G5"/>
    <mergeCell ref="D84:E84"/>
    <mergeCell ref="F84:G84"/>
    <mergeCell ref="D36:E36"/>
    <mergeCell ref="D45:E45"/>
    <mergeCell ref="D6:E6"/>
    <mergeCell ref="D77:E77"/>
    <mergeCell ref="D86:E86"/>
    <mergeCell ref="F15:G15"/>
    <mergeCell ref="F86:G86"/>
    <mergeCell ref="F80:G80"/>
    <mergeCell ref="D61:E61"/>
    <mergeCell ref="D70:E70"/>
    <mergeCell ref="D48:E48"/>
    <mergeCell ref="F70:G70"/>
    <mergeCell ref="F79:G79"/>
    <mergeCell ref="D7:E7"/>
    <mergeCell ref="D72:E72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2"/>
  <dimension ref="A1:O105"/>
  <sheetViews>
    <sheetView workbookViewId="0">
      <pane ySplit="6" topLeftCell="A22" activePane="bottomLeft" state="frozen"/>
      <selection pane="bottomLeft" activeCell="H27" sqref="H27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7.44140625" style="246" customWidth="1"/>
    <col min="7" max="7" width="8.109375" style="246" customWidth="1"/>
    <col min="8" max="8" width="11.77734375" style="246" customWidth="1"/>
    <col min="9" max="9" width="18.109375" style="246" customWidth="1"/>
    <col min="10" max="10" width="16" style="246" bestFit="1" customWidth="1"/>
  </cols>
  <sheetData>
    <row r="1" spans="1:15" ht="34.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09" t="s">
        <v>597</v>
      </c>
      <c r="K1" s="38" t="s">
        <v>324</v>
      </c>
      <c r="L1" s="38" t="s">
        <v>323</v>
      </c>
      <c r="M1" s="108" t="s">
        <v>437</v>
      </c>
      <c r="N1" s="1"/>
      <c r="O1" s="1"/>
    </row>
    <row r="2" spans="1:15" ht="33" customHeight="1">
      <c r="A2" s="36" t="s">
        <v>1180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1181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Zolnox 10mg</v>
      </c>
      <c r="K3" s="34" t="s">
        <v>1182</v>
      </c>
      <c r="L3" s="5">
        <f>H7</f>
        <v>232</v>
      </c>
      <c r="M3" s="3">
        <f>SUM(C$8:C$1048576)</f>
        <v>800</v>
      </c>
      <c r="N3" s="3">
        <f>SUM(F:F)</f>
        <v>856</v>
      </c>
      <c r="O3" s="3">
        <f>L3+M3-N3</f>
        <v>176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949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289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2.2" customHeight="1">
      <c r="A7" s="196" t="s">
        <v>29</v>
      </c>
      <c r="B7" s="155" t="s">
        <v>5</v>
      </c>
      <c r="C7" s="155">
        <v>232</v>
      </c>
      <c r="D7" s="280"/>
      <c r="E7" s="260"/>
      <c r="F7" s="280"/>
      <c r="G7" s="260"/>
      <c r="H7" s="155">
        <v>232</v>
      </c>
      <c r="I7" s="214" t="s">
        <v>571</v>
      </c>
      <c r="J7" s="12"/>
      <c r="K7" s="3"/>
      <c r="L7" s="3"/>
      <c r="M7" s="3"/>
      <c r="N7" s="3"/>
      <c r="O7" s="3"/>
    </row>
    <row r="8" spans="1:15" ht="22.2" customHeight="1">
      <c r="A8" s="41" t="s">
        <v>694</v>
      </c>
      <c r="B8" s="38" t="s">
        <v>323</v>
      </c>
      <c r="C8" s="38"/>
      <c r="D8" s="279"/>
      <c r="E8" s="260"/>
      <c r="F8" s="279">
        <v>30</v>
      </c>
      <c r="G8" s="260"/>
      <c r="H8" s="38">
        <f>H7-F8</f>
        <v>202</v>
      </c>
      <c r="I8" s="26"/>
      <c r="J8" s="12"/>
      <c r="K8" s="3"/>
      <c r="L8" s="3"/>
      <c r="M8" s="3"/>
      <c r="N8" s="3"/>
      <c r="O8" s="3"/>
    </row>
    <row r="9" spans="1:15" ht="22.2" customHeight="1">
      <c r="A9" s="39" t="s">
        <v>333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174</v>
      </c>
      <c r="I9" s="26"/>
      <c r="J9" s="12"/>
      <c r="K9" s="3"/>
      <c r="L9" s="3"/>
      <c r="M9" s="3"/>
      <c r="N9" s="3"/>
      <c r="O9" s="3"/>
    </row>
    <row r="10" spans="1:15" ht="22.2" customHeight="1">
      <c r="A10" s="39" t="s">
        <v>334</v>
      </c>
      <c r="B10" s="38" t="s">
        <v>323</v>
      </c>
      <c r="C10" s="38"/>
      <c r="D10" s="279"/>
      <c r="E10" s="260"/>
      <c r="F10" s="279">
        <v>62</v>
      </c>
      <c r="G10" s="260"/>
      <c r="H10" s="38">
        <f>H9-F10</f>
        <v>112</v>
      </c>
      <c r="I10" s="26"/>
      <c r="J10" s="12"/>
      <c r="K10" s="3"/>
      <c r="L10" s="3"/>
      <c r="M10" s="3"/>
      <c r="N10" s="3"/>
      <c r="O10" s="3"/>
    </row>
    <row r="11" spans="1:15" ht="22.2" customHeight="1">
      <c r="A11" s="39" t="s">
        <v>334</v>
      </c>
      <c r="B11" s="38" t="s">
        <v>324</v>
      </c>
      <c r="C11" s="38">
        <v>200</v>
      </c>
      <c r="D11" s="279" t="s">
        <v>1183</v>
      </c>
      <c r="E11" s="260"/>
      <c r="F11" s="279"/>
      <c r="G11" s="260"/>
      <c r="H11" s="38">
        <v>312</v>
      </c>
      <c r="I11" s="108" t="s">
        <v>437</v>
      </c>
      <c r="J11" s="12"/>
      <c r="K11" s="3"/>
      <c r="L11" s="3"/>
      <c r="M11" s="3"/>
      <c r="N11" s="3"/>
      <c r="O11" s="3"/>
    </row>
    <row r="12" spans="1:15" ht="22.2" customHeight="1">
      <c r="A12" s="39" t="s">
        <v>409</v>
      </c>
      <c r="B12" s="38" t="s">
        <v>323</v>
      </c>
      <c r="C12" s="38"/>
      <c r="D12" s="279"/>
      <c r="E12" s="260"/>
      <c r="F12" s="279">
        <v>30</v>
      </c>
      <c r="G12" s="260"/>
      <c r="H12" s="38">
        <f>H11-F12</f>
        <v>282</v>
      </c>
      <c r="I12" s="108"/>
      <c r="J12" s="12"/>
      <c r="K12" s="3"/>
      <c r="L12" s="3"/>
      <c r="M12" s="3"/>
      <c r="N12" s="3"/>
      <c r="O12" s="3"/>
    </row>
    <row r="13" spans="1:15" ht="22.2" customHeight="1">
      <c r="A13" s="39" t="s">
        <v>647</v>
      </c>
      <c r="B13" s="38" t="s">
        <v>323</v>
      </c>
      <c r="C13" s="38"/>
      <c r="D13" s="279"/>
      <c r="E13" s="260"/>
      <c r="F13" s="279">
        <v>30</v>
      </c>
      <c r="G13" s="260"/>
      <c r="H13" s="38">
        <f>H12-F13</f>
        <v>252</v>
      </c>
      <c r="I13" s="108"/>
      <c r="J13" s="12"/>
      <c r="K13" s="3"/>
      <c r="L13" s="3"/>
      <c r="M13" s="3"/>
      <c r="N13" s="3"/>
      <c r="O13" s="3"/>
    </row>
    <row r="14" spans="1:15" ht="22.2" customHeight="1">
      <c r="A14" s="39" t="s">
        <v>466</v>
      </c>
      <c r="B14" s="38" t="s">
        <v>323</v>
      </c>
      <c r="C14" s="38"/>
      <c r="D14" s="139"/>
      <c r="E14" s="174"/>
      <c r="F14" s="279">
        <v>28</v>
      </c>
      <c r="G14" s="260"/>
      <c r="H14" s="38">
        <f>H13-F14</f>
        <v>224</v>
      </c>
      <c r="I14" s="108"/>
      <c r="J14" s="12"/>
      <c r="K14" s="3"/>
      <c r="L14" s="3"/>
      <c r="M14" s="3"/>
      <c r="N14" s="3"/>
      <c r="O14" s="3"/>
    </row>
    <row r="15" spans="1:15" ht="22.2" customHeight="1">
      <c r="A15" s="39" t="s">
        <v>573</v>
      </c>
      <c r="B15" s="38" t="s">
        <v>324</v>
      </c>
      <c r="C15" s="38">
        <v>200</v>
      </c>
      <c r="D15" s="279" t="s">
        <v>1184</v>
      </c>
      <c r="E15" s="260"/>
      <c r="F15" s="279"/>
      <c r="G15" s="260"/>
      <c r="H15" s="38">
        <v>424</v>
      </c>
      <c r="I15" s="108" t="s">
        <v>437</v>
      </c>
      <c r="J15" s="12"/>
      <c r="K15" s="3"/>
      <c r="L15" s="3"/>
      <c r="M15" s="3"/>
      <c r="N15" s="3"/>
      <c r="O15" s="3"/>
    </row>
    <row r="16" spans="1:15" ht="22.2" customHeight="1">
      <c r="A16" s="39" t="s">
        <v>383</v>
      </c>
      <c r="B16" s="38" t="s">
        <v>323</v>
      </c>
      <c r="C16" s="38"/>
      <c r="D16" s="279"/>
      <c r="E16" s="260"/>
      <c r="F16" s="279">
        <v>30</v>
      </c>
      <c r="G16" s="260"/>
      <c r="H16" s="38">
        <f>H15-F16</f>
        <v>394</v>
      </c>
      <c r="J16" s="12"/>
      <c r="K16" s="3"/>
      <c r="L16" s="3"/>
      <c r="M16" s="3"/>
      <c r="N16" s="3"/>
      <c r="O16" s="3"/>
    </row>
    <row r="17" spans="1:15" ht="22.2" customHeight="1">
      <c r="A17" s="39" t="s">
        <v>341</v>
      </c>
      <c r="B17" s="38" t="s">
        <v>323</v>
      </c>
      <c r="C17" s="38"/>
      <c r="D17" s="279"/>
      <c r="E17" s="260"/>
      <c r="F17" s="290">
        <v>60</v>
      </c>
      <c r="G17" s="260"/>
      <c r="H17" s="38">
        <f>H16-F17</f>
        <v>334</v>
      </c>
      <c r="I17" s="108"/>
      <c r="J17" s="12"/>
      <c r="K17" s="3"/>
      <c r="L17" s="3"/>
      <c r="M17" s="3"/>
      <c r="N17" s="3"/>
      <c r="O17" s="3"/>
    </row>
    <row r="18" spans="1:15" ht="22.2" customHeight="1">
      <c r="A18" s="38" t="s">
        <v>346</v>
      </c>
      <c r="B18" s="38" t="s">
        <v>323</v>
      </c>
      <c r="C18" s="38"/>
      <c r="D18" s="279"/>
      <c r="E18" s="260"/>
      <c r="F18" s="279">
        <v>62</v>
      </c>
      <c r="G18" s="260"/>
      <c r="H18" s="38">
        <f>H17-F18</f>
        <v>272</v>
      </c>
      <c r="I18" s="108"/>
      <c r="J18" s="12"/>
    </row>
    <row r="19" spans="1:15" ht="22.2" customHeight="1">
      <c r="A19" s="39" t="s">
        <v>531</v>
      </c>
      <c r="B19" s="38" t="s">
        <v>323</v>
      </c>
      <c r="C19" s="38"/>
      <c r="D19" s="279"/>
      <c r="E19" s="260"/>
      <c r="F19" s="279">
        <v>56</v>
      </c>
      <c r="G19" s="260"/>
      <c r="H19" s="38">
        <f>H18-F19</f>
        <v>216</v>
      </c>
      <c r="I19" s="108"/>
      <c r="J19" s="12"/>
    </row>
    <row r="20" spans="1:15" ht="22.2" customHeight="1">
      <c r="A20" s="39" t="s">
        <v>351</v>
      </c>
      <c r="B20" s="38" t="s">
        <v>324</v>
      </c>
      <c r="C20" s="38">
        <v>200</v>
      </c>
      <c r="D20" s="279" t="s">
        <v>1185</v>
      </c>
      <c r="E20" s="260"/>
      <c r="F20" s="279"/>
      <c r="G20" s="260"/>
      <c r="H20" s="38">
        <v>416</v>
      </c>
      <c r="I20" s="108" t="s">
        <v>608</v>
      </c>
      <c r="J20" s="12"/>
    </row>
    <row r="21" spans="1:15" ht="22.2" customHeight="1">
      <c r="A21" s="39" t="s">
        <v>579</v>
      </c>
      <c r="B21" s="38" t="s">
        <v>323</v>
      </c>
      <c r="C21" s="38"/>
      <c r="D21" s="279"/>
      <c r="E21" s="260"/>
      <c r="F21" s="279">
        <v>30</v>
      </c>
      <c r="G21" s="260"/>
      <c r="H21" s="38">
        <f t="shared" ref="H21:H26" si="0">H20-F21</f>
        <v>386</v>
      </c>
      <c r="I21" s="108"/>
      <c r="J21" s="12"/>
    </row>
    <row r="22" spans="1:15" ht="22.2" customHeight="1">
      <c r="A22" s="39" t="s">
        <v>489</v>
      </c>
      <c r="B22" s="38" t="s">
        <v>323</v>
      </c>
      <c r="C22" s="38"/>
      <c r="D22" s="279"/>
      <c r="E22" s="260"/>
      <c r="F22" s="279">
        <v>28</v>
      </c>
      <c r="G22" s="260"/>
      <c r="H22" s="38">
        <f t="shared" si="0"/>
        <v>358</v>
      </c>
      <c r="I22" s="108"/>
      <c r="J22" s="12"/>
    </row>
    <row r="23" spans="1:15" ht="22.2" customHeight="1">
      <c r="A23" s="39" t="s">
        <v>392</v>
      </c>
      <c r="B23" s="38" t="s">
        <v>323</v>
      </c>
      <c r="C23" s="38"/>
      <c r="D23" s="279"/>
      <c r="E23" s="260"/>
      <c r="F23" s="279">
        <v>28</v>
      </c>
      <c r="G23" s="260"/>
      <c r="H23" s="38">
        <f t="shared" si="0"/>
        <v>330</v>
      </c>
      <c r="I23" s="26"/>
      <c r="J23" s="12"/>
    </row>
    <row r="24" spans="1:15" ht="22.2" customHeight="1">
      <c r="A24" s="39" t="s">
        <v>355</v>
      </c>
      <c r="B24" s="38" t="s">
        <v>323</v>
      </c>
      <c r="C24" s="38"/>
      <c r="D24" s="279"/>
      <c r="E24" s="260"/>
      <c r="F24" s="279">
        <v>62</v>
      </c>
      <c r="G24" s="260"/>
      <c r="H24" s="38">
        <f t="shared" si="0"/>
        <v>268</v>
      </c>
      <c r="I24" s="26"/>
      <c r="J24" s="12"/>
    </row>
    <row r="25" spans="1:15" ht="22.2" customHeight="1">
      <c r="A25" s="39" t="s">
        <v>492</v>
      </c>
      <c r="B25" s="38" t="s">
        <v>323</v>
      </c>
      <c r="C25" s="38"/>
      <c r="D25" s="279"/>
      <c r="E25" s="260"/>
      <c r="F25" s="279">
        <v>28</v>
      </c>
      <c r="G25" s="260"/>
      <c r="H25" s="38">
        <f t="shared" si="0"/>
        <v>240</v>
      </c>
      <c r="I25" s="26" t="s">
        <v>437</v>
      </c>
      <c r="J25" s="12"/>
    </row>
    <row r="26" spans="1:15" ht="22.2" customHeight="1">
      <c r="A26" s="39" t="s">
        <v>394</v>
      </c>
      <c r="B26" s="38" t="s">
        <v>323</v>
      </c>
      <c r="C26" s="38"/>
      <c r="D26" s="279"/>
      <c r="E26" s="260"/>
      <c r="F26" s="279">
        <v>30</v>
      </c>
      <c r="G26" s="260"/>
      <c r="H26" s="38">
        <f t="shared" si="0"/>
        <v>210</v>
      </c>
      <c r="I26" s="108"/>
      <c r="J26" s="12"/>
    </row>
    <row r="27" spans="1:15" ht="22.2" customHeight="1">
      <c r="A27" s="39" t="s">
        <v>499</v>
      </c>
      <c r="B27" s="38" t="s">
        <v>324</v>
      </c>
      <c r="C27" s="38">
        <v>200</v>
      </c>
      <c r="D27" s="279" t="s">
        <v>1186</v>
      </c>
      <c r="E27" s="260"/>
      <c r="F27" s="279"/>
      <c r="G27" s="260"/>
      <c r="H27" s="38">
        <v>410</v>
      </c>
      <c r="I27" s="108" t="s">
        <v>608</v>
      </c>
      <c r="J27" s="12"/>
    </row>
    <row r="28" spans="1:15" ht="22.2" customHeight="1">
      <c r="A28" s="39" t="s">
        <v>449</v>
      </c>
      <c r="B28" s="38" t="s">
        <v>323</v>
      </c>
      <c r="C28" s="38"/>
      <c r="D28" s="279"/>
      <c r="E28" s="260"/>
      <c r="F28" s="279">
        <v>30</v>
      </c>
      <c r="G28" s="260"/>
      <c r="H28" s="38">
        <f t="shared" ref="H28:H34" si="1">H27-F28</f>
        <v>380</v>
      </c>
      <c r="I28" s="108"/>
      <c r="J28" s="12"/>
    </row>
    <row r="29" spans="1:15" ht="22.2" customHeight="1">
      <c r="A29" s="39" t="s">
        <v>549</v>
      </c>
      <c r="B29" s="38" t="s">
        <v>323</v>
      </c>
      <c r="C29" s="38"/>
      <c r="D29" s="279"/>
      <c r="E29" s="260"/>
      <c r="F29" s="279">
        <v>28</v>
      </c>
      <c r="G29" s="260"/>
      <c r="H29" s="38">
        <f t="shared" si="1"/>
        <v>352</v>
      </c>
      <c r="I29" s="108"/>
      <c r="J29" s="12"/>
    </row>
    <row r="30" spans="1:15" ht="22.2" customHeight="1">
      <c r="A30" s="39" t="s">
        <v>553</v>
      </c>
      <c r="B30" s="38" t="s">
        <v>323</v>
      </c>
      <c r="C30" s="38"/>
      <c r="D30" s="279"/>
      <c r="E30" s="260"/>
      <c r="F30" s="279">
        <v>62</v>
      </c>
      <c r="G30" s="260"/>
      <c r="H30" s="38">
        <f t="shared" si="1"/>
        <v>290</v>
      </c>
      <c r="I30" s="26"/>
      <c r="J30" s="12"/>
    </row>
    <row r="31" spans="1:15" ht="22.2" customHeight="1">
      <c r="A31" s="39" t="s">
        <v>586</v>
      </c>
      <c r="B31" s="38" t="s">
        <v>323</v>
      </c>
      <c r="C31" s="38"/>
      <c r="D31" s="279"/>
      <c r="E31" s="260"/>
      <c r="F31" s="279">
        <v>28</v>
      </c>
      <c r="G31" s="260"/>
      <c r="H31" s="38">
        <f t="shared" si="1"/>
        <v>262</v>
      </c>
      <c r="I31" s="108"/>
      <c r="J31" s="12"/>
    </row>
    <row r="32" spans="1:15" ht="22.2" customHeight="1">
      <c r="A32" s="39" t="s">
        <v>365</v>
      </c>
      <c r="B32" s="38" t="s">
        <v>323</v>
      </c>
      <c r="C32" s="38"/>
      <c r="D32" s="279"/>
      <c r="E32" s="260"/>
      <c r="F32" s="279">
        <v>30</v>
      </c>
      <c r="G32" s="260"/>
      <c r="H32" s="38">
        <f t="shared" si="1"/>
        <v>232</v>
      </c>
      <c r="I32" s="108" t="s">
        <v>608</v>
      </c>
      <c r="J32" s="12"/>
    </row>
    <row r="33" spans="1:10" ht="22.2" customHeight="1" thickBot="1">
      <c r="A33" s="39" t="s">
        <v>588</v>
      </c>
      <c r="B33" s="38" t="s">
        <v>323</v>
      </c>
      <c r="C33" s="38"/>
      <c r="D33" s="279"/>
      <c r="E33" s="260"/>
      <c r="F33" s="279">
        <v>28</v>
      </c>
      <c r="G33" s="260"/>
      <c r="H33" s="38">
        <f t="shared" si="1"/>
        <v>204</v>
      </c>
      <c r="I33" s="32"/>
      <c r="J33" s="12"/>
    </row>
    <row r="34" spans="1:10" ht="22.2" customHeight="1">
      <c r="A34" s="39" t="s">
        <v>368</v>
      </c>
      <c r="B34" s="38" t="s">
        <v>323</v>
      </c>
      <c r="C34" s="38"/>
      <c r="D34" s="279"/>
      <c r="E34" s="260"/>
      <c r="F34" s="279">
        <v>28</v>
      </c>
      <c r="G34" s="260"/>
      <c r="H34" s="38">
        <f t="shared" si="1"/>
        <v>176</v>
      </c>
      <c r="I34" s="22"/>
      <c r="J34" s="3"/>
    </row>
    <row r="35" spans="1:10" ht="22.2" customHeight="1">
      <c r="A35" s="39"/>
      <c r="B35" s="38"/>
      <c r="C35" s="38"/>
      <c r="D35" s="279"/>
      <c r="E35" s="260"/>
      <c r="F35" s="279"/>
      <c r="G35" s="260"/>
      <c r="H35" s="38"/>
      <c r="I35" s="7"/>
    </row>
    <row r="36" spans="1:10" ht="22.2" customHeight="1">
      <c r="A36" s="39"/>
      <c r="B36" s="38"/>
      <c r="C36" s="38"/>
      <c r="D36" s="279"/>
      <c r="E36" s="260"/>
      <c r="F36" s="279"/>
      <c r="G36" s="260"/>
      <c r="H36" s="38"/>
      <c r="I36" s="16"/>
    </row>
    <row r="37" spans="1:10" ht="22.2" customHeight="1">
      <c r="A37" s="39"/>
      <c r="B37" s="38"/>
      <c r="C37" s="38"/>
      <c r="D37" s="279"/>
      <c r="E37" s="260"/>
      <c r="F37" s="279"/>
      <c r="G37" s="260"/>
      <c r="H37" s="38"/>
      <c r="I37" s="7"/>
    </row>
    <row r="38" spans="1:10" ht="22.2" customHeight="1">
      <c r="A38" s="39"/>
      <c r="B38" s="38"/>
      <c r="C38" s="38"/>
      <c r="D38" s="279"/>
      <c r="E38" s="260"/>
      <c r="F38" s="279"/>
      <c r="G38" s="260"/>
      <c r="H38" s="38"/>
      <c r="I38" s="7" t="s">
        <v>437</v>
      </c>
    </row>
    <row r="39" spans="1:10" ht="22.2" customHeight="1">
      <c r="A39" s="39"/>
      <c r="B39" s="38"/>
      <c r="C39" s="38"/>
      <c r="D39" s="279"/>
      <c r="E39" s="260"/>
      <c r="F39" s="279"/>
      <c r="G39" s="260"/>
      <c r="H39" s="38"/>
      <c r="I39" s="16"/>
    </row>
    <row r="40" spans="1:10" ht="22.2" customHeight="1">
      <c r="A40" s="39"/>
      <c r="B40" s="38"/>
      <c r="C40" s="38"/>
      <c r="D40" s="279"/>
      <c r="E40" s="260"/>
      <c r="F40" s="279"/>
      <c r="G40" s="260"/>
      <c r="H40" s="38"/>
      <c r="I40" s="7"/>
    </row>
    <row r="41" spans="1:10" ht="22.2" customHeight="1">
      <c r="A41" s="39"/>
      <c r="B41" s="38"/>
      <c r="C41" s="38"/>
      <c r="D41" s="279"/>
      <c r="E41" s="260"/>
      <c r="F41" s="279"/>
      <c r="G41" s="260"/>
      <c r="H41" s="38"/>
      <c r="I41" s="7"/>
    </row>
    <row r="42" spans="1:10" ht="22.2" customHeight="1">
      <c r="A42" s="39"/>
      <c r="B42" s="38"/>
      <c r="C42" s="38"/>
      <c r="D42" s="279"/>
      <c r="E42" s="260"/>
      <c r="F42" s="279"/>
      <c r="G42" s="260"/>
      <c r="H42" s="38"/>
      <c r="I42" s="7"/>
    </row>
    <row r="43" spans="1:10" ht="22.2" customHeight="1">
      <c r="A43" s="39"/>
      <c r="B43" s="38"/>
      <c r="C43" s="38"/>
      <c r="D43" s="279"/>
      <c r="E43" s="260"/>
      <c r="F43" s="279"/>
      <c r="G43" s="260"/>
      <c r="H43" s="38"/>
      <c r="I43" s="7"/>
    </row>
    <row r="44" spans="1:10" ht="22.2" customHeight="1">
      <c r="A44" s="39"/>
      <c r="B44" s="38"/>
      <c r="C44" s="38"/>
      <c r="D44" s="279"/>
      <c r="E44" s="260"/>
      <c r="F44" s="279"/>
      <c r="G44" s="260"/>
      <c r="H44" s="38"/>
      <c r="I44" s="7"/>
    </row>
    <row r="45" spans="1:10" ht="22.2" customHeight="1">
      <c r="A45" s="39"/>
      <c r="B45" s="38"/>
      <c r="C45" s="38"/>
      <c r="D45" s="279"/>
      <c r="E45" s="260"/>
      <c r="F45" s="279"/>
      <c r="G45" s="260"/>
      <c r="H45" s="38"/>
      <c r="I45" s="7"/>
    </row>
    <row r="46" spans="1:10" ht="22.2" customHeight="1">
      <c r="A46" s="39"/>
      <c r="B46" s="38"/>
      <c r="C46" s="38"/>
      <c r="D46" s="279"/>
      <c r="E46" s="260"/>
      <c r="F46" s="279"/>
      <c r="G46" s="260"/>
      <c r="H46" s="38"/>
      <c r="I46" s="7"/>
    </row>
    <row r="47" spans="1:10" ht="22.2" customHeight="1">
      <c r="A47" s="39"/>
      <c r="B47" s="38"/>
      <c r="C47" s="38"/>
      <c r="D47" s="279"/>
      <c r="E47" s="260"/>
      <c r="F47" s="279"/>
      <c r="G47" s="260"/>
      <c r="H47" s="38"/>
      <c r="I47" s="7"/>
    </row>
    <row r="48" spans="1:10" ht="22.2" customHeight="1">
      <c r="A48" s="39"/>
      <c r="B48" s="38"/>
      <c r="C48" s="38"/>
      <c r="D48" s="279"/>
      <c r="E48" s="260"/>
      <c r="F48" s="279"/>
      <c r="G48" s="260"/>
      <c r="H48" s="38"/>
      <c r="I48" s="7"/>
    </row>
    <row r="49" spans="1:9" ht="22.2" customHeight="1">
      <c r="A49" s="39"/>
      <c r="B49" s="38"/>
      <c r="C49" s="38"/>
      <c r="D49" s="279"/>
      <c r="E49" s="260"/>
      <c r="F49" s="279"/>
      <c r="G49" s="260"/>
      <c r="H49" s="38"/>
      <c r="I49" s="7"/>
    </row>
    <row r="50" spans="1:9" ht="22.2" customHeight="1">
      <c r="A50" s="39"/>
      <c r="B50" s="38"/>
      <c r="C50" s="38"/>
      <c r="D50" s="279"/>
      <c r="E50" s="260"/>
      <c r="F50" s="279"/>
      <c r="G50" s="260"/>
      <c r="H50" s="38"/>
      <c r="I50" s="11"/>
    </row>
    <row r="51" spans="1:9" ht="22.2" customHeight="1">
      <c r="A51" s="39"/>
      <c r="B51" s="38"/>
      <c r="C51" s="38"/>
      <c r="D51" s="279"/>
      <c r="E51" s="260"/>
      <c r="F51" s="279"/>
      <c r="G51" s="260"/>
      <c r="H51" s="38"/>
      <c r="I51" s="109"/>
    </row>
    <row r="52" spans="1:9" ht="22.2" customHeight="1">
      <c r="A52" s="39"/>
      <c r="B52" s="38"/>
      <c r="C52" s="38"/>
      <c r="D52" s="279"/>
      <c r="E52" s="260"/>
      <c r="F52" s="279"/>
      <c r="G52" s="260"/>
      <c r="H52" s="38"/>
      <c r="I52" s="7"/>
    </row>
    <row r="53" spans="1:9" ht="22.2" customHeight="1">
      <c r="A53" s="39"/>
      <c r="B53" s="38"/>
      <c r="C53" s="38"/>
      <c r="D53" s="279"/>
      <c r="E53" s="260"/>
      <c r="F53" s="279"/>
      <c r="G53" s="260"/>
      <c r="H53" s="38"/>
      <c r="I53" s="7"/>
    </row>
    <row r="54" spans="1:9" ht="22.2" customHeight="1">
      <c r="A54" s="39"/>
      <c r="B54" s="38"/>
      <c r="C54" s="38"/>
      <c r="D54" s="279"/>
      <c r="E54" s="260"/>
      <c r="F54" s="279"/>
      <c r="G54" s="260"/>
      <c r="H54" s="38"/>
      <c r="I54" s="7"/>
    </row>
    <row r="55" spans="1:9" ht="22.2" customHeight="1">
      <c r="A55" s="39"/>
      <c r="B55" s="38"/>
      <c r="C55" s="38"/>
      <c r="D55" s="279"/>
      <c r="E55" s="260"/>
      <c r="F55" s="279"/>
      <c r="G55" s="260"/>
      <c r="H55" s="38"/>
      <c r="I55" s="7"/>
    </row>
    <row r="56" spans="1:9" ht="22.2" customHeight="1">
      <c r="A56" s="39"/>
      <c r="B56" s="38"/>
      <c r="C56" s="38"/>
      <c r="D56" s="279"/>
      <c r="E56" s="260"/>
      <c r="F56" s="279"/>
      <c r="G56" s="260"/>
      <c r="H56" s="38"/>
      <c r="I56" s="7"/>
    </row>
    <row r="57" spans="1:9" ht="22.2" customHeight="1">
      <c r="A57" s="41"/>
      <c r="B57" s="38"/>
      <c r="C57" s="38"/>
      <c r="D57" s="279"/>
      <c r="E57" s="260"/>
      <c r="F57" s="279"/>
      <c r="G57" s="260"/>
      <c r="H57" s="38"/>
      <c r="I57" s="16"/>
    </row>
    <row r="58" spans="1:9" ht="22.2" customHeight="1">
      <c r="A58" s="39"/>
      <c r="B58" s="38"/>
      <c r="C58" s="38"/>
      <c r="D58" s="279"/>
      <c r="E58" s="260"/>
      <c r="F58" s="279"/>
      <c r="G58" s="260"/>
      <c r="H58" s="38"/>
      <c r="I58" s="7"/>
    </row>
    <row r="59" spans="1:9" ht="22.2" customHeight="1">
      <c r="A59" s="39"/>
      <c r="B59" s="38"/>
      <c r="C59" s="38"/>
      <c r="D59" s="279"/>
      <c r="E59" s="260"/>
      <c r="F59" s="279"/>
      <c r="G59" s="260"/>
      <c r="H59" s="38"/>
      <c r="I59" s="109"/>
    </row>
    <row r="60" spans="1:9" ht="22.2" customHeight="1">
      <c r="A60" s="39"/>
      <c r="B60" s="38"/>
      <c r="C60" s="38"/>
      <c r="D60" s="279"/>
      <c r="E60" s="260"/>
      <c r="F60" s="279"/>
      <c r="G60" s="260"/>
      <c r="H60" s="38"/>
      <c r="I60" s="7"/>
    </row>
    <row r="61" spans="1:9" ht="22.2" customHeight="1">
      <c r="A61" s="41"/>
      <c r="B61" s="38"/>
      <c r="C61" s="38"/>
      <c r="D61" s="279"/>
      <c r="E61" s="260"/>
      <c r="F61" s="279"/>
      <c r="G61" s="260"/>
      <c r="H61" s="38"/>
      <c r="I61" s="7"/>
    </row>
    <row r="62" spans="1:9" ht="22.2" customHeight="1">
      <c r="A62" s="41"/>
      <c r="B62" s="38"/>
      <c r="C62" s="38"/>
      <c r="D62" s="279"/>
      <c r="E62" s="260"/>
      <c r="F62" s="279"/>
      <c r="G62" s="260"/>
      <c r="H62" s="38"/>
      <c r="I62" s="7"/>
    </row>
    <row r="63" spans="1:9" ht="22.2" customHeight="1">
      <c r="A63" s="41"/>
      <c r="B63" s="38"/>
      <c r="C63" s="38"/>
      <c r="D63" s="279"/>
      <c r="E63" s="260"/>
      <c r="F63" s="279"/>
      <c r="G63" s="260"/>
      <c r="H63" s="38"/>
      <c r="I63" s="7"/>
    </row>
    <row r="64" spans="1:9" ht="22.2" customHeight="1">
      <c r="A64" s="39"/>
      <c r="B64" s="38"/>
      <c r="C64" s="38"/>
      <c r="D64" s="279"/>
      <c r="E64" s="260"/>
      <c r="F64" s="279"/>
      <c r="G64" s="260"/>
      <c r="H64" s="38"/>
      <c r="I64" s="7"/>
    </row>
    <row r="65" spans="1:9" ht="22.2" customHeight="1">
      <c r="A65" s="39"/>
      <c r="B65" s="38"/>
      <c r="C65" s="38"/>
      <c r="D65" s="279"/>
      <c r="E65" s="260"/>
      <c r="F65" s="279"/>
      <c r="G65" s="260"/>
      <c r="H65" s="38"/>
      <c r="I65" s="7"/>
    </row>
    <row r="66" spans="1:9" ht="22.2" customHeight="1">
      <c r="A66" s="41"/>
      <c r="B66" s="38"/>
      <c r="C66" s="38"/>
      <c r="D66" s="279"/>
      <c r="E66" s="260"/>
      <c r="F66" s="279"/>
      <c r="G66" s="260"/>
      <c r="H66" s="38"/>
      <c r="I66" s="109"/>
    </row>
    <row r="67" spans="1:9" ht="22.2" customHeight="1">
      <c r="A67" s="39"/>
      <c r="B67" s="38"/>
      <c r="C67" s="38"/>
      <c r="D67" s="279"/>
      <c r="E67" s="260"/>
      <c r="F67" s="279"/>
      <c r="G67" s="260"/>
      <c r="H67" s="38"/>
      <c r="I67" s="7"/>
    </row>
    <row r="68" spans="1:9" ht="22.2" customHeight="1">
      <c r="A68" s="39"/>
      <c r="B68" s="38"/>
      <c r="C68" s="38"/>
      <c r="D68" s="279"/>
      <c r="E68" s="260"/>
      <c r="F68" s="279"/>
      <c r="G68" s="260"/>
      <c r="H68" s="38"/>
      <c r="I68" s="7"/>
    </row>
    <row r="69" spans="1:9" ht="22.2" customHeight="1">
      <c r="A69" s="41"/>
      <c r="B69" s="38"/>
      <c r="C69" s="38"/>
      <c r="D69" s="279"/>
      <c r="E69" s="260"/>
      <c r="F69" s="279"/>
      <c r="G69" s="260"/>
      <c r="H69" s="38"/>
      <c r="I69" s="7"/>
    </row>
    <row r="70" spans="1:9" ht="22.2" customHeight="1">
      <c r="A70" s="41"/>
      <c r="B70" s="38"/>
      <c r="C70" s="38"/>
      <c r="D70" s="279"/>
      <c r="E70" s="260"/>
      <c r="F70" s="279"/>
      <c r="G70" s="260"/>
      <c r="H70" s="38"/>
      <c r="I70" s="7"/>
    </row>
    <row r="71" spans="1:9" ht="22.2" customHeight="1">
      <c r="A71" s="39"/>
      <c r="B71" s="38"/>
      <c r="C71" s="38"/>
      <c r="D71" s="279"/>
      <c r="E71" s="260"/>
      <c r="F71" s="279"/>
      <c r="G71" s="260"/>
      <c r="H71" s="38"/>
      <c r="I71" s="7"/>
    </row>
    <row r="72" spans="1:9" ht="22.2" customHeight="1">
      <c r="A72" s="39"/>
      <c r="B72" s="38"/>
      <c r="C72" s="38"/>
      <c r="D72" s="279"/>
      <c r="E72" s="260"/>
      <c r="F72" s="279"/>
      <c r="G72" s="260"/>
      <c r="H72" s="38"/>
      <c r="I72" s="7"/>
    </row>
    <row r="73" spans="1:9" ht="22.2" customHeight="1">
      <c r="A73" s="133"/>
      <c r="B73" s="140"/>
      <c r="C73" s="140"/>
      <c r="D73" s="289"/>
      <c r="E73" s="260"/>
      <c r="F73" s="289"/>
      <c r="G73" s="260"/>
      <c r="H73" s="140"/>
      <c r="I73" s="7"/>
    </row>
    <row r="74" spans="1:9" ht="22.2" customHeight="1">
      <c r="A74" s="41"/>
      <c r="B74" s="38"/>
      <c r="C74" s="38"/>
      <c r="D74" s="259"/>
      <c r="E74" s="260"/>
      <c r="F74" s="279"/>
      <c r="G74" s="260"/>
      <c r="H74" s="38"/>
      <c r="I74" s="7"/>
    </row>
    <row r="75" spans="1:9" ht="22.2" customHeight="1">
      <c r="A75" s="39"/>
      <c r="B75" s="38"/>
      <c r="C75" s="38"/>
      <c r="D75" s="259"/>
      <c r="E75" s="260"/>
      <c r="F75" s="279"/>
      <c r="G75" s="260"/>
      <c r="H75" s="38"/>
      <c r="I75" s="7"/>
    </row>
    <row r="76" spans="1:9" ht="21" customHeight="1">
      <c r="A76" s="39"/>
      <c r="B76" s="38"/>
      <c r="C76" s="38"/>
      <c r="D76" s="259"/>
      <c r="E76" s="260"/>
      <c r="F76" s="279"/>
      <c r="G76" s="260"/>
      <c r="H76" s="38"/>
      <c r="I76" s="7"/>
    </row>
    <row r="77" spans="1:9" ht="21" customHeight="1">
      <c r="A77" s="41"/>
      <c r="B77" s="38"/>
      <c r="C77" s="38"/>
      <c r="D77" s="259"/>
      <c r="E77" s="260"/>
      <c r="F77" s="279"/>
      <c r="G77" s="260"/>
      <c r="H77" s="38"/>
      <c r="I77" s="109"/>
    </row>
    <row r="78" spans="1:9" ht="21" customHeight="1">
      <c r="A78" s="39"/>
      <c r="B78" s="38"/>
      <c r="C78" s="38"/>
      <c r="D78" s="259"/>
      <c r="E78" s="260"/>
      <c r="F78" s="279"/>
      <c r="G78" s="260"/>
      <c r="H78" s="38"/>
      <c r="I78" s="7"/>
    </row>
    <row r="79" spans="1:9" ht="21" customHeight="1">
      <c r="A79" s="41"/>
      <c r="B79" s="38"/>
      <c r="C79" s="38"/>
      <c r="D79" s="259"/>
      <c r="E79" s="260"/>
      <c r="F79" s="279"/>
      <c r="G79" s="260"/>
      <c r="H79" s="38"/>
      <c r="I79" s="7"/>
    </row>
    <row r="80" spans="1:9" ht="21" customHeight="1">
      <c r="A80" s="41"/>
      <c r="B80" s="38"/>
      <c r="C80" s="38"/>
      <c r="D80" s="259"/>
      <c r="E80" s="260"/>
      <c r="F80" s="279"/>
      <c r="G80" s="260"/>
      <c r="H80" s="38"/>
      <c r="I80" s="7"/>
    </row>
    <row r="81" spans="1:9" ht="21" customHeight="1">
      <c r="A81" s="41"/>
      <c r="B81" s="38"/>
      <c r="C81" s="38"/>
      <c r="D81" s="259"/>
      <c r="E81" s="260"/>
      <c r="F81" s="279"/>
      <c r="G81" s="260"/>
      <c r="H81" s="38"/>
      <c r="I81" s="7"/>
    </row>
    <row r="82" spans="1:9" ht="21" customHeight="1">
      <c r="A82" s="39"/>
      <c r="B82" s="38"/>
      <c r="C82" s="38"/>
      <c r="D82" s="259"/>
      <c r="E82" s="260"/>
      <c r="F82" s="279"/>
      <c r="G82" s="260"/>
      <c r="H82" s="38"/>
      <c r="I82" s="7"/>
    </row>
    <row r="83" spans="1:9" ht="21" customHeight="1">
      <c r="A83" s="41"/>
      <c r="B83" s="38"/>
      <c r="C83" s="38"/>
      <c r="D83" s="259"/>
      <c r="E83" s="260"/>
      <c r="F83" s="279"/>
      <c r="G83" s="260"/>
      <c r="H83" s="38"/>
      <c r="I83" s="7"/>
    </row>
    <row r="84" spans="1:9" ht="21" customHeight="1">
      <c r="A84" s="41"/>
      <c r="B84" s="38"/>
      <c r="C84" s="38"/>
      <c r="D84" s="259"/>
      <c r="E84" s="260"/>
      <c r="F84" s="279"/>
      <c r="G84" s="260"/>
      <c r="H84" s="38"/>
      <c r="I84" s="7"/>
    </row>
    <row r="85" spans="1:9" ht="21" customHeight="1">
      <c r="A85" s="41"/>
      <c r="B85" s="38"/>
      <c r="C85" s="38"/>
      <c r="D85" s="259"/>
      <c r="E85" s="260"/>
      <c r="F85" s="279"/>
      <c r="G85" s="260"/>
      <c r="H85" s="38"/>
      <c r="I85" s="11"/>
    </row>
    <row r="86" spans="1:9" ht="21" customHeight="1">
      <c r="A86" s="41"/>
      <c r="B86" s="38"/>
      <c r="C86" s="38"/>
      <c r="D86" s="259"/>
      <c r="E86" s="260"/>
      <c r="F86" s="279"/>
      <c r="G86" s="260"/>
      <c r="H86" s="38"/>
      <c r="I86" s="7"/>
    </row>
    <row r="87" spans="1:9" ht="21" customHeight="1">
      <c r="A87" s="41"/>
      <c r="B87" s="38"/>
      <c r="C87" s="38"/>
      <c r="D87" s="259"/>
      <c r="E87" s="260"/>
      <c r="F87" s="279"/>
      <c r="G87" s="260"/>
      <c r="H87" s="38"/>
      <c r="I87" s="7"/>
    </row>
    <row r="88" spans="1:9" ht="21" customHeight="1">
      <c r="A88" s="14"/>
      <c r="B88" s="38"/>
      <c r="C88" s="38"/>
      <c r="D88" s="259"/>
      <c r="E88" s="260"/>
      <c r="F88" s="261"/>
      <c r="G88" s="260"/>
      <c r="H88" s="38"/>
      <c r="I88" s="7"/>
    </row>
    <row r="89" spans="1:9" ht="21" customHeight="1">
      <c r="A89" s="15"/>
      <c r="B89" s="38"/>
      <c r="C89" s="38"/>
      <c r="D89" s="259"/>
      <c r="E89" s="260"/>
      <c r="F89" s="261"/>
      <c r="G89" s="260"/>
      <c r="H89" s="38"/>
      <c r="I89" s="7"/>
    </row>
    <row r="90" spans="1:9" ht="21" customHeight="1">
      <c r="A90" s="15"/>
      <c r="B90" s="38"/>
      <c r="C90" s="38"/>
      <c r="D90" s="259"/>
      <c r="E90" s="260"/>
      <c r="F90" s="261"/>
      <c r="G90" s="260"/>
      <c r="H90" s="38"/>
      <c r="I90" s="7"/>
    </row>
    <row r="91" spans="1:9" ht="21" customHeight="1">
      <c r="A91" s="14"/>
      <c r="B91" s="38"/>
      <c r="C91" s="38"/>
      <c r="D91" s="259"/>
      <c r="E91" s="260"/>
      <c r="F91" s="261"/>
      <c r="G91" s="260"/>
      <c r="H91" s="38"/>
      <c r="I91" s="7"/>
    </row>
    <row r="92" spans="1:9" ht="21" customHeight="1">
      <c r="A92" s="15"/>
      <c r="B92" s="38"/>
      <c r="C92" s="38"/>
      <c r="D92" s="259"/>
      <c r="E92" s="260"/>
      <c r="F92" s="261"/>
      <c r="G92" s="260"/>
      <c r="H92" s="38"/>
      <c r="I92" s="7"/>
    </row>
    <row r="93" spans="1:9" ht="21" customHeight="1">
      <c r="A93" s="15"/>
      <c r="B93" s="38"/>
      <c r="C93" s="38"/>
      <c r="D93" s="259"/>
      <c r="E93" s="260"/>
      <c r="F93" s="261"/>
      <c r="G93" s="260"/>
      <c r="H93" s="38"/>
      <c r="I93" s="7"/>
    </row>
    <row r="94" spans="1:9" ht="21" customHeight="1">
      <c r="A94" s="15"/>
      <c r="B94" s="38"/>
      <c r="C94" s="38"/>
      <c r="D94" s="259"/>
      <c r="E94" s="260"/>
      <c r="F94" s="261"/>
      <c r="G94" s="260"/>
      <c r="H94" s="38"/>
      <c r="I94" s="7"/>
    </row>
    <row r="95" spans="1:9" ht="21" customHeight="1">
      <c r="A95" s="14"/>
      <c r="B95" s="38"/>
      <c r="C95" s="38"/>
      <c r="D95" s="259"/>
      <c r="E95" s="260"/>
      <c r="F95" s="261"/>
      <c r="G95" s="260"/>
      <c r="H95" s="38"/>
      <c r="I95" s="7"/>
    </row>
    <row r="96" spans="1:9" ht="21" customHeight="1">
      <c r="A96" s="14"/>
      <c r="B96" s="38"/>
      <c r="C96" s="38"/>
      <c r="D96" s="259"/>
      <c r="E96" s="260"/>
      <c r="F96" s="261"/>
      <c r="G96" s="260"/>
      <c r="H96" s="38"/>
      <c r="I96" s="7"/>
    </row>
    <row r="97" spans="1:9" ht="21" customHeight="1">
      <c r="A97" s="14"/>
      <c r="B97" s="38"/>
      <c r="C97" s="38"/>
      <c r="D97" s="259"/>
      <c r="E97" s="260"/>
      <c r="F97" s="261"/>
      <c r="G97" s="260"/>
      <c r="H97" s="38"/>
      <c r="I97" s="7"/>
    </row>
    <row r="98" spans="1:9" ht="21" customHeight="1">
      <c r="A98" s="14"/>
      <c r="B98" s="38"/>
      <c r="C98" s="38"/>
      <c r="D98" s="259"/>
      <c r="E98" s="260"/>
      <c r="F98" s="261"/>
      <c r="G98" s="260"/>
      <c r="H98" s="38"/>
      <c r="I98" s="7"/>
    </row>
    <row r="99" spans="1:9" ht="21" customHeight="1">
      <c r="A99" s="14"/>
      <c r="B99" s="38"/>
      <c r="C99" s="38"/>
      <c r="D99" s="259"/>
      <c r="E99" s="260"/>
      <c r="F99" s="261"/>
      <c r="G99" s="260"/>
      <c r="H99" s="38"/>
      <c r="I99" s="7"/>
    </row>
    <row r="100" spans="1:9" ht="21" customHeight="1">
      <c r="A100" s="14"/>
      <c r="B100" s="38"/>
      <c r="C100" s="38"/>
      <c r="D100" s="259"/>
      <c r="E100" s="260"/>
      <c r="F100" s="261"/>
      <c r="G100" s="260"/>
      <c r="H100" s="38"/>
      <c r="I100" s="7"/>
    </row>
    <row r="101" spans="1:9" ht="21" customHeight="1">
      <c r="A101" s="14"/>
      <c r="B101" s="38"/>
      <c r="C101" s="38"/>
      <c r="D101" s="259"/>
      <c r="E101" s="260"/>
      <c r="F101" s="261"/>
      <c r="G101" s="260"/>
      <c r="H101" s="38"/>
      <c r="I101" s="7"/>
    </row>
    <row r="102" spans="1:9" ht="21" customHeight="1">
      <c r="A102" s="14"/>
      <c r="B102" s="38"/>
      <c r="C102" s="38"/>
      <c r="D102" s="259"/>
      <c r="E102" s="260"/>
      <c r="F102" s="261"/>
      <c r="G102" s="260"/>
      <c r="H102" s="38"/>
      <c r="I102" s="7"/>
    </row>
    <row r="103" spans="1:9" ht="21" customHeight="1">
      <c r="A103" s="14"/>
      <c r="B103" s="38"/>
      <c r="C103" s="38"/>
      <c r="D103" s="259"/>
      <c r="E103" s="260"/>
      <c r="F103" s="261"/>
      <c r="G103" s="260"/>
      <c r="H103" s="38"/>
      <c r="I103" s="7"/>
    </row>
    <row r="104" spans="1:9" ht="21" customHeight="1">
      <c r="A104" s="14"/>
      <c r="B104" s="6"/>
      <c r="C104" s="9"/>
      <c r="D104" s="259"/>
      <c r="E104" s="260"/>
      <c r="F104" s="261"/>
      <c r="G104" s="260"/>
      <c r="H104" s="38"/>
      <c r="I104" s="7"/>
    </row>
    <row r="105" spans="1:9" ht="21" customHeight="1">
      <c r="A105" s="14"/>
      <c r="B105" s="6"/>
      <c r="C105" s="3"/>
      <c r="D105" s="259"/>
      <c r="E105" s="260"/>
      <c r="F105" s="261"/>
      <c r="G105" s="260"/>
      <c r="H105" s="38"/>
      <c r="I105" s="7"/>
    </row>
  </sheetData>
  <mergeCells count="209">
    <mergeCell ref="D82:E82"/>
    <mergeCell ref="F82:G82"/>
    <mergeCell ref="F60:G60"/>
    <mergeCell ref="D50:E50"/>
    <mergeCell ref="D44:E44"/>
    <mergeCell ref="D59:E59"/>
    <mergeCell ref="F44:G44"/>
    <mergeCell ref="F27:G27"/>
    <mergeCell ref="F58:G58"/>
    <mergeCell ref="F52:G52"/>
    <mergeCell ref="F67:G67"/>
    <mergeCell ref="D8:E8"/>
    <mergeCell ref="F37:G37"/>
    <mergeCell ref="D74:E74"/>
    <mergeCell ref="B3:D3"/>
    <mergeCell ref="D68:E68"/>
    <mergeCell ref="D42:E42"/>
    <mergeCell ref="D95:E95"/>
    <mergeCell ref="F24:G24"/>
    <mergeCell ref="F12:G12"/>
    <mergeCell ref="F95:G95"/>
    <mergeCell ref="D104:E104"/>
    <mergeCell ref="D57:E57"/>
    <mergeCell ref="B2:I2"/>
    <mergeCell ref="F104:G104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58:E58"/>
    <mergeCell ref="D105:E105"/>
    <mergeCell ref="F21:G21"/>
    <mergeCell ref="D52:E52"/>
    <mergeCell ref="F53:G53"/>
    <mergeCell ref="D49:E49"/>
    <mergeCell ref="D27:E27"/>
    <mergeCell ref="F36:G36"/>
    <mergeCell ref="F50:G50"/>
    <mergeCell ref="F101:G101"/>
    <mergeCell ref="D91:E91"/>
    <mergeCell ref="F91:G91"/>
    <mergeCell ref="F100:G100"/>
    <mergeCell ref="D28:E28"/>
    <mergeCell ref="D93:E93"/>
    <mergeCell ref="F22:G22"/>
    <mergeCell ref="F93:G93"/>
    <mergeCell ref="D102:E102"/>
    <mergeCell ref="F102:G102"/>
    <mergeCell ref="D83:E83"/>
    <mergeCell ref="D25:E25"/>
    <mergeCell ref="F77:G77"/>
    <mergeCell ref="D92:E92"/>
    <mergeCell ref="D55:E55"/>
    <mergeCell ref="D30:E30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D17:E17"/>
    <mergeCell ref="F8:G8"/>
    <mergeCell ref="A5:B5"/>
    <mergeCell ref="D12:E12"/>
    <mergeCell ref="D67:E67"/>
    <mergeCell ref="F49:G49"/>
    <mergeCell ref="D85:E85"/>
    <mergeCell ref="F14:G14"/>
    <mergeCell ref="D54:E54"/>
    <mergeCell ref="E4:G4"/>
    <mergeCell ref="D69:E69"/>
    <mergeCell ref="F11:G11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92:G92"/>
    <mergeCell ref="D94:E94"/>
    <mergeCell ref="F69:G69"/>
    <mergeCell ref="F78:G78"/>
    <mergeCell ref="F65:G65"/>
    <mergeCell ref="D46:E46"/>
    <mergeCell ref="H4:I4"/>
    <mergeCell ref="D40:E40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D75:E75"/>
    <mergeCell ref="F66:G66"/>
    <mergeCell ref="D53:E53"/>
    <mergeCell ref="F75:G75"/>
    <mergeCell ref="D47:E47"/>
    <mergeCell ref="F47:G47"/>
    <mergeCell ref="F62:G62"/>
    <mergeCell ref="D80:E80"/>
    <mergeCell ref="F40:G40"/>
    <mergeCell ref="F96:G96"/>
    <mergeCell ref="F56:G56"/>
    <mergeCell ref="F71:G71"/>
    <mergeCell ref="F105:G105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D99:E99"/>
    <mergeCell ref="F99:G99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F13:G13"/>
    <mergeCell ref="D71:E71"/>
    <mergeCell ref="D10:E10"/>
    <mergeCell ref="F10:G10"/>
    <mergeCell ref="D19:E19"/>
    <mergeCell ref="F19:G19"/>
    <mergeCell ref="F6:G6"/>
    <mergeCell ref="F74:G74"/>
    <mergeCell ref="D21:E21"/>
    <mergeCell ref="F59:G59"/>
    <mergeCell ref="F55:G55"/>
    <mergeCell ref="D18:E18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3">
    <tabColor theme="2" tint="-0.499984740745262"/>
  </sheetPr>
  <dimension ref="A1:O89"/>
  <sheetViews>
    <sheetView topLeftCell="A16" workbookViewId="0">
      <selection activeCell="H14" sqref="H1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5.77734375" style="246" customWidth="1"/>
    <col min="7" max="7" width="6.33203125" style="246" customWidth="1"/>
    <col min="8" max="8" width="9.44140625" style="246" customWidth="1"/>
    <col min="9" max="9" width="21.3320312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950000000000003" customHeight="1">
      <c r="A2" s="33" t="s">
        <v>1187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1188</v>
      </c>
      <c r="C3" s="263"/>
      <c r="D3" s="260"/>
      <c r="E3" s="266" t="s">
        <v>11</v>
      </c>
      <c r="F3" s="263"/>
      <c r="G3" s="260"/>
      <c r="H3" s="268" t="s">
        <v>374</v>
      </c>
      <c r="I3" s="269"/>
      <c r="J3" s="19" t="str">
        <f>B3</f>
        <v>Clonopam 2mg</v>
      </c>
      <c r="K3" s="34" t="s">
        <v>1189</v>
      </c>
      <c r="L3" s="5">
        <f>H7</f>
        <v>78</v>
      </c>
      <c r="M3" s="3">
        <f>SUM(C$8:C$1048576)</f>
        <v>140</v>
      </c>
      <c r="N3" s="3">
        <f>SUM(F:F)</f>
        <v>119</v>
      </c>
      <c r="O3" s="3">
        <f>L3+M3-N3</f>
        <v>99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81" t="s">
        <v>1190</v>
      </c>
      <c r="I4" s="269"/>
      <c r="J4" s="12"/>
      <c r="K4" s="3"/>
      <c r="L4" s="3"/>
      <c r="M4" s="3"/>
      <c r="N4" s="3"/>
      <c r="O4" s="3"/>
    </row>
    <row r="5" spans="1:15" ht="39" customHeight="1">
      <c r="A5" s="272" t="s">
        <v>18</v>
      </c>
      <c r="B5" s="260"/>
      <c r="C5" s="262" t="s">
        <v>91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 ht="32.4" customHeigh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1.95" customHeight="1">
      <c r="A7" s="196" t="s">
        <v>29</v>
      </c>
      <c r="B7" s="155" t="s">
        <v>5</v>
      </c>
      <c r="C7" s="155">
        <v>78</v>
      </c>
      <c r="D7" s="280"/>
      <c r="E7" s="260"/>
      <c r="F7" s="280"/>
      <c r="G7" s="260"/>
      <c r="H7" s="155">
        <v>78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386</v>
      </c>
      <c r="B8" s="38" t="s">
        <v>323</v>
      </c>
      <c r="C8" s="38"/>
      <c r="D8" s="259"/>
      <c r="E8" s="260"/>
      <c r="F8" s="279">
        <v>28</v>
      </c>
      <c r="G8" s="260"/>
      <c r="H8" s="38">
        <f>H7-F8</f>
        <v>50</v>
      </c>
      <c r="I8" s="26" t="s">
        <v>414</v>
      </c>
      <c r="J8" s="12"/>
    </row>
    <row r="9" spans="1:15" ht="26.7" customHeight="1">
      <c r="A9" s="39" t="s">
        <v>388</v>
      </c>
      <c r="B9" s="38" t="s">
        <v>323</v>
      </c>
      <c r="C9" s="38"/>
      <c r="D9" s="259"/>
      <c r="E9" s="260"/>
      <c r="F9" s="279">
        <v>28</v>
      </c>
      <c r="G9" s="260"/>
      <c r="H9" s="38">
        <f>H8-F9</f>
        <v>22</v>
      </c>
      <c r="I9" s="26"/>
      <c r="J9" s="12"/>
    </row>
    <row r="10" spans="1:15" ht="26.7" customHeight="1">
      <c r="A10" s="39" t="s">
        <v>544</v>
      </c>
      <c r="B10" s="38" t="s">
        <v>324</v>
      </c>
      <c r="C10" s="38">
        <v>40</v>
      </c>
      <c r="D10" s="259" t="s">
        <v>1191</v>
      </c>
      <c r="E10" s="260"/>
      <c r="F10" s="279"/>
      <c r="G10" s="260"/>
      <c r="H10" s="38">
        <v>62</v>
      </c>
      <c r="I10" s="28" t="s">
        <v>414</v>
      </c>
      <c r="J10" s="12"/>
    </row>
    <row r="11" spans="1:15" ht="26.7" customHeight="1">
      <c r="A11" s="39" t="s">
        <v>583</v>
      </c>
      <c r="B11" s="38" t="s">
        <v>323</v>
      </c>
      <c r="C11" s="38"/>
      <c r="D11" s="259"/>
      <c r="E11" s="260"/>
      <c r="F11" s="279">
        <v>28</v>
      </c>
      <c r="G11" s="260"/>
      <c r="H11" s="38">
        <f>H10-F11</f>
        <v>34</v>
      </c>
      <c r="I11" s="26"/>
      <c r="J11" s="12"/>
    </row>
    <row r="12" spans="1:15" ht="26.7" customHeight="1">
      <c r="A12" s="39" t="s">
        <v>607</v>
      </c>
      <c r="B12" s="38" t="s">
        <v>324</v>
      </c>
      <c r="C12" s="38">
        <v>100</v>
      </c>
      <c r="D12" s="259" t="s">
        <v>1192</v>
      </c>
      <c r="E12" s="260"/>
      <c r="F12" s="261"/>
      <c r="G12" s="260"/>
      <c r="H12" s="38">
        <v>134</v>
      </c>
      <c r="I12" s="26" t="s">
        <v>414</v>
      </c>
      <c r="J12" s="12"/>
    </row>
    <row r="13" spans="1:15" ht="26.7" customHeight="1">
      <c r="A13" s="39" t="s">
        <v>503</v>
      </c>
      <c r="B13" s="38" t="s">
        <v>323</v>
      </c>
      <c r="C13" s="38"/>
      <c r="D13" s="259"/>
      <c r="E13" s="260"/>
      <c r="F13" s="261">
        <v>7</v>
      </c>
      <c r="G13" s="260"/>
      <c r="H13" s="38">
        <f>H12-F13</f>
        <v>127</v>
      </c>
      <c r="I13" s="26"/>
      <c r="J13" s="12"/>
    </row>
    <row r="14" spans="1:15" ht="26.7" customHeight="1">
      <c r="A14" s="39" t="s">
        <v>363</v>
      </c>
      <c r="B14" s="38" t="s">
        <v>323</v>
      </c>
      <c r="C14" s="38"/>
      <c r="D14" s="259"/>
      <c r="E14" s="260"/>
      <c r="F14" s="261">
        <v>28</v>
      </c>
      <c r="G14" s="260"/>
      <c r="H14" s="38">
        <f>H13-F14</f>
        <v>99</v>
      </c>
      <c r="I14" s="26"/>
      <c r="J14" s="12"/>
    </row>
    <row r="15" spans="1:15" ht="26.7" customHeight="1">
      <c r="A15" s="39"/>
      <c r="B15" s="38"/>
      <c r="C15" s="38"/>
      <c r="D15" s="259"/>
      <c r="E15" s="260"/>
      <c r="F15" s="261"/>
      <c r="G15" s="260"/>
      <c r="H15" s="38"/>
      <c r="I15" s="26"/>
      <c r="J15" s="12"/>
    </row>
    <row r="16" spans="1:15" ht="26.7" customHeight="1" thickBot="1">
      <c r="A16" s="39"/>
      <c r="B16" s="38"/>
      <c r="C16" s="38"/>
      <c r="D16" s="264"/>
      <c r="E16" s="265"/>
      <c r="F16" s="267"/>
      <c r="G16" s="265"/>
      <c r="H16" s="38"/>
      <c r="I16" s="32"/>
      <c r="J16" s="12"/>
    </row>
    <row r="17" spans="1:10" ht="21" customHeight="1">
      <c r="A17" s="39"/>
      <c r="B17" s="38"/>
      <c r="C17" s="38"/>
      <c r="D17" s="276"/>
      <c r="E17" s="277"/>
      <c r="F17" s="278"/>
      <c r="G17" s="277"/>
      <c r="H17" s="38"/>
      <c r="I17" s="22"/>
      <c r="J17" s="3"/>
    </row>
    <row r="18" spans="1:10" ht="21" customHeight="1">
      <c r="A18" s="39"/>
      <c r="B18" s="38"/>
      <c r="C18" s="38"/>
      <c r="D18" s="259"/>
      <c r="E18" s="260"/>
      <c r="F18" s="261"/>
      <c r="G18" s="260"/>
      <c r="H18" s="38"/>
      <c r="I18" s="7"/>
    </row>
    <row r="19" spans="1:10" ht="21" customHeight="1">
      <c r="A19" s="39"/>
      <c r="B19" s="38"/>
      <c r="C19" s="38"/>
      <c r="D19" s="259"/>
      <c r="E19" s="260"/>
      <c r="F19" s="261"/>
      <c r="G19" s="260"/>
      <c r="H19" s="38"/>
      <c r="I19" s="16"/>
    </row>
    <row r="20" spans="1:10" ht="21" customHeight="1">
      <c r="A20" s="39"/>
      <c r="B20" s="38"/>
      <c r="C20" s="38"/>
      <c r="D20" s="259"/>
      <c r="E20" s="260"/>
      <c r="F20" s="261"/>
      <c r="G20" s="260"/>
      <c r="H20" s="38"/>
      <c r="I20" s="7"/>
    </row>
    <row r="21" spans="1:10" ht="21" customHeight="1">
      <c r="A21" s="39"/>
      <c r="B21" s="38"/>
      <c r="C21" s="38"/>
      <c r="D21" s="259"/>
      <c r="E21" s="260"/>
      <c r="F21" s="261"/>
      <c r="G21" s="260"/>
      <c r="H21" s="38"/>
      <c r="I21" s="7"/>
    </row>
    <row r="22" spans="1:10" ht="21" customHeight="1">
      <c r="A22" s="39"/>
      <c r="B22" s="38"/>
      <c r="C22" s="38"/>
      <c r="D22" s="259"/>
      <c r="E22" s="260"/>
      <c r="F22" s="261"/>
      <c r="G22" s="260"/>
      <c r="H22" s="38"/>
      <c r="I22" s="16"/>
    </row>
    <row r="23" spans="1:10" ht="21" customHeight="1">
      <c r="A23" s="39"/>
      <c r="B23" s="38"/>
      <c r="C23" s="38"/>
      <c r="D23" s="259"/>
      <c r="E23" s="260"/>
      <c r="F23" s="261"/>
      <c r="G23" s="260"/>
      <c r="H23" s="38"/>
      <c r="I23" s="7"/>
    </row>
    <row r="24" spans="1:10" ht="21" customHeight="1">
      <c r="A24" s="39"/>
      <c r="B24" s="38"/>
      <c r="C24" s="38"/>
      <c r="D24" s="259"/>
      <c r="E24" s="260"/>
      <c r="F24" s="261"/>
      <c r="G24" s="260"/>
      <c r="H24" s="38"/>
      <c r="I24" s="7"/>
    </row>
    <row r="25" spans="1:10" ht="21" customHeight="1">
      <c r="A25" s="39"/>
      <c r="B25" s="38"/>
      <c r="C25" s="38"/>
      <c r="D25" s="259"/>
      <c r="E25" s="260"/>
      <c r="F25" s="261"/>
      <c r="G25" s="260"/>
      <c r="H25" s="38"/>
      <c r="I25" s="7"/>
    </row>
    <row r="26" spans="1:10" ht="21" customHeight="1">
      <c r="A26" s="39"/>
      <c r="B26" s="38"/>
      <c r="C26" s="38"/>
      <c r="D26" s="259"/>
      <c r="E26" s="260"/>
      <c r="F26" s="261"/>
      <c r="G26" s="260"/>
      <c r="H26" s="38"/>
      <c r="I26" s="7"/>
    </row>
    <row r="27" spans="1:10" ht="21" customHeight="1">
      <c r="A27" s="39"/>
      <c r="B27" s="38"/>
      <c r="C27" s="38"/>
      <c r="D27" s="259"/>
      <c r="E27" s="260"/>
      <c r="F27" s="261"/>
      <c r="G27" s="260"/>
      <c r="H27" s="38"/>
      <c r="I27" s="7"/>
    </row>
    <row r="28" spans="1:10" ht="21" customHeight="1">
      <c r="A28" s="39"/>
      <c r="B28" s="38"/>
      <c r="C28" s="38"/>
      <c r="D28" s="259"/>
      <c r="E28" s="260"/>
      <c r="F28" s="261"/>
      <c r="G28" s="260"/>
      <c r="H28" s="38"/>
      <c r="I28" s="7"/>
    </row>
    <row r="29" spans="1:10" ht="21" customHeight="1">
      <c r="A29" s="39"/>
      <c r="B29" s="38"/>
      <c r="C29" s="38"/>
      <c r="D29" s="259"/>
      <c r="E29" s="260"/>
      <c r="F29" s="261"/>
      <c r="G29" s="260"/>
      <c r="H29" s="38"/>
      <c r="I29" s="7"/>
    </row>
    <row r="30" spans="1:10" ht="21" customHeight="1">
      <c r="A30" s="39"/>
      <c r="B30" s="38"/>
      <c r="C30" s="38"/>
      <c r="D30" s="259"/>
      <c r="E30" s="260"/>
      <c r="F30" s="261"/>
      <c r="G30" s="260"/>
      <c r="H30" s="38"/>
      <c r="I30" s="7"/>
    </row>
    <row r="31" spans="1:10" ht="21" customHeight="1">
      <c r="A31" s="39"/>
      <c r="B31" s="38"/>
      <c r="C31" s="38"/>
      <c r="D31" s="259"/>
      <c r="E31" s="260"/>
      <c r="F31" s="261"/>
      <c r="G31" s="260"/>
      <c r="H31" s="38"/>
      <c r="I31" s="7"/>
    </row>
    <row r="32" spans="1:10" ht="21" customHeight="1">
      <c r="A32" s="39"/>
      <c r="B32" s="38"/>
      <c r="C32" s="38"/>
      <c r="D32" s="259"/>
      <c r="E32" s="260"/>
      <c r="F32" s="261"/>
      <c r="G32" s="260"/>
      <c r="H32" s="38"/>
      <c r="I32" s="7"/>
    </row>
    <row r="33" spans="1:9" ht="21" customHeight="1">
      <c r="A33" s="39"/>
      <c r="B33" s="38"/>
      <c r="C33" s="38"/>
      <c r="D33" s="259"/>
      <c r="E33" s="260"/>
      <c r="F33" s="261"/>
      <c r="G33" s="260"/>
      <c r="H33" s="38"/>
      <c r="I33" s="7"/>
    </row>
    <row r="34" spans="1:9" ht="21" customHeight="1">
      <c r="A34" s="39"/>
      <c r="B34" s="38"/>
      <c r="C34" s="38"/>
      <c r="D34" s="259"/>
      <c r="E34" s="260"/>
      <c r="F34" s="261"/>
      <c r="G34" s="260"/>
      <c r="H34" s="38"/>
      <c r="I34" s="11"/>
    </row>
    <row r="35" spans="1:9" ht="21" customHeight="1">
      <c r="A35" s="39"/>
      <c r="B35" s="38"/>
      <c r="C35" s="38"/>
      <c r="D35" s="259"/>
      <c r="E35" s="260"/>
      <c r="F35" s="261"/>
      <c r="G35" s="260"/>
      <c r="H35" s="38"/>
      <c r="I35" s="7"/>
    </row>
    <row r="36" spans="1:9" ht="21" customHeight="1">
      <c r="A36" s="39"/>
      <c r="B36" s="38"/>
      <c r="C36" s="38"/>
      <c r="D36" s="259"/>
      <c r="E36" s="260"/>
      <c r="F36" s="261"/>
      <c r="G36" s="260"/>
      <c r="H36" s="38"/>
      <c r="I36" s="7"/>
    </row>
    <row r="37" spans="1:9" ht="21" customHeight="1">
      <c r="A37" s="39"/>
      <c r="B37" s="38"/>
      <c r="C37" s="38"/>
      <c r="D37" s="259"/>
      <c r="E37" s="260"/>
      <c r="F37" s="261"/>
      <c r="G37" s="260"/>
      <c r="H37" s="38"/>
      <c r="I37" s="7"/>
    </row>
    <row r="38" spans="1:9" ht="21" customHeight="1">
      <c r="A38" s="39"/>
      <c r="B38" s="38"/>
      <c r="C38" s="38"/>
      <c r="D38" s="259"/>
      <c r="E38" s="260"/>
      <c r="F38" s="261"/>
      <c r="G38" s="260"/>
      <c r="H38" s="38"/>
      <c r="I38" s="7"/>
    </row>
    <row r="39" spans="1:9" ht="21" customHeight="1">
      <c r="A39" s="39"/>
      <c r="B39" s="38"/>
      <c r="C39" s="38"/>
      <c r="D39" s="259"/>
      <c r="E39" s="260"/>
      <c r="F39" s="261"/>
      <c r="G39" s="260"/>
      <c r="H39" s="38"/>
      <c r="I39" s="7"/>
    </row>
    <row r="40" spans="1:9" ht="21" customHeight="1">
      <c r="A40" s="39"/>
      <c r="B40" s="38"/>
      <c r="C40" s="38"/>
      <c r="D40" s="259"/>
      <c r="E40" s="260"/>
      <c r="F40" s="261"/>
      <c r="G40" s="260"/>
      <c r="H40" s="38"/>
      <c r="I40" s="7"/>
    </row>
    <row r="41" spans="1:9" ht="21" customHeight="1">
      <c r="A41" s="39"/>
      <c r="B41" s="38"/>
      <c r="C41" s="38"/>
      <c r="D41" s="259"/>
      <c r="E41" s="260"/>
      <c r="F41" s="261"/>
      <c r="G41" s="260"/>
      <c r="H41" s="38"/>
      <c r="I41" s="16"/>
    </row>
    <row r="42" spans="1:9" ht="21" customHeight="1">
      <c r="A42" s="39"/>
      <c r="B42" s="38"/>
      <c r="C42" s="38"/>
      <c r="D42" s="259"/>
      <c r="E42" s="260"/>
      <c r="F42" s="261"/>
      <c r="G42" s="260"/>
      <c r="H42" s="38"/>
      <c r="I42" s="7"/>
    </row>
    <row r="43" spans="1:9" ht="21" customHeight="1">
      <c r="A43" s="39"/>
      <c r="B43" s="38"/>
      <c r="C43" s="38"/>
      <c r="D43" s="259"/>
      <c r="E43" s="260"/>
      <c r="F43" s="261"/>
      <c r="G43" s="260"/>
      <c r="H43" s="38"/>
      <c r="I43" s="7"/>
    </row>
    <row r="44" spans="1:9" ht="21" customHeight="1">
      <c r="A44" s="39"/>
      <c r="B44" s="38"/>
      <c r="C44" s="38"/>
      <c r="D44" s="259"/>
      <c r="E44" s="260"/>
      <c r="F44" s="261"/>
      <c r="G44" s="260"/>
      <c r="H44" s="38"/>
      <c r="I44" s="7"/>
    </row>
    <row r="45" spans="1:9" ht="21" customHeight="1">
      <c r="A45" s="39"/>
      <c r="B45" s="38"/>
      <c r="C45" s="38"/>
      <c r="D45" s="259"/>
      <c r="E45" s="260"/>
      <c r="F45" s="261"/>
      <c r="G45" s="260"/>
      <c r="H45" s="38"/>
      <c r="I45" s="7"/>
    </row>
    <row r="46" spans="1:9" ht="21" customHeight="1">
      <c r="A46" s="39"/>
      <c r="B46" s="38"/>
      <c r="C46" s="38"/>
      <c r="D46" s="259"/>
      <c r="E46" s="260"/>
      <c r="F46" s="261"/>
      <c r="G46" s="260"/>
      <c r="H46" s="38"/>
      <c r="I46" s="7"/>
    </row>
    <row r="47" spans="1:9" ht="21" customHeight="1">
      <c r="A47" s="39"/>
      <c r="B47" s="38"/>
      <c r="C47" s="38"/>
      <c r="D47" s="259"/>
      <c r="E47" s="260"/>
      <c r="F47" s="261"/>
      <c r="G47" s="260"/>
      <c r="H47" s="38"/>
      <c r="I47" s="7"/>
    </row>
    <row r="48" spans="1:9" ht="21" customHeight="1">
      <c r="A48" s="39"/>
      <c r="B48" s="38"/>
      <c r="C48" s="38"/>
      <c r="D48" s="259"/>
      <c r="E48" s="260"/>
      <c r="F48" s="261"/>
      <c r="G48" s="260"/>
      <c r="H48" s="38"/>
      <c r="I48" s="7"/>
    </row>
    <row r="49" spans="1:9" ht="21" customHeight="1">
      <c r="A49" s="39"/>
      <c r="B49" s="38"/>
      <c r="C49" s="38"/>
      <c r="D49" s="259"/>
      <c r="E49" s="260"/>
      <c r="F49" s="261"/>
      <c r="G49" s="260"/>
      <c r="H49" s="38"/>
      <c r="I49" s="7"/>
    </row>
    <row r="50" spans="1:9" ht="21" customHeight="1">
      <c r="A50" s="39"/>
      <c r="B50" s="38"/>
      <c r="C50" s="38"/>
      <c r="D50" s="259"/>
      <c r="E50" s="260"/>
      <c r="F50" s="261"/>
      <c r="G50" s="260"/>
      <c r="H50" s="7"/>
      <c r="I50" s="7"/>
    </row>
    <row r="51" spans="1:9" ht="21" customHeight="1">
      <c r="A51" s="39"/>
      <c r="B51" s="38"/>
      <c r="C51" s="38"/>
      <c r="D51" s="259"/>
      <c r="E51" s="260"/>
      <c r="F51" s="261"/>
      <c r="G51" s="260"/>
      <c r="H51" s="7"/>
      <c r="I51" s="7"/>
    </row>
    <row r="52" spans="1:9" ht="21" customHeight="1">
      <c r="A52" s="39"/>
      <c r="B52" s="38"/>
      <c r="C52" s="38"/>
      <c r="D52" s="259"/>
      <c r="E52" s="260"/>
      <c r="F52" s="261"/>
      <c r="G52" s="260"/>
      <c r="H52" s="7"/>
      <c r="I52" s="7"/>
    </row>
    <row r="53" spans="1:9" ht="21" customHeight="1">
      <c r="A53" s="39"/>
      <c r="B53" s="38"/>
      <c r="C53" s="38"/>
      <c r="D53" s="259"/>
      <c r="E53" s="260"/>
      <c r="F53" s="261"/>
      <c r="G53" s="260"/>
      <c r="H53" s="7"/>
      <c r="I53" s="7"/>
    </row>
    <row r="54" spans="1:9" ht="21" customHeight="1">
      <c r="A54" s="39"/>
      <c r="B54" s="38"/>
      <c r="C54" s="38"/>
      <c r="D54" s="259"/>
      <c r="E54" s="260"/>
      <c r="F54" s="261"/>
      <c r="G54" s="260"/>
      <c r="H54" s="7"/>
      <c r="I54" s="7"/>
    </row>
    <row r="55" spans="1:9" ht="21" customHeight="1">
      <c r="A55" s="39"/>
      <c r="B55" s="38"/>
      <c r="C55" s="38"/>
      <c r="D55" s="259"/>
      <c r="E55" s="260"/>
      <c r="F55" s="261"/>
      <c r="G55" s="260"/>
      <c r="H55" s="7"/>
      <c r="I55" s="7"/>
    </row>
    <row r="56" spans="1:9" ht="21" customHeight="1">
      <c r="A56" s="39"/>
      <c r="B56" s="38"/>
      <c r="C56" s="38"/>
      <c r="D56" s="259"/>
      <c r="E56" s="260"/>
      <c r="F56" s="261"/>
      <c r="G56" s="260"/>
      <c r="H56" s="7"/>
      <c r="I56" s="7"/>
    </row>
    <row r="57" spans="1:9" ht="21" customHeight="1">
      <c r="A57" s="39"/>
      <c r="B57" s="38"/>
      <c r="C57" s="38"/>
      <c r="D57" s="259"/>
      <c r="E57" s="260"/>
      <c r="F57" s="261"/>
      <c r="G57" s="260"/>
      <c r="H57" s="7"/>
      <c r="I57" s="7"/>
    </row>
    <row r="58" spans="1:9" ht="21" customHeight="1">
      <c r="A58" s="39"/>
      <c r="B58" s="38"/>
      <c r="C58" s="38"/>
      <c r="D58" s="259"/>
      <c r="E58" s="260"/>
      <c r="F58" s="261"/>
      <c r="G58" s="260"/>
      <c r="H58" s="7"/>
      <c r="I58" s="7"/>
    </row>
    <row r="59" spans="1:9" ht="21" customHeight="1">
      <c r="A59" s="39"/>
      <c r="B59" s="38"/>
      <c r="C59" s="38"/>
      <c r="D59" s="259"/>
      <c r="E59" s="260"/>
      <c r="F59" s="261"/>
      <c r="G59" s="260"/>
      <c r="H59" s="7"/>
      <c r="I59" s="7"/>
    </row>
    <row r="60" spans="1:9" ht="21" customHeight="1">
      <c r="A60" s="39"/>
      <c r="B60" s="38"/>
      <c r="C60" s="38"/>
      <c r="D60" s="259"/>
      <c r="E60" s="260"/>
      <c r="F60" s="261"/>
      <c r="G60" s="260"/>
      <c r="H60" s="7"/>
      <c r="I60" s="7"/>
    </row>
    <row r="61" spans="1:9" ht="21" customHeight="1">
      <c r="A61" s="39"/>
      <c r="B61" s="38"/>
      <c r="C61" s="38"/>
      <c r="D61" s="259"/>
      <c r="E61" s="260"/>
      <c r="F61" s="261"/>
      <c r="G61" s="260"/>
      <c r="H61" s="7"/>
      <c r="I61" s="7"/>
    </row>
    <row r="62" spans="1:9" ht="21" customHeight="1">
      <c r="A62" s="39"/>
      <c r="B62" s="38"/>
      <c r="C62" s="38"/>
      <c r="D62" s="259"/>
      <c r="E62" s="260"/>
      <c r="F62" s="261"/>
      <c r="G62" s="260"/>
      <c r="H62" s="7"/>
      <c r="I62" s="7"/>
    </row>
    <row r="63" spans="1:9" ht="21" customHeight="1">
      <c r="A63" s="39"/>
      <c r="B63" s="38"/>
      <c r="C63" s="38"/>
      <c r="D63" s="259"/>
      <c r="E63" s="260"/>
      <c r="F63" s="261"/>
      <c r="G63" s="260"/>
      <c r="H63" s="7"/>
      <c r="I63" s="7"/>
    </row>
    <row r="64" spans="1:9" ht="21" customHeight="1">
      <c r="A64" s="39"/>
      <c r="B64" s="38"/>
      <c r="C64" s="38"/>
      <c r="D64" s="259"/>
      <c r="E64" s="260"/>
      <c r="F64" s="261"/>
      <c r="G64" s="260"/>
      <c r="H64" s="7"/>
      <c r="I64" s="7"/>
    </row>
    <row r="65" spans="1:9" ht="21" customHeight="1">
      <c r="A65" s="39"/>
      <c r="B65" s="38"/>
      <c r="C65" s="38"/>
      <c r="D65" s="259"/>
      <c r="E65" s="260"/>
      <c r="F65" s="261"/>
      <c r="G65" s="260"/>
      <c r="H65" s="7"/>
      <c r="I65" s="7"/>
    </row>
    <row r="66" spans="1:9" ht="21" customHeight="1">
      <c r="A66" s="39"/>
      <c r="B66" s="38"/>
      <c r="C66" s="38"/>
      <c r="D66" s="259"/>
      <c r="E66" s="260"/>
      <c r="F66" s="261"/>
      <c r="G66" s="260"/>
      <c r="H66" s="7"/>
      <c r="I66" s="7"/>
    </row>
    <row r="67" spans="1:9" ht="21" customHeight="1">
      <c r="A67" s="39"/>
      <c r="B67" s="38"/>
      <c r="C67" s="38"/>
      <c r="D67" s="259"/>
      <c r="E67" s="260"/>
      <c r="F67" s="261"/>
      <c r="G67" s="260"/>
      <c r="H67" s="7"/>
      <c r="I67" s="7"/>
    </row>
    <row r="68" spans="1:9" ht="21" customHeight="1">
      <c r="A68" s="39"/>
      <c r="B68" s="38"/>
      <c r="C68" s="38"/>
      <c r="D68" s="259"/>
      <c r="E68" s="260"/>
      <c r="F68" s="261"/>
      <c r="G68" s="260"/>
      <c r="H68" s="7"/>
      <c r="I68" s="7"/>
    </row>
    <row r="69" spans="1:9" ht="21" customHeight="1">
      <c r="A69" s="39"/>
      <c r="B69" s="38"/>
      <c r="C69" s="38"/>
      <c r="D69" s="259"/>
      <c r="E69" s="260"/>
      <c r="F69" s="261"/>
      <c r="G69" s="260"/>
      <c r="H69" s="7"/>
      <c r="I69" s="11"/>
    </row>
    <row r="70" spans="1:9" ht="21" customHeight="1">
      <c r="A70" s="39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39"/>
      <c r="B71" s="6"/>
      <c r="C71" s="9"/>
      <c r="D71" s="259"/>
      <c r="E71" s="260"/>
      <c r="F71" s="261"/>
      <c r="G71" s="260"/>
      <c r="H71" s="7"/>
      <c r="I71" s="7"/>
    </row>
    <row r="72" spans="1:9" ht="21" customHeight="1">
      <c r="A72" s="39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39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39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39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39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39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39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39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39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39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9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</sheetData>
  <mergeCells count="178">
    <mergeCell ref="D87:E87"/>
    <mergeCell ref="F38:G38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H4:I4"/>
    <mergeCell ref="D40:E40"/>
    <mergeCell ref="D80:E80"/>
    <mergeCell ref="F40:G40"/>
    <mergeCell ref="D21:E21"/>
    <mergeCell ref="F59:G59"/>
    <mergeCell ref="F55:G55"/>
    <mergeCell ref="F12:G12"/>
    <mergeCell ref="F24:G24"/>
    <mergeCell ref="D57:E57"/>
    <mergeCell ref="E4:G4"/>
    <mergeCell ref="D54:E54"/>
    <mergeCell ref="F14:G14"/>
    <mergeCell ref="D69:E69"/>
    <mergeCell ref="F69:G69"/>
    <mergeCell ref="F11:G11"/>
    <mergeCell ref="F78:G78"/>
    <mergeCell ref="F65:G65"/>
    <mergeCell ref="D46:E46"/>
    <mergeCell ref="A5:B5"/>
    <mergeCell ref="D28:E28"/>
    <mergeCell ref="F22:G22"/>
    <mergeCell ref="D12:E12"/>
    <mergeCell ref="D83:E83"/>
    <mergeCell ref="D25:E25"/>
    <mergeCell ref="F77:G77"/>
    <mergeCell ref="D55:E55"/>
    <mergeCell ref="D30:E30"/>
    <mergeCell ref="D67:E67"/>
    <mergeCell ref="F49:G49"/>
    <mergeCell ref="D14:E14"/>
    <mergeCell ref="H3:I3"/>
    <mergeCell ref="F39:G39"/>
    <mergeCell ref="F48:G48"/>
    <mergeCell ref="D15:E15"/>
    <mergeCell ref="D29:E29"/>
    <mergeCell ref="D23:E23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D88:E88"/>
    <mergeCell ref="D26:E26"/>
    <mergeCell ref="F57:G57"/>
    <mergeCell ref="F88:G88"/>
    <mergeCell ref="D35:E35"/>
    <mergeCell ref="D10:E10"/>
    <mergeCell ref="F10:G10"/>
    <mergeCell ref="D19:E19"/>
    <mergeCell ref="D34:E34"/>
    <mergeCell ref="F54:G54"/>
    <mergeCell ref="F63:G63"/>
    <mergeCell ref="F34:G34"/>
    <mergeCell ref="F19:G19"/>
    <mergeCell ref="F74:G74"/>
    <mergeCell ref="F83:G83"/>
    <mergeCell ref="F30:G30"/>
    <mergeCell ref="D11:E11"/>
    <mergeCell ref="D76:E76"/>
    <mergeCell ref="F20:G20"/>
    <mergeCell ref="F76:G76"/>
    <mergeCell ref="F18:G18"/>
    <mergeCell ref="F33:G33"/>
    <mergeCell ref="F45:G45"/>
    <mergeCell ref="F85:G85"/>
    <mergeCell ref="B4:D4"/>
    <mergeCell ref="F23:G23"/>
    <mergeCell ref="F81:G81"/>
    <mergeCell ref="D62:E62"/>
    <mergeCell ref="D56:E56"/>
    <mergeCell ref="D71:E71"/>
    <mergeCell ref="F13:G13"/>
    <mergeCell ref="F56:G56"/>
    <mergeCell ref="F71:G71"/>
    <mergeCell ref="F43:G43"/>
    <mergeCell ref="D24:E24"/>
    <mergeCell ref="D64:E64"/>
    <mergeCell ref="D33:E33"/>
    <mergeCell ref="D73:E73"/>
    <mergeCell ref="D51:E51"/>
    <mergeCell ref="F6:G6"/>
    <mergeCell ref="F42:G42"/>
    <mergeCell ref="D66:E66"/>
    <mergeCell ref="F66:G66"/>
    <mergeCell ref="F17:G17"/>
    <mergeCell ref="D75:E75"/>
    <mergeCell ref="D53:E53"/>
    <mergeCell ref="F75:G75"/>
    <mergeCell ref="D47:E47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47:G47"/>
    <mergeCell ref="F62:G62"/>
    <mergeCell ref="D37:E37"/>
    <mergeCell ref="F31:G31"/>
    <mergeCell ref="F46:G46"/>
    <mergeCell ref="F28:G28"/>
    <mergeCell ref="D39:E39"/>
    <mergeCell ref="F61:G61"/>
    <mergeCell ref="F50:G50"/>
    <mergeCell ref="D17:E17"/>
    <mergeCell ref="D85:E85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D9:E9"/>
    <mergeCell ref="F9:G9"/>
    <mergeCell ref="F8:G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4"/>
  <dimension ref="A1:O82"/>
  <sheetViews>
    <sheetView zoomScaleNormal="100"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1193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927</v>
      </c>
      <c r="C3" s="263"/>
      <c r="D3" s="260"/>
      <c r="E3" s="266" t="s">
        <v>11</v>
      </c>
      <c r="F3" s="263"/>
      <c r="G3" s="260"/>
      <c r="H3" s="268" t="s">
        <v>928</v>
      </c>
      <c r="I3" s="269"/>
      <c r="J3" s="19" t="str">
        <f>B3</f>
        <v>Ritalin 10mg</v>
      </c>
      <c r="K3" s="34" t="s">
        <v>1194</v>
      </c>
      <c r="L3" s="5">
        <f>H7</f>
        <v>0</v>
      </c>
      <c r="M3" s="3">
        <f>SUM(C$8:C$1048576)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68" t="s">
        <v>1195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206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0</v>
      </c>
      <c r="D7" s="280"/>
      <c r="E7" s="260"/>
      <c r="F7" s="280"/>
      <c r="G7" s="260"/>
      <c r="H7" s="155">
        <v>0</v>
      </c>
      <c r="I7" s="210" t="s">
        <v>571</v>
      </c>
      <c r="J7" s="243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142" t="s">
        <v>1196</v>
      </c>
      <c r="J8" s="1"/>
    </row>
    <row r="9" spans="1:15" ht="21" customHeight="1" thickBot="1">
      <c r="A9" s="39"/>
      <c r="B9" s="38"/>
      <c r="C9" s="38"/>
      <c r="D9" s="279"/>
      <c r="E9" s="260"/>
      <c r="F9" s="279"/>
      <c r="G9" s="260"/>
      <c r="H9" s="38"/>
      <c r="I9" s="245" t="s">
        <v>1197</v>
      </c>
      <c r="J9" s="1"/>
    </row>
    <row r="10" spans="1:15" ht="21" customHeight="1">
      <c r="A10" s="39"/>
      <c r="B10" s="38"/>
      <c r="C10" s="22"/>
      <c r="D10" s="279"/>
      <c r="E10" s="260"/>
      <c r="F10" s="279"/>
      <c r="G10" s="260"/>
      <c r="H10" s="38"/>
      <c r="I10" s="244"/>
      <c r="J10" s="1"/>
    </row>
    <row r="11" spans="1:15" ht="21" customHeight="1">
      <c r="A11" s="39"/>
      <c r="B11" s="38"/>
      <c r="C11" s="7"/>
      <c r="D11" s="279"/>
      <c r="E11" s="260"/>
      <c r="F11" s="279"/>
      <c r="G11" s="260"/>
      <c r="H11" s="38"/>
      <c r="I11" s="7"/>
    </row>
    <row r="12" spans="1:15" ht="21" customHeight="1" thickBot="1">
      <c r="A12" s="39"/>
      <c r="B12" s="38"/>
      <c r="C12" s="38"/>
      <c r="D12" s="279"/>
      <c r="E12" s="260"/>
      <c r="F12" s="279"/>
      <c r="G12" s="260"/>
      <c r="H12" s="38"/>
      <c r="I12" s="134"/>
    </row>
    <row r="13" spans="1:15" ht="21.75" customHeight="1" thickBot="1">
      <c r="A13" s="39"/>
      <c r="B13" s="38"/>
      <c r="C13" s="7"/>
      <c r="D13" s="279"/>
      <c r="E13" s="260"/>
      <c r="F13" s="279"/>
      <c r="G13" s="260"/>
      <c r="H13" s="38"/>
      <c r="I13" s="134"/>
    </row>
    <row r="14" spans="1:15" ht="21" customHeight="1" thickBot="1">
      <c r="A14" s="39"/>
      <c r="B14" s="38"/>
      <c r="C14" s="38"/>
      <c r="D14" s="279"/>
      <c r="E14" s="260"/>
      <c r="F14" s="279"/>
      <c r="G14" s="260"/>
      <c r="H14" s="38"/>
      <c r="I14" s="134"/>
    </row>
    <row r="15" spans="1:15" ht="21" customHeight="1" thickBot="1">
      <c r="A15" s="39"/>
      <c r="B15" s="38"/>
      <c r="C15" s="3"/>
      <c r="D15" s="279"/>
      <c r="E15" s="260"/>
      <c r="F15" s="279"/>
      <c r="G15" s="260"/>
      <c r="H15" s="38"/>
      <c r="I15" s="134"/>
    </row>
    <row r="16" spans="1:15" ht="21" customHeight="1">
      <c r="A16" s="39"/>
      <c r="B16" s="38"/>
      <c r="C16" s="3"/>
      <c r="D16" s="279"/>
      <c r="E16" s="260"/>
      <c r="F16" s="279"/>
      <c r="G16" s="260"/>
      <c r="H16" s="38"/>
      <c r="I16" s="7"/>
    </row>
    <row r="17" spans="1:9" ht="21" customHeight="1">
      <c r="A17" s="39"/>
      <c r="B17" s="38"/>
      <c r="C17" s="3"/>
      <c r="D17" s="279"/>
      <c r="E17" s="260"/>
      <c r="F17" s="279"/>
      <c r="G17" s="260"/>
      <c r="H17" s="38"/>
      <c r="I17" s="7"/>
    </row>
    <row r="18" spans="1:9" ht="21" customHeight="1">
      <c r="A18" s="39"/>
      <c r="B18" s="38"/>
      <c r="C18" s="3"/>
      <c r="D18" s="259"/>
      <c r="E18" s="260"/>
      <c r="F18" s="279"/>
      <c r="G18" s="260"/>
      <c r="H18" s="38"/>
      <c r="I18" s="7"/>
    </row>
    <row r="19" spans="1:9" ht="21" customHeight="1">
      <c r="A19" s="39"/>
      <c r="B19" s="38"/>
      <c r="C19" s="3"/>
      <c r="D19" s="259"/>
      <c r="E19" s="260"/>
      <c r="F19" s="279"/>
      <c r="G19" s="260"/>
      <c r="H19" s="38"/>
      <c r="I19" s="7"/>
    </row>
    <row r="20" spans="1:9" ht="21" customHeight="1">
      <c r="A20" s="39"/>
      <c r="B20" s="38"/>
      <c r="C20" s="3"/>
      <c r="D20" s="259"/>
      <c r="E20" s="260"/>
      <c r="F20" s="279"/>
      <c r="G20" s="260"/>
      <c r="H20" s="38"/>
      <c r="I20" s="7"/>
    </row>
    <row r="21" spans="1:9" ht="21" customHeight="1">
      <c r="A21" s="39"/>
      <c r="B21" s="38"/>
      <c r="C21" s="3"/>
      <c r="D21" s="259"/>
      <c r="E21" s="260"/>
      <c r="F21" s="279"/>
      <c r="G21" s="260"/>
      <c r="H21" s="38"/>
      <c r="I21" s="7"/>
    </row>
    <row r="22" spans="1:9" ht="21" customHeight="1">
      <c r="A22" s="39"/>
      <c r="B22" s="6"/>
      <c r="C22" s="3"/>
      <c r="D22" s="259"/>
      <c r="E22" s="260"/>
      <c r="F22" s="261"/>
      <c r="G22" s="260"/>
      <c r="H22" s="38"/>
      <c r="I22" s="7"/>
    </row>
    <row r="23" spans="1:9" ht="21" customHeight="1">
      <c r="A23" s="39"/>
      <c r="B23" s="6"/>
      <c r="C23" s="3"/>
      <c r="D23" s="259"/>
      <c r="E23" s="260"/>
      <c r="F23" s="261"/>
      <c r="G23" s="260"/>
      <c r="H23" s="38"/>
      <c r="I23" s="7"/>
    </row>
    <row r="24" spans="1:9" ht="21" customHeight="1">
      <c r="A24" s="39"/>
      <c r="B24" s="6"/>
      <c r="C24" s="3"/>
      <c r="D24" s="259"/>
      <c r="E24" s="260"/>
      <c r="F24" s="261"/>
      <c r="G24" s="260"/>
      <c r="H24" s="38"/>
      <c r="I24" s="7"/>
    </row>
    <row r="25" spans="1:9" ht="21" customHeight="1">
      <c r="A25" s="13"/>
      <c r="B25" s="6"/>
      <c r="C25" s="3"/>
      <c r="D25" s="259"/>
      <c r="E25" s="260"/>
      <c r="F25" s="261"/>
      <c r="G25" s="260"/>
      <c r="H25" s="7"/>
      <c r="I25" s="7"/>
    </row>
    <row r="26" spans="1:9" ht="21" customHeight="1">
      <c r="A26" s="13"/>
      <c r="B26" s="6"/>
      <c r="C26" s="10"/>
      <c r="D26" s="259"/>
      <c r="E26" s="260"/>
      <c r="F26" s="261"/>
      <c r="G26" s="260"/>
      <c r="H26" s="7"/>
      <c r="I26" s="7"/>
    </row>
    <row r="27" spans="1:9" ht="21" customHeight="1">
      <c r="A27" s="13"/>
      <c r="B27" s="8"/>
      <c r="C27" s="10"/>
      <c r="D27" s="259"/>
      <c r="E27" s="260"/>
      <c r="F27" s="261"/>
      <c r="G27" s="260"/>
      <c r="H27" s="7"/>
      <c r="I27" s="11"/>
    </row>
    <row r="28" spans="1:9" ht="21" customHeight="1">
      <c r="A28" s="13"/>
      <c r="B28" s="6"/>
      <c r="C28" s="9"/>
      <c r="D28" s="259"/>
      <c r="E28" s="260"/>
      <c r="F28" s="261"/>
      <c r="G28" s="260"/>
      <c r="H28" s="7"/>
      <c r="I28" s="7"/>
    </row>
    <row r="29" spans="1:9" ht="21" customHeight="1">
      <c r="A29" s="14"/>
      <c r="B29" s="6"/>
      <c r="C29" s="3"/>
      <c r="D29" s="259"/>
      <c r="E29" s="260"/>
      <c r="F29" s="261"/>
      <c r="G29" s="260"/>
      <c r="H29" s="7"/>
      <c r="I29" s="7"/>
    </row>
    <row r="30" spans="1:9" ht="21" customHeight="1">
      <c r="A30" s="14"/>
      <c r="B30" s="6"/>
      <c r="C30" s="3"/>
      <c r="D30" s="259"/>
      <c r="E30" s="260"/>
      <c r="F30" s="261"/>
      <c r="G30" s="260"/>
      <c r="H30" s="7"/>
      <c r="I30" s="7"/>
    </row>
    <row r="31" spans="1:9" ht="21" customHeight="1">
      <c r="A31" s="15"/>
      <c r="B31" s="6"/>
      <c r="C31" s="3"/>
      <c r="D31" s="259"/>
      <c r="E31" s="260"/>
      <c r="F31" s="261"/>
      <c r="G31" s="260"/>
      <c r="H31" s="7"/>
      <c r="I31" s="7"/>
    </row>
    <row r="32" spans="1:9" ht="21" customHeight="1">
      <c r="A32" s="14"/>
      <c r="B32" s="6"/>
      <c r="C32" s="3"/>
      <c r="D32" s="259"/>
      <c r="E32" s="260"/>
      <c r="F32" s="261"/>
      <c r="G32" s="260"/>
      <c r="H32" s="7"/>
      <c r="I32" s="7"/>
    </row>
    <row r="33" spans="1:9" ht="21" customHeight="1">
      <c r="A33" s="14"/>
      <c r="B33" s="6"/>
      <c r="C33" s="3"/>
      <c r="D33" s="259"/>
      <c r="E33" s="260"/>
      <c r="F33" s="261"/>
      <c r="G33" s="260"/>
      <c r="H33" s="7"/>
      <c r="I33" s="7"/>
    </row>
    <row r="34" spans="1:9" ht="21" customHeight="1">
      <c r="A34" s="14"/>
      <c r="B34" s="6"/>
      <c r="C34" s="3"/>
      <c r="D34" s="259"/>
      <c r="E34" s="260"/>
      <c r="F34" s="261"/>
      <c r="G34" s="260"/>
      <c r="H34" s="7"/>
      <c r="I34" s="16"/>
    </row>
    <row r="35" spans="1:9" ht="21" customHeight="1">
      <c r="A35" s="15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5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5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4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4"/>
      <c r="B39" s="6"/>
      <c r="C39" s="9"/>
      <c r="D39" s="259"/>
      <c r="E39" s="260"/>
      <c r="F39" s="261"/>
      <c r="G39" s="260"/>
      <c r="H39" s="7"/>
      <c r="I39" s="7"/>
    </row>
    <row r="40" spans="1:9" ht="21" customHeight="1">
      <c r="A40" s="14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5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5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4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5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5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4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5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5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5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8"/>
      <c r="C60" s="9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8"/>
      <c r="C62" s="9"/>
      <c r="D62" s="259"/>
      <c r="E62" s="260"/>
      <c r="F62" s="261"/>
      <c r="G62" s="260"/>
      <c r="H62" s="7"/>
      <c r="I62" s="11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9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9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</sheetData>
  <mergeCells count="164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F12:G12"/>
    <mergeCell ref="F24:G24"/>
    <mergeCell ref="D57:E57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D58:E58"/>
    <mergeCell ref="D79:E79"/>
    <mergeCell ref="F64:G64"/>
    <mergeCell ref="F73:G73"/>
    <mergeCell ref="D63:E63"/>
    <mergeCell ref="D81:E81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D28:E28"/>
    <mergeCell ref="F22:G22"/>
    <mergeCell ref="D12:E12"/>
    <mergeCell ref="D25:E25"/>
    <mergeCell ref="F77:G77"/>
    <mergeCell ref="D55:E55"/>
    <mergeCell ref="D30:E30"/>
    <mergeCell ref="D67:E67"/>
    <mergeCell ref="F49:G49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44:G44"/>
    <mergeCell ref="A5:B5"/>
    <mergeCell ref="D14:E14"/>
    <mergeCell ref="E4:G4"/>
    <mergeCell ref="F14:G14"/>
    <mergeCell ref="D54:E54"/>
    <mergeCell ref="F11:G11"/>
    <mergeCell ref="B2:I2"/>
    <mergeCell ref="E3:G3"/>
    <mergeCell ref="D18:E18"/>
    <mergeCell ref="F27:G27"/>
    <mergeCell ref="F58:G58"/>
    <mergeCell ref="F52:G52"/>
    <mergeCell ref="D8:E8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69:E69"/>
    <mergeCell ref="F69:G69"/>
    <mergeCell ref="F67:G67"/>
    <mergeCell ref="F37:G37"/>
    <mergeCell ref="F81:G81"/>
    <mergeCell ref="B4:D4"/>
    <mergeCell ref="F23:G23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D26:E26"/>
    <mergeCell ref="F57:G57"/>
    <mergeCell ref="D35:E35"/>
    <mergeCell ref="D10:E10"/>
    <mergeCell ref="F54:G54"/>
    <mergeCell ref="F10:G10"/>
    <mergeCell ref="D19:E19"/>
    <mergeCell ref="D34:E34"/>
    <mergeCell ref="F63:G63"/>
    <mergeCell ref="D77:E77"/>
    <mergeCell ref="F15:G15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F34:G34"/>
    <mergeCell ref="F19:G19"/>
    <mergeCell ref="F74:G74"/>
    <mergeCell ref="F30:G30"/>
    <mergeCell ref="D76:E76"/>
    <mergeCell ref="F20:G20"/>
    <mergeCell ref="F76:G76"/>
    <mergeCell ref="F18:G18"/>
    <mergeCell ref="F33:G33"/>
    <mergeCell ref="F45:G45"/>
    <mergeCell ref="F42:G42"/>
    <mergeCell ref="D66:E66"/>
    <mergeCell ref="D20:E20"/>
    <mergeCell ref="D60:E60"/>
    <mergeCell ref="F29:G29"/>
    <mergeCell ref="F16:G16"/>
    <mergeCell ref="F68:G68"/>
    <mergeCell ref="F25:G25"/>
    <mergeCell ref="C5:G5"/>
    <mergeCell ref="D22:E22"/>
    <mergeCell ref="D36:E36"/>
    <mergeCell ref="D31:E31"/>
    <mergeCell ref="D45:E45"/>
    <mergeCell ref="D6:E6"/>
    <mergeCell ref="D7:E7"/>
    <mergeCell ref="F6:G6"/>
    <mergeCell ref="D11:E11"/>
    <mergeCell ref="F66:G66"/>
    <mergeCell ref="D9:E9"/>
    <mergeCell ref="F9:G9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5"/>
  <dimension ref="A1:O104"/>
  <sheetViews>
    <sheetView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1198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1199</v>
      </c>
      <c r="C3" s="263"/>
      <c r="D3" s="260"/>
      <c r="E3" s="266" t="s">
        <v>11</v>
      </c>
      <c r="F3" s="263"/>
      <c r="G3" s="260"/>
      <c r="H3" s="268" t="s">
        <v>1200</v>
      </c>
      <c r="I3" s="269"/>
      <c r="J3" s="19" t="str">
        <f>B3</f>
        <v>Frisium 10mg</v>
      </c>
      <c r="K3" s="34" t="s">
        <v>1201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714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148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6"/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1202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79" t="s">
        <v>1203</v>
      </c>
      <c r="C3" s="263"/>
      <c r="D3" s="260"/>
      <c r="E3" s="266" t="s">
        <v>11</v>
      </c>
      <c r="F3" s="263"/>
      <c r="G3" s="260"/>
      <c r="H3" s="268" t="s">
        <v>1204</v>
      </c>
      <c r="I3" s="269"/>
      <c r="J3" s="19" t="str">
        <f>B3</f>
        <v>Tramadol Sandoz Uno 200mg</v>
      </c>
      <c r="K3" s="34" t="s">
        <v>1205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930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255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7"/>
  <dimension ref="A1:O102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1206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1207</v>
      </c>
      <c r="C3" s="263"/>
      <c r="D3" s="260"/>
      <c r="E3" s="266" t="s">
        <v>11</v>
      </c>
      <c r="F3" s="263"/>
      <c r="G3" s="260"/>
      <c r="H3" s="268" t="s">
        <v>989</v>
      </c>
      <c r="I3" s="269"/>
      <c r="J3" s="19" t="str">
        <f>B3</f>
        <v>Syndoman 30mg</v>
      </c>
      <c r="K3" s="34" t="s">
        <v>1208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1190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243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s="88" customFormat="1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35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35"/>
      <c r="J10" s="12"/>
      <c r="K10" s="3"/>
      <c r="L10" s="3"/>
      <c r="M10" s="3"/>
      <c r="N10" s="3"/>
      <c r="O10" s="3"/>
    </row>
    <row r="11" spans="1:15" ht="26.7" customHeight="1">
      <c r="A11" s="39"/>
      <c r="B11" s="53"/>
      <c r="C11" s="38"/>
      <c r="D11" s="279"/>
      <c r="E11" s="260"/>
      <c r="F11" s="279"/>
      <c r="G11" s="260"/>
      <c r="H11" s="38"/>
      <c r="I11" s="35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6"/>
      <c r="C13" s="7"/>
      <c r="D13" s="259"/>
      <c r="E13" s="260"/>
      <c r="F13" s="261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38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38"/>
      <c r="I15" s="26"/>
      <c r="J15" s="12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8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6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 thickBot="1">
      <c r="A29" s="29"/>
      <c r="B29" s="30"/>
      <c r="C29" s="31"/>
      <c r="D29" s="264"/>
      <c r="E29" s="265"/>
      <c r="F29" s="267"/>
      <c r="G29" s="265"/>
      <c r="H29" s="31"/>
      <c r="I29" s="32"/>
      <c r="J29" s="12"/>
    </row>
    <row r="30" spans="1:10" ht="21" customHeight="1">
      <c r="A30" s="20"/>
      <c r="B30" s="21"/>
      <c r="C30" s="22"/>
      <c r="D30" s="276"/>
      <c r="E30" s="277"/>
      <c r="F30" s="278"/>
      <c r="G30" s="277"/>
      <c r="H30" s="22"/>
      <c r="I30" s="22"/>
      <c r="J30" s="3"/>
    </row>
    <row r="31" spans="1:10" ht="21" customHeight="1">
      <c r="A31" s="13"/>
      <c r="B31" s="6"/>
      <c r="C31" s="7"/>
      <c r="D31" s="259"/>
      <c r="E31" s="260"/>
      <c r="F31" s="261"/>
      <c r="G31" s="260"/>
      <c r="H31" s="7"/>
      <c r="I31" s="7"/>
    </row>
    <row r="32" spans="1:10" ht="21" customHeight="1">
      <c r="A32" s="13"/>
      <c r="B32" s="6"/>
      <c r="C32" s="7"/>
      <c r="D32" s="259"/>
      <c r="E32" s="260"/>
      <c r="F32" s="261"/>
      <c r="G32" s="260"/>
      <c r="H32" s="7"/>
      <c r="I32" s="16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7"/>
      <c r="I35" s="16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10"/>
      <c r="D46" s="259"/>
      <c r="E46" s="260"/>
      <c r="F46" s="261"/>
      <c r="G46" s="260"/>
      <c r="H46" s="7"/>
      <c r="I46" s="7"/>
    </row>
    <row r="47" spans="1:9" ht="21" customHeight="1">
      <c r="A47" s="13"/>
      <c r="B47" s="8"/>
      <c r="C47" s="10"/>
      <c r="D47" s="259"/>
      <c r="E47" s="260"/>
      <c r="F47" s="261"/>
      <c r="G47" s="260"/>
      <c r="H47" s="7"/>
      <c r="I47" s="11"/>
    </row>
    <row r="48" spans="1:9" ht="21" customHeight="1">
      <c r="A48" s="13"/>
      <c r="B48" s="6"/>
      <c r="C48" s="9"/>
      <c r="D48" s="259"/>
      <c r="E48" s="260"/>
      <c r="F48" s="261"/>
      <c r="G48" s="260"/>
      <c r="H48" s="7"/>
      <c r="I48" s="7"/>
    </row>
    <row r="49" spans="1:9" ht="21" customHeight="1">
      <c r="A49" s="14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5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16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5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9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8"/>
      <c r="C80" s="9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8"/>
      <c r="C82" s="9"/>
      <c r="D82" s="259"/>
      <c r="E82" s="260"/>
      <c r="F82" s="261"/>
      <c r="G82" s="260"/>
      <c r="H82" s="7"/>
      <c r="I82" s="11"/>
    </row>
    <row r="83" spans="1:9" ht="21" customHeight="1">
      <c r="A83" s="15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9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9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</sheetData>
  <mergeCells count="204"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D58:E58"/>
    <mergeCell ref="D18:E18"/>
    <mergeCell ref="F27:G27"/>
    <mergeCell ref="F58:G58"/>
    <mergeCell ref="F52:G52"/>
    <mergeCell ref="F67:G67"/>
    <mergeCell ref="F37:G37"/>
    <mergeCell ref="D74:E74"/>
    <mergeCell ref="D102:E102"/>
    <mergeCell ref="F102:G102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94:E94"/>
    <mergeCell ref="D69:E69"/>
    <mergeCell ref="F69:G69"/>
    <mergeCell ref="F78:G78"/>
    <mergeCell ref="F65:G65"/>
    <mergeCell ref="D46:E46"/>
    <mergeCell ref="D40:E40"/>
    <mergeCell ref="D80:E80"/>
    <mergeCell ref="F101:G101"/>
    <mergeCell ref="D17:E17"/>
    <mergeCell ref="F8:G8"/>
    <mergeCell ref="D91:E91"/>
    <mergeCell ref="F91:G91"/>
    <mergeCell ref="F100:G100"/>
    <mergeCell ref="A5:B5"/>
    <mergeCell ref="D28:E28"/>
    <mergeCell ref="D93:E93"/>
    <mergeCell ref="F22:G22"/>
    <mergeCell ref="F93:G93"/>
    <mergeCell ref="F11:G11"/>
    <mergeCell ref="F40:G40"/>
    <mergeCell ref="D21:E21"/>
    <mergeCell ref="F59:G59"/>
    <mergeCell ref="F55:G55"/>
    <mergeCell ref="D95:E95"/>
    <mergeCell ref="F12:G12"/>
    <mergeCell ref="F24:G24"/>
    <mergeCell ref="F95:G95"/>
    <mergeCell ref="D57:E57"/>
    <mergeCell ref="F51:G51"/>
    <mergeCell ref="D32:E32"/>
    <mergeCell ref="F32:G32"/>
    <mergeCell ref="D89:E89"/>
    <mergeCell ref="D79:E79"/>
    <mergeCell ref="F64:G64"/>
    <mergeCell ref="F73:G73"/>
    <mergeCell ref="F87:G87"/>
    <mergeCell ref="D63:E63"/>
    <mergeCell ref="D81:E81"/>
    <mergeCell ref="F89:G89"/>
    <mergeCell ref="D96:E96"/>
    <mergeCell ref="D65:E65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E4:G4"/>
    <mergeCell ref="H4:I4"/>
    <mergeCell ref="B2:I2"/>
    <mergeCell ref="D41:E41"/>
    <mergeCell ref="E3:G3"/>
    <mergeCell ref="D8:E8"/>
    <mergeCell ref="D99:E99"/>
    <mergeCell ref="F19:G19"/>
    <mergeCell ref="F99:G99"/>
    <mergeCell ref="F6:G6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D47:E47"/>
    <mergeCell ref="F47:G47"/>
    <mergeCell ref="F62:G62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D37:E37"/>
    <mergeCell ref="F31:G31"/>
    <mergeCell ref="F46:G46"/>
    <mergeCell ref="F28:G28"/>
    <mergeCell ref="D9:E9"/>
    <mergeCell ref="F9:G9"/>
    <mergeCell ref="D20:E20"/>
    <mergeCell ref="D60:E60"/>
    <mergeCell ref="D100:E10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  <mergeCell ref="D48:E4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8">
    <tabColor theme="2" tint="-0.499984740745262"/>
  </sheetPr>
  <dimension ref="A1:O103"/>
  <sheetViews>
    <sheetView workbookViewId="0">
      <selection activeCell="N3" sqref="N3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1209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324" t="s">
        <v>1210</v>
      </c>
      <c r="C3" s="263"/>
      <c r="D3" s="260"/>
      <c r="E3" s="266" t="s">
        <v>11</v>
      </c>
      <c r="F3" s="263"/>
      <c r="G3" s="260"/>
      <c r="H3" s="268" t="s">
        <v>939</v>
      </c>
      <c r="I3" s="269"/>
      <c r="J3" s="19" t="str">
        <f>B3</f>
        <v>Lorazin 1mg</v>
      </c>
      <c r="K3" s="34"/>
      <c r="L3" s="5">
        <f>H7</f>
        <v>4</v>
      </c>
      <c r="M3" s="3">
        <f>SUM(C$8:C$1048576)</f>
        <v>0</v>
      </c>
      <c r="N3" s="3">
        <f>SUM(F:F)</f>
        <v>0</v>
      </c>
      <c r="O3" s="3">
        <f>L3+M3-N3</f>
        <v>4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316" t="s">
        <v>612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173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s="182" customFormat="1" ht="25.5" customHeight="1">
      <c r="A7" s="196" t="s">
        <v>29</v>
      </c>
      <c r="B7" s="155" t="s">
        <v>5</v>
      </c>
      <c r="C7" s="155">
        <v>4</v>
      </c>
      <c r="D7" s="280"/>
      <c r="E7" s="260"/>
      <c r="F7" s="280"/>
      <c r="G7" s="260"/>
      <c r="H7" s="155">
        <v>4</v>
      </c>
      <c r="I7" s="210" t="s">
        <v>571</v>
      </c>
      <c r="J7" s="180"/>
      <c r="K7" s="181"/>
      <c r="L7" s="181"/>
      <c r="M7" s="181"/>
      <c r="N7" s="181"/>
      <c r="O7" s="181"/>
    </row>
    <row r="8" spans="1:15" ht="26.7" customHeight="1">
      <c r="A8" s="39"/>
      <c r="B8" s="38"/>
      <c r="C8" s="7"/>
      <c r="D8" s="259"/>
      <c r="E8" s="260"/>
      <c r="F8" s="261"/>
      <c r="G8" s="260"/>
      <c r="H8" s="38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38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38"/>
      <c r="I10" s="27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6"/>
      <c r="J11" s="12"/>
      <c r="K11" s="3"/>
      <c r="L11" s="3"/>
      <c r="M11" s="3"/>
      <c r="N11" s="3"/>
      <c r="O11" s="3"/>
    </row>
    <row r="12" spans="1:15" ht="26.7" customHeight="1">
      <c r="A12" s="25"/>
      <c r="B12" s="8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6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8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6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 thickBot="1">
      <c r="A30" s="29"/>
      <c r="B30" s="30"/>
      <c r="C30" s="31"/>
      <c r="D30" s="264"/>
      <c r="E30" s="265"/>
      <c r="F30" s="267"/>
      <c r="G30" s="265"/>
      <c r="H30" s="31"/>
      <c r="I30" s="32"/>
      <c r="J30" s="12"/>
    </row>
    <row r="31" spans="1:10" ht="21" customHeight="1">
      <c r="A31" s="20"/>
      <c r="B31" s="21"/>
      <c r="C31" s="22"/>
      <c r="D31" s="276"/>
      <c r="E31" s="277"/>
      <c r="F31" s="278"/>
      <c r="G31" s="277"/>
      <c r="H31" s="22"/>
      <c r="I31" s="22"/>
      <c r="J31" s="3"/>
    </row>
    <row r="32" spans="1:10" ht="21" customHeight="1">
      <c r="A32" s="13"/>
      <c r="B32" s="6"/>
      <c r="C32" s="7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16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16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10"/>
      <c r="D47" s="259"/>
      <c r="E47" s="260"/>
      <c r="F47" s="261"/>
      <c r="G47" s="260"/>
      <c r="H47" s="7"/>
      <c r="I47" s="7"/>
    </row>
    <row r="48" spans="1:9" ht="21" customHeight="1">
      <c r="A48" s="13"/>
      <c r="B48" s="8"/>
      <c r="C48" s="10"/>
      <c r="D48" s="259"/>
      <c r="E48" s="260"/>
      <c r="F48" s="261"/>
      <c r="G48" s="260"/>
      <c r="H48" s="7"/>
      <c r="I48" s="11"/>
    </row>
    <row r="49" spans="1:9" ht="21" customHeight="1">
      <c r="A49" s="13"/>
      <c r="B49" s="6"/>
      <c r="C49" s="9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16"/>
    </row>
    <row r="56" spans="1:9" ht="21" customHeight="1">
      <c r="A56" s="15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9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4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8"/>
      <c r="C81" s="9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8"/>
      <c r="C83" s="9"/>
      <c r="D83" s="259"/>
      <c r="E83" s="260"/>
      <c r="F83" s="261"/>
      <c r="G83" s="260"/>
      <c r="H83" s="7"/>
      <c r="I83" s="11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9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9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7"/>
      <c r="I103" s="7"/>
    </row>
  </sheetData>
  <mergeCells count="206"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D18:E18"/>
    <mergeCell ref="D58:E5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24:G24"/>
    <mergeCell ref="F12:G12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53:G53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9"/>
  <dimension ref="A1:O92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1211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1212</v>
      </c>
      <c r="C3" s="263"/>
      <c r="D3" s="260"/>
      <c r="E3" s="266" t="s">
        <v>11</v>
      </c>
      <c r="F3" s="263"/>
      <c r="G3" s="260"/>
      <c r="H3" s="268" t="s">
        <v>1213</v>
      </c>
      <c r="I3" s="269"/>
      <c r="J3" s="19" t="str">
        <f>B3</f>
        <v>Ritalin LA 20mg</v>
      </c>
      <c r="K3" s="34" t="s">
        <v>1214</v>
      </c>
      <c r="L3" s="5">
        <f>H7</f>
        <v>8</v>
      </c>
      <c r="M3" s="3">
        <f>SUM(C$8:C$1048576)</f>
        <v>30</v>
      </c>
      <c r="N3" s="3">
        <f>SUM(F:F)</f>
        <v>28</v>
      </c>
      <c r="O3" s="3">
        <f>L3+M3-N3</f>
        <v>10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68" t="s">
        <v>1195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210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8.5" customHeight="1">
      <c r="A7" s="196" t="s">
        <v>29</v>
      </c>
      <c r="B7" s="155" t="s">
        <v>5</v>
      </c>
      <c r="C7" s="155">
        <v>8</v>
      </c>
      <c r="D7" s="280"/>
      <c r="E7" s="260"/>
      <c r="F7" s="280"/>
      <c r="G7" s="260"/>
      <c r="H7" s="155">
        <v>8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41" t="s">
        <v>348</v>
      </c>
      <c r="B8" s="38" t="s">
        <v>324</v>
      </c>
      <c r="C8" s="38">
        <v>30</v>
      </c>
      <c r="D8" s="279" t="s">
        <v>1215</v>
      </c>
      <c r="E8" s="260"/>
      <c r="F8" s="279"/>
      <c r="G8" s="260"/>
      <c r="H8" s="38">
        <v>38</v>
      </c>
      <c r="I8" s="41" t="s">
        <v>414</v>
      </c>
      <c r="J8" s="12"/>
    </row>
    <row r="9" spans="1:15" ht="26.7" customHeight="1">
      <c r="A9" s="41" t="s">
        <v>349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10</v>
      </c>
      <c r="I9" s="256" t="s">
        <v>1216</v>
      </c>
      <c r="J9" s="12"/>
    </row>
    <row r="10" spans="1:15" ht="26.7" customHeight="1">
      <c r="A10" s="41"/>
      <c r="B10" s="38"/>
      <c r="C10" s="38"/>
      <c r="D10" s="279"/>
      <c r="E10" s="260"/>
      <c r="F10" s="279"/>
      <c r="G10" s="260"/>
      <c r="H10" s="38"/>
      <c r="I10" s="194"/>
      <c r="J10" s="12"/>
    </row>
    <row r="11" spans="1:15" ht="26.7" customHeight="1" thickBot="1">
      <c r="A11" s="41"/>
      <c r="B11" s="38"/>
      <c r="C11" s="38"/>
      <c r="D11" s="279"/>
      <c r="E11" s="260"/>
      <c r="F11" s="279"/>
      <c r="G11" s="260"/>
      <c r="H11" s="38"/>
      <c r="I11" s="134"/>
      <c r="J11" s="197"/>
    </row>
    <row r="12" spans="1:15" ht="26.7" customHeight="1">
      <c r="A12" s="41"/>
      <c r="B12" s="38"/>
      <c r="C12" s="38"/>
      <c r="D12" s="279"/>
      <c r="E12" s="260"/>
      <c r="F12" s="279"/>
      <c r="G12" s="260"/>
      <c r="H12" s="38"/>
      <c r="I12" s="41"/>
      <c r="J12" s="12"/>
    </row>
    <row r="13" spans="1:15" ht="26.7" customHeight="1" thickBot="1">
      <c r="A13" s="39"/>
      <c r="B13" s="38"/>
      <c r="C13" s="7"/>
      <c r="D13" s="259"/>
      <c r="E13" s="260"/>
      <c r="F13" s="279"/>
      <c r="G13" s="260"/>
      <c r="H13" s="38"/>
      <c r="I13" s="134"/>
      <c r="J13" s="12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 thickBot="1">
      <c r="A19" s="29"/>
      <c r="B19" s="30"/>
      <c r="C19" s="31"/>
      <c r="D19" s="264"/>
      <c r="E19" s="265"/>
      <c r="F19" s="267"/>
      <c r="G19" s="265"/>
      <c r="H19" s="31"/>
      <c r="I19" s="32"/>
      <c r="J19" s="12"/>
    </row>
    <row r="20" spans="1:10" ht="21" customHeight="1">
      <c r="A20" s="20"/>
      <c r="B20" s="21"/>
      <c r="C20" s="22"/>
      <c r="D20" s="276"/>
      <c r="E20" s="277"/>
      <c r="F20" s="278"/>
      <c r="G20" s="277"/>
      <c r="H20" s="22"/>
      <c r="I20" s="22"/>
      <c r="J20" s="3"/>
    </row>
    <row r="21" spans="1:10" ht="21" customHeight="1">
      <c r="A21" s="13"/>
      <c r="B21" s="6"/>
      <c r="C21" s="7"/>
      <c r="D21" s="259"/>
      <c r="E21" s="260"/>
      <c r="F21" s="261"/>
      <c r="G21" s="260"/>
      <c r="H21" s="7"/>
      <c r="I21" s="7"/>
    </row>
    <row r="22" spans="1:10" ht="21" customHeight="1">
      <c r="A22" s="13"/>
      <c r="B22" s="6"/>
      <c r="C22" s="7"/>
      <c r="D22" s="259"/>
      <c r="E22" s="260"/>
      <c r="F22" s="261"/>
      <c r="G22" s="260"/>
      <c r="H22" s="7"/>
      <c r="I22" s="16"/>
    </row>
    <row r="23" spans="1:10" ht="21" customHeight="1">
      <c r="A23" s="13"/>
      <c r="B23" s="6"/>
      <c r="C23" s="7"/>
      <c r="D23" s="259"/>
      <c r="E23" s="260"/>
      <c r="F23" s="261"/>
      <c r="G23" s="260"/>
      <c r="H23" s="7"/>
      <c r="I23" s="7"/>
    </row>
    <row r="24" spans="1:10" ht="21" customHeight="1">
      <c r="A24" s="13"/>
      <c r="B24" s="6"/>
      <c r="C24" s="7"/>
      <c r="D24" s="259"/>
      <c r="E24" s="260"/>
      <c r="F24" s="261"/>
      <c r="G24" s="260"/>
      <c r="H24" s="7"/>
      <c r="I24" s="7"/>
    </row>
    <row r="25" spans="1:10" ht="21" customHeight="1">
      <c r="A25" s="13"/>
      <c r="B25" s="6"/>
      <c r="C25" s="3"/>
      <c r="D25" s="259"/>
      <c r="E25" s="260"/>
      <c r="F25" s="261"/>
      <c r="G25" s="260"/>
      <c r="H25" s="7"/>
      <c r="I25" s="16"/>
    </row>
    <row r="26" spans="1:10" ht="21" customHeight="1">
      <c r="A26" s="13"/>
      <c r="B26" s="6"/>
      <c r="C26" s="3"/>
      <c r="D26" s="259"/>
      <c r="E26" s="260"/>
      <c r="F26" s="261"/>
      <c r="G26" s="260"/>
      <c r="H26" s="7"/>
      <c r="I26" s="7"/>
    </row>
    <row r="27" spans="1:10" ht="21" customHeight="1">
      <c r="A27" s="13"/>
      <c r="B27" s="6"/>
      <c r="C27" s="3"/>
      <c r="D27" s="259"/>
      <c r="E27" s="260"/>
      <c r="F27" s="261"/>
      <c r="G27" s="260"/>
      <c r="H27" s="7"/>
      <c r="I27" s="7"/>
    </row>
    <row r="28" spans="1:10" ht="21" customHeight="1">
      <c r="A28" s="13"/>
      <c r="B28" s="6"/>
      <c r="C28" s="3"/>
      <c r="D28" s="259"/>
      <c r="E28" s="260"/>
      <c r="F28" s="261"/>
      <c r="G28" s="260"/>
      <c r="H28" s="7"/>
      <c r="I28" s="7"/>
    </row>
    <row r="29" spans="1:10" ht="21" customHeight="1">
      <c r="A29" s="13"/>
      <c r="B29" s="6"/>
      <c r="C29" s="3"/>
      <c r="D29" s="259"/>
      <c r="E29" s="260"/>
      <c r="F29" s="261"/>
      <c r="G29" s="260"/>
      <c r="H29" s="7"/>
      <c r="I29" s="7"/>
    </row>
    <row r="30" spans="1:10" ht="21" customHeight="1">
      <c r="A30" s="13"/>
      <c r="B30" s="6"/>
      <c r="C30" s="3"/>
      <c r="D30" s="259"/>
      <c r="E30" s="260"/>
      <c r="F30" s="261"/>
      <c r="G30" s="260"/>
      <c r="H30" s="7"/>
      <c r="I30" s="7"/>
    </row>
    <row r="31" spans="1:10" ht="21" customHeight="1">
      <c r="A31" s="13"/>
      <c r="B31" s="6"/>
      <c r="C31" s="3"/>
      <c r="D31" s="259"/>
      <c r="E31" s="260"/>
      <c r="F31" s="261"/>
      <c r="G31" s="260"/>
      <c r="H31" s="7"/>
      <c r="I31" s="7"/>
    </row>
    <row r="32" spans="1:10" ht="21" customHeight="1">
      <c r="A32" s="13"/>
      <c r="B32" s="6"/>
      <c r="C32" s="3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3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3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10"/>
      <c r="D36" s="259"/>
      <c r="E36" s="260"/>
      <c r="F36" s="261"/>
      <c r="G36" s="260"/>
      <c r="H36" s="7"/>
      <c r="I36" s="7"/>
    </row>
    <row r="37" spans="1:9" ht="21" customHeight="1">
      <c r="A37" s="13"/>
      <c r="B37" s="8"/>
      <c r="C37" s="10"/>
      <c r="D37" s="259"/>
      <c r="E37" s="260"/>
      <c r="F37" s="261"/>
      <c r="G37" s="260"/>
      <c r="H37" s="7"/>
      <c r="I37" s="11"/>
    </row>
    <row r="38" spans="1:9" ht="21" customHeight="1">
      <c r="A38" s="13"/>
      <c r="B38" s="6"/>
      <c r="C38" s="9"/>
      <c r="D38" s="259"/>
      <c r="E38" s="260"/>
      <c r="F38" s="261"/>
      <c r="G38" s="260"/>
      <c r="H38" s="7"/>
      <c r="I38" s="7"/>
    </row>
    <row r="39" spans="1:9" ht="21" customHeight="1">
      <c r="A39" s="14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4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5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4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4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4"/>
      <c r="B44" s="6"/>
      <c r="C44" s="3"/>
      <c r="D44" s="259"/>
      <c r="E44" s="260"/>
      <c r="F44" s="261"/>
      <c r="G44" s="260"/>
      <c r="H44" s="7"/>
      <c r="I44" s="16"/>
    </row>
    <row r="45" spans="1:9" ht="21" customHeight="1">
      <c r="A45" s="15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5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5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4"/>
      <c r="B49" s="6"/>
      <c r="C49" s="9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5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8"/>
      <c r="C70" s="9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8"/>
      <c r="C72" s="9"/>
      <c r="D72" s="259"/>
      <c r="E72" s="260"/>
      <c r="F72" s="261"/>
      <c r="G72" s="260"/>
      <c r="H72" s="7"/>
      <c r="I72" s="11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9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9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</sheetData>
  <mergeCells count="184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92:E92"/>
    <mergeCell ref="D55:E55"/>
    <mergeCell ref="D30:E30"/>
    <mergeCell ref="F92:G92"/>
    <mergeCell ref="D67:E67"/>
    <mergeCell ref="F49:G49"/>
    <mergeCell ref="D14:E14"/>
    <mergeCell ref="E4:G4"/>
    <mergeCell ref="F14:G14"/>
    <mergeCell ref="D54:E54"/>
    <mergeCell ref="D85:E85"/>
    <mergeCell ref="D69:E69"/>
    <mergeCell ref="F11:G11"/>
    <mergeCell ref="F69:G69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D91:E91"/>
    <mergeCell ref="F8:G8"/>
    <mergeCell ref="F91:G91"/>
    <mergeCell ref="A5:B5"/>
    <mergeCell ref="D28:E28"/>
    <mergeCell ref="F22:G22"/>
    <mergeCell ref="D12:E12"/>
    <mergeCell ref="D25:E25"/>
    <mergeCell ref="D83:E83"/>
    <mergeCell ref="F77:G77"/>
    <mergeCell ref="F24:G24"/>
    <mergeCell ref="D57:E57"/>
    <mergeCell ref="F51:G51"/>
    <mergeCell ref="D32:E32"/>
    <mergeCell ref="F32:G32"/>
    <mergeCell ref="D41:E41"/>
    <mergeCell ref="F26:G26"/>
    <mergeCell ref="F41:G41"/>
    <mergeCell ref="F35:G35"/>
    <mergeCell ref="D16:E16"/>
    <mergeCell ref="D87:E87"/>
    <mergeCell ref="F38:G38"/>
    <mergeCell ref="F90:G90"/>
    <mergeCell ref="D43:E43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67:G67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H4:I4"/>
    <mergeCell ref="B2:I2"/>
    <mergeCell ref="E3:G3"/>
    <mergeCell ref="D18:E18"/>
    <mergeCell ref="D58:E58"/>
    <mergeCell ref="D90:E90"/>
    <mergeCell ref="F63:G63"/>
    <mergeCell ref="F34:G34"/>
    <mergeCell ref="F19:G19"/>
    <mergeCell ref="D34:E34"/>
    <mergeCell ref="F6:G6"/>
    <mergeCell ref="F74:G74"/>
    <mergeCell ref="F83:G83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D66:E66"/>
    <mergeCell ref="F17:G17"/>
    <mergeCell ref="F66:G66"/>
    <mergeCell ref="D75:E75"/>
    <mergeCell ref="D53:E53"/>
    <mergeCell ref="F75:G75"/>
    <mergeCell ref="D88:E88"/>
    <mergeCell ref="D26:E26"/>
    <mergeCell ref="F57:G57"/>
    <mergeCell ref="F88:G88"/>
    <mergeCell ref="D35:E35"/>
    <mergeCell ref="D10:E10"/>
    <mergeCell ref="F54:G54"/>
    <mergeCell ref="F10:G10"/>
    <mergeCell ref="D19:E19"/>
    <mergeCell ref="D47:E47"/>
    <mergeCell ref="F47:G47"/>
    <mergeCell ref="F62:G62"/>
    <mergeCell ref="D37:E37"/>
    <mergeCell ref="F31:G31"/>
    <mergeCell ref="F46:G46"/>
    <mergeCell ref="F28:G28"/>
    <mergeCell ref="F27:G27"/>
    <mergeCell ref="F58:G58"/>
    <mergeCell ref="F52:G52"/>
    <mergeCell ref="F37:G37"/>
    <mergeCell ref="B4:D4"/>
    <mergeCell ref="F81:G81"/>
    <mergeCell ref="F23:G23"/>
    <mergeCell ref="D62:E62"/>
    <mergeCell ref="F13:G13"/>
    <mergeCell ref="D71:E71"/>
    <mergeCell ref="D56:E56"/>
    <mergeCell ref="F56:G56"/>
    <mergeCell ref="F71:G71"/>
    <mergeCell ref="F43:G43"/>
    <mergeCell ref="D24:E24"/>
    <mergeCell ref="D64:E64"/>
    <mergeCell ref="D33:E33"/>
    <mergeCell ref="D73:E73"/>
    <mergeCell ref="D51:E51"/>
    <mergeCell ref="D9:E9"/>
    <mergeCell ref="F9:G9"/>
    <mergeCell ref="D8:E8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0"/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1217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1218</v>
      </c>
      <c r="C3" s="263"/>
      <c r="D3" s="260"/>
      <c r="E3" s="266" t="s">
        <v>11</v>
      </c>
      <c r="F3" s="263"/>
      <c r="G3" s="260"/>
      <c r="H3" s="296" t="s">
        <v>674</v>
      </c>
      <c r="I3" s="269"/>
      <c r="J3" s="19" t="str">
        <f>B3</f>
        <v>Opicet 37.5mg</v>
      </c>
      <c r="K3" s="34" t="s">
        <v>1219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1151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197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1"/>
  <dimension ref="A1:O104"/>
  <sheetViews>
    <sheetView zoomScaleNormal="100"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1220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1221</v>
      </c>
      <c r="C3" s="263"/>
      <c r="D3" s="260"/>
      <c r="E3" s="266" t="s">
        <v>11</v>
      </c>
      <c r="F3" s="263"/>
      <c r="G3" s="260"/>
      <c r="H3" s="268" t="s">
        <v>327</v>
      </c>
      <c r="I3" s="269"/>
      <c r="J3" s="19" t="str">
        <f>B3</f>
        <v>Stapam 0.5mg</v>
      </c>
      <c r="K3" s="34" t="s">
        <v>1222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1223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230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2"/>
  <dimension ref="A1:O94"/>
  <sheetViews>
    <sheetView topLeftCell="A7"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1224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1225</v>
      </c>
      <c r="C3" s="263"/>
      <c r="D3" s="260"/>
      <c r="E3" s="266" t="s">
        <v>11</v>
      </c>
      <c r="F3" s="263"/>
      <c r="G3" s="260"/>
      <c r="H3" s="268" t="s">
        <v>429</v>
      </c>
      <c r="I3" s="269"/>
      <c r="J3" s="19" t="str">
        <f>B3</f>
        <v>Ripam 0.5mg</v>
      </c>
      <c r="K3" s="34" t="s">
        <v>1226</v>
      </c>
      <c r="L3" s="5">
        <f>H7</f>
        <v>100</v>
      </c>
      <c r="M3" s="3">
        <f>SUM(C$8:C$1048576)</f>
        <v>360</v>
      </c>
      <c r="N3" s="3">
        <f>SUM(F:F)</f>
        <v>364</v>
      </c>
      <c r="O3" s="3">
        <f>L3+M3-N3</f>
        <v>96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1227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202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100</v>
      </c>
      <c r="D7" s="280"/>
      <c r="E7" s="260"/>
      <c r="F7" s="280"/>
      <c r="G7" s="260"/>
      <c r="H7" s="155">
        <v>100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333</v>
      </c>
      <c r="B8" s="38" t="s">
        <v>323</v>
      </c>
      <c r="C8" s="38"/>
      <c r="D8" s="279"/>
      <c r="E8" s="260"/>
      <c r="F8" s="279">
        <v>28</v>
      </c>
      <c r="G8" s="260"/>
      <c r="H8" s="38">
        <f>H7-F8</f>
        <v>72</v>
      </c>
      <c r="I8" s="37"/>
      <c r="J8" s="12"/>
    </row>
    <row r="9" spans="1:15" ht="26.7" customHeight="1">
      <c r="A9" s="39" t="s">
        <v>526</v>
      </c>
      <c r="B9" s="38" t="s">
        <v>323</v>
      </c>
      <c r="C9" s="38"/>
      <c r="D9" s="279"/>
      <c r="E9" s="260"/>
      <c r="F9" s="279">
        <v>56</v>
      </c>
      <c r="G9" s="260"/>
      <c r="H9" s="38">
        <f>H8-F9</f>
        <v>16</v>
      </c>
      <c r="I9" s="37"/>
      <c r="J9" s="12"/>
    </row>
    <row r="10" spans="1:15" ht="26.7" customHeight="1">
      <c r="A10" s="39" t="s">
        <v>478</v>
      </c>
      <c r="B10" s="38" t="s">
        <v>324</v>
      </c>
      <c r="C10" s="38">
        <v>360</v>
      </c>
      <c r="D10" s="279" t="s">
        <v>1228</v>
      </c>
      <c r="E10" s="260"/>
      <c r="F10" s="279"/>
      <c r="G10" s="260"/>
      <c r="H10" s="38">
        <v>376</v>
      </c>
      <c r="I10" s="37" t="s">
        <v>437</v>
      </c>
      <c r="J10" s="12"/>
    </row>
    <row r="11" spans="1:15" ht="26.7" customHeight="1">
      <c r="A11" s="39" t="s">
        <v>387</v>
      </c>
      <c r="B11" s="38" t="s">
        <v>323</v>
      </c>
      <c r="C11" s="38"/>
      <c r="D11" s="279"/>
      <c r="E11" s="260"/>
      <c r="F11" s="279">
        <v>28</v>
      </c>
      <c r="G11" s="260"/>
      <c r="H11" s="38">
        <f t="shared" ref="H11:H17" si="0">H10-F11</f>
        <v>348</v>
      </c>
      <c r="I11" s="37"/>
      <c r="J11" s="12"/>
    </row>
    <row r="12" spans="1:15" ht="26.7" customHeight="1">
      <c r="A12" s="39" t="s">
        <v>528</v>
      </c>
      <c r="B12" s="38" t="s">
        <v>323</v>
      </c>
      <c r="C12" s="38"/>
      <c r="D12" s="279"/>
      <c r="E12" s="260"/>
      <c r="F12" s="279">
        <v>56</v>
      </c>
      <c r="G12" s="260"/>
      <c r="H12" s="38">
        <f t="shared" si="0"/>
        <v>292</v>
      </c>
      <c r="I12" s="37" t="s">
        <v>414</v>
      </c>
      <c r="J12" s="12"/>
    </row>
    <row r="13" spans="1:15" ht="26.7" customHeight="1">
      <c r="A13" s="39" t="s">
        <v>487</v>
      </c>
      <c r="B13" s="38" t="s">
        <v>323</v>
      </c>
      <c r="C13" s="38"/>
      <c r="D13" s="279"/>
      <c r="E13" s="260"/>
      <c r="F13" s="279">
        <v>28</v>
      </c>
      <c r="G13" s="260"/>
      <c r="H13" s="38">
        <f t="shared" si="0"/>
        <v>264</v>
      </c>
      <c r="I13" s="37"/>
      <c r="J13" s="12"/>
    </row>
    <row r="14" spans="1:15" ht="26.7" customHeight="1">
      <c r="A14" s="39" t="s">
        <v>445</v>
      </c>
      <c r="B14" s="38" t="s">
        <v>323</v>
      </c>
      <c r="C14" s="38"/>
      <c r="D14" s="279"/>
      <c r="E14" s="260"/>
      <c r="F14" s="279">
        <v>56</v>
      </c>
      <c r="G14" s="260"/>
      <c r="H14" s="38">
        <f t="shared" si="0"/>
        <v>208</v>
      </c>
      <c r="I14" s="37"/>
      <c r="J14" s="12"/>
    </row>
    <row r="15" spans="1:15" ht="26.7" customHeight="1">
      <c r="A15" s="39" t="s">
        <v>547</v>
      </c>
      <c r="B15" s="38" t="s">
        <v>323</v>
      </c>
      <c r="C15" s="38"/>
      <c r="D15" s="279"/>
      <c r="E15" s="260"/>
      <c r="F15" s="279">
        <v>28</v>
      </c>
      <c r="G15" s="260"/>
      <c r="H15" s="38">
        <f t="shared" si="0"/>
        <v>180</v>
      </c>
      <c r="I15" s="37"/>
      <c r="J15" s="12"/>
    </row>
    <row r="16" spans="1:15" ht="26.7" customHeight="1">
      <c r="A16" s="39" t="s">
        <v>359</v>
      </c>
      <c r="B16" s="38" t="s">
        <v>323</v>
      </c>
      <c r="C16" s="38"/>
      <c r="D16" s="279"/>
      <c r="E16" s="260"/>
      <c r="F16" s="279">
        <v>56</v>
      </c>
      <c r="G16" s="260"/>
      <c r="H16" s="38">
        <f t="shared" si="0"/>
        <v>124</v>
      </c>
      <c r="I16" s="37" t="s">
        <v>608</v>
      </c>
      <c r="J16" s="12"/>
    </row>
    <row r="17" spans="1:10" ht="26.7" customHeight="1">
      <c r="A17" s="39" t="s">
        <v>420</v>
      </c>
      <c r="B17" s="38" t="s">
        <v>323</v>
      </c>
      <c r="C17" s="38"/>
      <c r="D17" s="279"/>
      <c r="E17" s="260"/>
      <c r="F17" s="279">
        <v>28</v>
      </c>
      <c r="G17" s="260"/>
      <c r="H17" s="38">
        <f t="shared" si="0"/>
        <v>96</v>
      </c>
      <c r="I17" s="37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114" t="s">
        <v>608</v>
      </c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37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37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114"/>
      <c r="J21" s="12"/>
    </row>
    <row r="22" spans="1:10">
      <c r="A22" s="39"/>
      <c r="B22" s="38"/>
      <c r="C22" s="38"/>
      <c r="D22" s="279"/>
      <c r="E22" s="260"/>
      <c r="F22" s="279"/>
      <c r="G22" s="260"/>
      <c r="H22" s="38"/>
      <c r="I22" s="37"/>
      <c r="J22" s="3"/>
    </row>
    <row r="23" spans="1:10">
      <c r="A23" s="39"/>
      <c r="B23" s="38"/>
      <c r="C23" s="38"/>
      <c r="D23" s="279"/>
      <c r="E23" s="260"/>
      <c r="F23" s="279"/>
      <c r="G23" s="260"/>
      <c r="H23" s="38"/>
      <c r="I23" s="37"/>
    </row>
    <row r="24" spans="1:10">
      <c r="A24" s="39"/>
      <c r="B24" s="38"/>
      <c r="C24" s="38"/>
      <c r="D24" s="279"/>
      <c r="E24" s="260"/>
      <c r="F24" s="279"/>
      <c r="G24" s="260"/>
      <c r="H24" s="38"/>
      <c r="I24" s="37"/>
    </row>
    <row r="25" spans="1:10">
      <c r="A25" s="39"/>
      <c r="B25" s="38"/>
      <c r="C25" s="38"/>
      <c r="D25" s="279"/>
      <c r="E25" s="260"/>
      <c r="F25" s="279"/>
      <c r="G25" s="260"/>
      <c r="H25" s="38"/>
      <c r="I25" s="37"/>
    </row>
    <row r="26" spans="1:10">
      <c r="A26" s="39"/>
      <c r="B26" s="38"/>
      <c r="C26" s="38"/>
      <c r="D26" s="279"/>
      <c r="E26" s="260"/>
      <c r="F26" s="279"/>
      <c r="G26" s="260"/>
      <c r="H26" s="38"/>
      <c r="I26" s="37"/>
    </row>
    <row r="27" spans="1:10">
      <c r="A27" s="39"/>
      <c r="B27" s="38"/>
      <c r="C27" s="38"/>
      <c r="D27" s="279"/>
      <c r="E27" s="260"/>
      <c r="F27" s="279"/>
      <c r="G27" s="260"/>
      <c r="H27" s="38"/>
      <c r="I27" s="37"/>
    </row>
    <row r="28" spans="1:10">
      <c r="A28" s="39"/>
      <c r="B28" s="38"/>
      <c r="C28" s="38"/>
      <c r="D28" s="279"/>
      <c r="E28" s="260"/>
      <c r="F28" s="279"/>
      <c r="G28" s="260"/>
      <c r="H28" s="38"/>
      <c r="I28" s="37"/>
    </row>
    <row r="29" spans="1:10">
      <c r="A29" s="39"/>
      <c r="B29" s="38"/>
      <c r="C29" s="38"/>
      <c r="D29" s="279"/>
      <c r="E29" s="260"/>
      <c r="F29" s="279"/>
      <c r="G29" s="260"/>
      <c r="H29" s="38"/>
      <c r="I29" s="37"/>
    </row>
    <row r="30" spans="1:10">
      <c r="A30" s="39"/>
      <c r="B30" s="38"/>
      <c r="C30" s="38"/>
      <c r="D30" s="279"/>
      <c r="E30" s="260"/>
      <c r="F30" s="279"/>
      <c r="G30" s="260"/>
      <c r="H30" s="38"/>
      <c r="I30" s="37"/>
    </row>
    <row r="31" spans="1:10">
      <c r="A31" s="39"/>
      <c r="B31" s="38"/>
      <c r="C31" s="38"/>
      <c r="D31" s="279"/>
      <c r="E31" s="260"/>
      <c r="F31" s="279"/>
      <c r="G31" s="260"/>
      <c r="H31" s="38"/>
      <c r="I31" s="37"/>
    </row>
    <row r="32" spans="1:10">
      <c r="A32" s="39"/>
      <c r="B32" s="38"/>
      <c r="C32" s="38"/>
      <c r="D32" s="279"/>
      <c r="E32" s="260"/>
      <c r="F32" s="279"/>
      <c r="G32" s="260"/>
      <c r="H32" s="38"/>
      <c r="I32" s="37"/>
    </row>
    <row r="33" spans="1:9">
      <c r="A33" s="39"/>
      <c r="B33" s="38"/>
      <c r="C33" s="38"/>
      <c r="D33" s="279"/>
      <c r="E33" s="260"/>
      <c r="F33" s="279"/>
      <c r="G33" s="260"/>
      <c r="H33" s="38"/>
      <c r="I33" s="37"/>
    </row>
    <row r="34" spans="1:9">
      <c r="A34" s="39"/>
      <c r="B34" s="38"/>
      <c r="C34" s="38"/>
      <c r="D34" s="279"/>
      <c r="E34" s="260"/>
      <c r="F34" s="279"/>
      <c r="G34" s="260"/>
      <c r="H34" s="38"/>
      <c r="I34" s="37"/>
    </row>
    <row r="35" spans="1:9">
      <c r="A35" s="39"/>
      <c r="B35" s="38"/>
      <c r="C35" s="38"/>
      <c r="D35" s="279"/>
      <c r="E35" s="260"/>
      <c r="F35" s="279"/>
      <c r="G35" s="260"/>
      <c r="H35" s="38"/>
      <c r="I35" s="37"/>
    </row>
    <row r="36" spans="1:9">
      <c r="A36" s="39"/>
      <c r="B36" s="38"/>
      <c r="C36" s="38"/>
      <c r="D36" s="279"/>
      <c r="E36" s="260"/>
      <c r="F36" s="279"/>
      <c r="G36" s="260"/>
      <c r="H36" s="38"/>
      <c r="I36" s="37"/>
    </row>
    <row r="37" spans="1:9">
      <c r="A37" s="39"/>
      <c r="B37" s="38"/>
      <c r="C37" s="38"/>
      <c r="D37" s="279"/>
      <c r="E37" s="260"/>
      <c r="F37" s="279"/>
      <c r="G37" s="260"/>
      <c r="H37" s="38"/>
      <c r="I37" s="37"/>
    </row>
    <row r="38" spans="1:9">
      <c r="A38" s="39"/>
      <c r="B38" s="38"/>
      <c r="C38" s="38"/>
      <c r="D38" s="279"/>
      <c r="E38" s="260"/>
      <c r="F38" s="279"/>
      <c r="G38" s="260"/>
      <c r="H38" s="38"/>
      <c r="I38" s="37"/>
    </row>
    <row r="39" spans="1:9">
      <c r="A39" s="39"/>
      <c r="B39" s="38"/>
      <c r="C39" s="38"/>
      <c r="D39" s="279"/>
      <c r="E39" s="260"/>
      <c r="F39" s="279"/>
      <c r="G39" s="260"/>
      <c r="H39" s="38"/>
      <c r="I39" s="37"/>
    </row>
    <row r="40" spans="1:9">
      <c r="A40" s="39"/>
      <c r="B40" s="38"/>
      <c r="C40" s="38"/>
      <c r="D40" s="279"/>
      <c r="E40" s="260"/>
      <c r="F40" s="279"/>
      <c r="G40" s="260"/>
      <c r="H40" s="38"/>
      <c r="I40" s="37"/>
    </row>
    <row r="41" spans="1:9">
      <c r="A41" s="39"/>
      <c r="B41" s="38"/>
      <c r="C41" s="38"/>
      <c r="D41" s="279"/>
      <c r="E41" s="260"/>
      <c r="F41" s="279"/>
      <c r="G41" s="260"/>
      <c r="H41" s="38"/>
      <c r="I41" s="37"/>
    </row>
    <row r="42" spans="1:9">
      <c r="A42" s="39"/>
      <c r="B42" s="38"/>
      <c r="C42" s="38"/>
      <c r="D42" s="279"/>
      <c r="E42" s="260"/>
      <c r="F42" s="279"/>
      <c r="G42" s="260"/>
      <c r="H42" s="38"/>
      <c r="I42" s="37"/>
    </row>
    <row r="43" spans="1:9">
      <c r="A43" s="39"/>
      <c r="B43" s="38"/>
      <c r="C43" s="38"/>
      <c r="D43" s="279"/>
      <c r="E43" s="260"/>
      <c r="F43" s="279"/>
      <c r="G43" s="260"/>
      <c r="H43" s="38"/>
      <c r="I43" s="37"/>
    </row>
    <row r="44" spans="1:9">
      <c r="A44" s="39"/>
      <c r="B44" s="38"/>
      <c r="C44" s="38"/>
      <c r="D44" s="279"/>
      <c r="E44" s="260"/>
      <c r="F44" s="279"/>
      <c r="G44" s="260"/>
      <c r="H44" s="38"/>
      <c r="I44" s="37"/>
    </row>
    <row r="45" spans="1:9">
      <c r="A45" s="39"/>
      <c r="B45" s="38"/>
      <c r="C45" s="38"/>
      <c r="D45" s="279"/>
      <c r="E45" s="260"/>
      <c r="F45" s="279"/>
      <c r="G45" s="260"/>
      <c r="H45" s="38"/>
      <c r="I45" s="37"/>
    </row>
    <row r="46" spans="1:9">
      <c r="A46" s="39"/>
      <c r="B46" s="38"/>
      <c r="C46" s="38"/>
      <c r="D46" s="279"/>
      <c r="E46" s="260"/>
      <c r="F46" s="279"/>
      <c r="G46" s="260"/>
      <c r="H46" s="38"/>
      <c r="I46" s="37"/>
    </row>
    <row r="47" spans="1:9" ht="21" customHeight="1">
      <c r="A47" s="39"/>
      <c r="B47" s="6"/>
      <c r="C47" s="3"/>
      <c r="D47" s="279"/>
      <c r="E47" s="260"/>
      <c r="F47" s="279"/>
      <c r="G47" s="260"/>
      <c r="H47" s="38"/>
      <c r="I47" s="37"/>
    </row>
    <row r="48" spans="1:9" ht="21" customHeight="1">
      <c r="A48" s="39"/>
      <c r="B48" s="6"/>
      <c r="C48" s="3"/>
      <c r="D48" s="279"/>
      <c r="E48" s="260"/>
      <c r="F48" s="279"/>
      <c r="G48" s="260"/>
      <c r="H48" s="38"/>
      <c r="I48" s="37"/>
    </row>
    <row r="49" spans="1:9" ht="21" customHeight="1">
      <c r="A49" s="39"/>
      <c r="B49" s="6"/>
      <c r="C49" s="3"/>
      <c r="D49" s="279"/>
      <c r="E49" s="260"/>
      <c r="F49" s="279"/>
      <c r="G49" s="260"/>
      <c r="H49" s="38"/>
      <c r="I49" s="37"/>
    </row>
    <row r="50" spans="1:9" ht="21" customHeight="1">
      <c r="A50" s="39"/>
      <c r="B50" s="6"/>
      <c r="C50" s="3"/>
      <c r="D50" s="279"/>
      <c r="E50" s="260"/>
      <c r="F50" s="279"/>
      <c r="G50" s="260"/>
      <c r="H50" s="38"/>
      <c r="I50" s="37"/>
    </row>
    <row r="51" spans="1:9" ht="21" customHeight="1">
      <c r="A51" s="39"/>
      <c r="B51" s="6"/>
      <c r="C51" s="9"/>
      <c r="D51" s="279"/>
      <c r="E51" s="260"/>
      <c r="F51" s="279"/>
      <c r="G51" s="260"/>
      <c r="H51" s="38"/>
      <c r="I51" s="37"/>
    </row>
    <row r="52" spans="1:9" ht="21" customHeight="1">
      <c r="A52" s="39"/>
      <c r="B52" s="6"/>
      <c r="C52" s="3"/>
      <c r="D52" s="279"/>
      <c r="E52" s="260"/>
      <c r="F52" s="279"/>
      <c r="G52" s="260"/>
      <c r="H52" s="38"/>
      <c r="I52" s="37"/>
    </row>
    <row r="53" spans="1:9" ht="21" customHeight="1">
      <c r="A53" s="39"/>
      <c r="B53" s="6"/>
      <c r="C53" s="3"/>
      <c r="D53" s="279"/>
      <c r="E53" s="260"/>
      <c r="F53" s="279"/>
      <c r="G53" s="260"/>
      <c r="H53" s="38"/>
      <c r="I53" s="37"/>
    </row>
    <row r="54" spans="1:9" ht="21" customHeight="1">
      <c r="A54" s="39"/>
      <c r="B54" s="6"/>
      <c r="C54" s="3"/>
      <c r="D54" s="279"/>
      <c r="E54" s="260"/>
      <c r="F54" s="279"/>
      <c r="G54" s="260"/>
      <c r="H54" s="38"/>
      <c r="I54" s="37"/>
    </row>
    <row r="55" spans="1:9" ht="21" customHeight="1">
      <c r="A55" s="14"/>
      <c r="B55" s="6"/>
      <c r="C55" s="3"/>
      <c r="D55" s="279"/>
      <c r="E55" s="260"/>
      <c r="F55" s="261"/>
      <c r="G55" s="260"/>
      <c r="H55" s="38"/>
      <c r="I55" s="37"/>
    </row>
    <row r="56" spans="1:9" ht="21" customHeight="1">
      <c r="A56" s="15"/>
      <c r="B56" s="6"/>
      <c r="C56" s="3"/>
      <c r="D56" s="279"/>
      <c r="E56" s="260"/>
      <c r="F56" s="261"/>
      <c r="G56" s="260"/>
      <c r="H56" s="38"/>
      <c r="I56" s="37"/>
    </row>
    <row r="57" spans="1:9" ht="21" customHeight="1">
      <c r="A57" s="15"/>
      <c r="B57" s="6"/>
      <c r="C57" s="3"/>
      <c r="D57" s="279"/>
      <c r="E57" s="260"/>
      <c r="F57" s="261"/>
      <c r="G57" s="260"/>
      <c r="H57" s="38"/>
      <c r="I57" s="37"/>
    </row>
    <row r="58" spans="1:9" ht="21" customHeight="1">
      <c r="A58" s="14"/>
      <c r="B58" s="6"/>
      <c r="C58" s="3"/>
      <c r="D58" s="279"/>
      <c r="E58" s="260"/>
      <c r="F58" s="261"/>
      <c r="G58" s="260"/>
      <c r="H58" s="38"/>
      <c r="I58" s="37"/>
    </row>
    <row r="59" spans="1:9" ht="21" customHeight="1">
      <c r="A59" s="15"/>
      <c r="B59" s="6"/>
      <c r="C59" s="3"/>
      <c r="D59" s="279"/>
      <c r="E59" s="260"/>
      <c r="F59" s="261"/>
      <c r="G59" s="260"/>
      <c r="H59" s="38"/>
      <c r="I59" s="37"/>
    </row>
    <row r="60" spans="1:9" ht="21" customHeight="1">
      <c r="A60" s="15"/>
      <c r="B60" s="6"/>
      <c r="C60" s="3"/>
      <c r="D60" s="279"/>
      <c r="E60" s="260"/>
      <c r="F60" s="261"/>
      <c r="G60" s="260"/>
      <c r="H60" s="38"/>
      <c r="I60" s="37"/>
    </row>
    <row r="61" spans="1:9" ht="21" customHeight="1">
      <c r="A61" s="15"/>
      <c r="B61" s="6"/>
      <c r="C61" s="3"/>
      <c r="D61" s="279"/>
      <c r="E61" s="260"/>
      <c r="F61" s="261"/>
      <c r="G61" s="260"/>
      <c r="H61" s="38"/>
      <c r="I61" s="37"/>
    </row>
    <row r="62" spans="1:9" ht="21" customHeight="1">
      <c r="A62" s="14"/>
      <c r="B62" s="6"/>
      <c r="C62" s="3"/>
      <c r="D62" s="279"/>
      <c r="E62" s="260"/>
      <c r="F62" s="261"/>
      <c r="G62" s="260"/>
      <c r="H62" s="38"/>
      <c r="I62" s="37"/>
    </row>
    <row r="63" spans="1:9" ht="21" customHeight="1">
      <c r="A63" s="14"/>
      <c r="B63" s="6"/>
      <c r="C63" s="3"/>
      <c r="D63" s="279"/>
      <c r="E63" s="260"/>
      <c r="F63" s="261"/>
      <c r="G63" s="260"/>
      <c r="H63" s="38"/>
      <c r="I63" s="37"/>
    </row>
    <row r="64" spans="1:9" ht="21" customHeight="1">
      <c r="A64" s="14"/>
      <c r="B64" s="6"/>
      <c r="C64" s="3"/>
      <c r="D64" s="279"/>
      <c r="E64" s="260"/>
      <c r="F64" s="261"/>
      <c r="G64" s="260"/>
      <c r="H64" s="38"/>
      <c r="I64" s="37"/>
    </row>
    <row r="65" spans="1:9" ht="21" customHeight="1">
      <c r="A65" s="15"/>
      <c r="B65" s="6"/>
      <c r="C65" s="3"/>
      <c r="D65" s="259"/>
      <c r="E65" s="260"/>
      <c r="F65" s="261"/>
      <c r="G65" s="260"/>
      <c r="H65" s="38"/>
      <c r="I65" s="37"/>
    </row>
    <row r="66" spans="1:9" ht="21" customHeight="1">
      <c r="A66" s="15"/>
      <c r="B66" s="6"/>
      <c r="C66" s="3"/>
      <c r="D66" s="259"/>
      <c r="E66" s="260"/>
      <c r="F66" s="261"/>
      <c r="G66" s="260"/>
      <c r="H66" s="38"/>
      <c r="I66" s="37"/>
    </row>
    <row r="67" spans="1:9" ht="21" customHeight="1">
      <c r="A67" s="15"/>
      <c r="B67" s="6"/>
      <c r="C67" s="3"/>
      <c r="D67" s="259"/>
      <c r="E67" s="260"/>
      <c r="F67" s="261"/>
      <c r="G67" s="260"/>
      <c r="H67" s="38"/>
      <c r="I67" s="37"/>
    </row>
    <row r="68" spans="1:9" ht="21" customHeight="1">
      <c r="A68" s="14"/>
      <c r="B68" s="6"/>
      <c r="C68" s="3"/>
      <c r="D68" s="259"/>
      <c r="E68" s="260"/>
      <c r="F68" s="261"/>
      <c r="G68" s="260"/>
      <c r="H68" s="38"/>
      <c r="I68" s="37"/>
    </row>
    <row r="69" spans="1:9" ht="21" customHeight="1">
      <c r="A69" s="15"/>
      <c r="B69" s="6"/>
      <c r="C69" s="3"/>
      <c r="D69" s="259"/>
      <c r="E69" s="260"/>
      <c r="F69" s="261"/>
      <c r="G69" s="260"/>
      <c r="H69" s="38"/>
      <c r="I69" s="37"/>
    </row>
    <row r="70" spans="1:9" ht="21" customHeight="1">
      <c r="A70" s="14"/>
      <c r="B70" s="6"/>
      <c r="C70" s="3"/>
      <c r="D70" s="259"/>
      <c r="E70" s="260"/>
      <c r="F70" s="261"/>
      <c r="G70" s="260"/>
      <c r="H70" s="38"/>
      <c r="I70" s="37"/>
    </row>
    <row r="71" spans="1:9" ht="21" customHeight="1">
      <c r="A71" s="14"/>
      <c r="B71" s="6"/>
      <c r="C71" s="3"/>
      <c r="D71" s="259"/>
      <c r="E71" s="260"/>
      <c r="F71" s="261"/>
      <c r="G71" s="260"/>
      <c r="H71" s="38"/>
      <c r="I71" s="37"/>
    </row>
    <row r="72" spans="1:9" ht="21" customHeight="1">
      <c r="A72" s="14"/>
      <c r="B72" s="8"/>
      <c r="C72" s="9"/>
      <c r="D72" s="259"/>
      <c r="E72" s="260"/>
      <c r="F72" s="261"/>
      <c r="G72" s="260"/>
      <c r="H72" s="38"/>
      <c r="I72" s="37"/>
    </row>
    <row r="73" spans="1:9" ht="21" customHeight="1">
      <c r="A73" s="14"/>
      <c r="B73" s="6"/>
      <c r="C73" s="3"/>
      <c r="D73" s="259"/>
      <c r="E73" s="260"/>
      <c r="F73" s="261"/>
      <c r="G73" s="260"/>
      <c r="H73" s="38"/>
      <c r="I73" s="37"/>
    </row>
    <row r="74" spans="1:9" ht="21" customHeight="1">
      <c r="A74" s="15"/>
      <c r="B74" s="8"/>
      <c r="C74" s="9"/>
      <c r="D74" s="259"/>
      <c r="E74" s="260"/>
      <c r="F74" s="261"/>
      <c r="G74" s="260"/>
      <c r="H74" s="38"/>
      <c r="I74" s="37"/>
    </row>
    <row r="75" spans="1:9" ht="21" customHeight="1">
      <c r="A75" s="15"/>
      <c r="B75" s="6"/>
      <c r="C75" s="3"/>
      <c r="D75" s="259"/>
      <c r="E75" s="260"/>
      <c r="F75" s="261"/>
      <c r="G75" s="260"/>
      <c r="H75" s="38"/>
      <c r="I75" s="37"/>
    </row>
    <row r="76" spans="1:9" ht="21" customHeight="1">
      <c r="A76" s="15"/>
      <c r="B76" s="6"/>
      <c r="C76" s="9"/>
      <c r="D76" s="259"/>
      <c r="E76" s="260"/>
      <c r="F76" s="261"/>
      <c r="G76" s="260"/>
      <c r="H76" s="38"/>
      <c r="I76" s="37"/>
    </row>
    <row r="77" spans="1:9" ht="21" customHeight="1">
      <c r="A77" s="14"/>
      <c r="B77" s="6"/>
      <c r="C77" s="3"/>
      <c r="D77" s="259"/>
      <c r="E77" s="260"/>
      <c r="F77" s="261"/>
      <c r="G77" s="260"/>
      <c r="H77" s="38"/>
      <c r="I77" s="37"/>
    </row>
    <row r="78" spans="1:9" ht="21" customHeight="1">
      <c r="A78" s="15"/>
      <c r="B78" s="6"/>
      <c r="C78" s="3"/>
      <c r="D78" s="259"/>
      <c r="E78" s="260"/>
      <c r="F78" s="261"/>
      <c r="G78" s="260"/>
      <c r="H78" s="38"/>
      <c r="I78" s="37"/>
    </row>
    <row r="79" spans="1:9" ht="21" customHeight="1">
      <c r="A79" s="15"/>
      <c r="B79" s="6"/>
      <c r="C79" s="3"/>
      <c r="D79" s="259"/>
      <c r="E79" s="260"/>
      <c r="F79" s="261"/>
      <c r="G79" s="260"/>
      <c r="H79" s="38"/>
      <c r="I79" s="37"/>
    </row>
    <row r="80" spans="1:9" ht="21" customHeight="1">
      <c r="A80" s="14"/>
      <c r="B80" s="6"/>
      <c r="C80" s="3"/>
      <c r="D80" s="259"/>
      <c r="E80" s="260"/>
      <c r="F80" s="261"/>
      <c r="G80" s="260"/>
      <c r="H80" s="38"/>
      <c r="I80" s="37"/>
    </row>
    <row r="81" spans="1:9" ht="21" customHeight="1">
      <c r="A81" s="15"/>
      <c r="B81" s="6"/>
      <c r="C81" s="3"/>
      <c r="D81" s="259"/>
      <c r="E81" s="260"/>
      <c r="F81" s="261"/>
      <c r="G81" s="260"/>
      <c r="H81" s="38"/>
      <c r="I81" s="37"/>
    </row>
    <row r="82" spans="1:9" ht="21" customHeight="1">
      <c r="A82" s="15"/>
      <c r="B82" s="6"/>
      <c r="C82" s="3"/>
      <c r="D82" s="259"/>
      <c r="E82" s="260"/>
      <c r="F82" s="261"/>
      <c r="G82" s="260"/>
      <c r="H82" s="38"/>
      <c r="I82" s="37"/>
    </row>
    <row r="83" spans="1:9" ht="21" customHeight="1">
      <c r="A83" s="15"/>
      <c r="B83" s="6"/>
      <c r="C83" s="3"/>
      <c r="D83" s="259"/>
      <c r="E83" s="260"/>
      <c r="F83" s="261"/>
      <c r="G83" s="260"/>
      <c r="H83" s="38"/>
      <c r="I83" s="37"/>
    </row>
    <row r="84" spans="1:9" ht="21" customHeight="1">
      <c r="A84" s="14"/>
      <c r="B84" s="6"/>
      <c r="C84" s="3"/>
      <c r="D84" s="259"/>
      <c r="E84" s="260"/>
      <c r="F84" s="261"/>
      <c r="G84" s="260"/>
      <c r="H84" s="38"/>
      <c r="I84" s="37"/>
    </row>
    <row r="85" spans="1:9" ht="21" customHeight="1">
      <c r="A85" s="14"/>
      <c r="B85" s="6"/>
      <c r="C85" s="3"/>
      <c r="D85" s="259"/>
      <c r="E85" s="260"/>
      <c r="F85" s="261"/>
      <c r="G85" s="260"/>
      <c r="H85" s="38"/>
      <c r="I85" s="37"/>
    </row>
    <row r="86" spans="1:9" ht="21" customHeight="1">
      <c r="A86" s="14"/>
      <c r="B86" s="6"/>
      <c r="C86" s="3"/>
      <c r="D86" s="259"/>
      <c r="E86" s="260"/>
      <c r="F86" s="261"/>
      <c r="G86" s="260"/>
      <c r="H86" s="38"/>
      <c r="I86" s="37"/>
    </row>
    <row r="87" spans="1:9" ht="21" customHeight="1">
      <c r="A87" s="14"/>
      <c r="B87" s="6"/>
      <c r="C87" s="3"/>
      <c r="D87" s="259"/>
      <c r="E87" s="260"/>
      <c r="F87" s="261"/>
      <c r="G87" s="260"/>
      <c r="H87" s="38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38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38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38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38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38"/>
      <c r="I92" s="7"/>
    </row>
    <row r="93" spans="1:9" ht="21" customHeight="1">
      <c r="A93" s="14"/>
      <c r="B93" s="6"/>
      <c r="C93" s="9"/>
      <c r="D93" s="259"/>
      <c r="E93" s="260"/>
      <c r="F93" s="261"/>
      <c r="G93" s="260"/>
      <c r="H93" s="38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38"/>
      <c r="I94" s="7"/>
    </row>
  </sheetData>
  <mergeCells count="188"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43:E43"/>
    <mergeCell ref="E3:G3"/>
    <mergeCell ref="D18:E18"/>
    <mergeCell ref="F27:G27"/>
    <mergeCell ref="D8:E8"/>
    <mergeCell ref="F37:G37"/>
    <mergeCell ref="B3:D3"/>
    <mergeCell ref="D42:E42"/>
    <mergeCell ref="D50:E50"/>
    <mergeCell ref="D44:E44"/>
    <mergeCell ref="F44:G44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F12:G12"/>
    <mergeCell ref="F24:G24"/>
    <mergeCell ref="D57:E57"/>
    <mergeCell ref="D87:E87"/>
    <mergeCell ref="F90:G90"/>
    <mergeCell ref="D58:E58"/>
    <mergeCell ref="F58:G58"/>
    <mergeCell ref="F52:G52"/>
    <mergeCell ref="F67:G67"/>
    <mergeCell ref="D74:E74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8:E68"/>
    <mergeCell ref="D82:E82"/>
    <mergeCell ref="F82:G82"/>
    <mergeCell ref="F60:G60"/>
    <mergeCell ref="D59:E59"/>
    <mergeCell ref="H3:I3"/>
    <mergeCell ref="F39:G39"/>
    <mergeCell ref="F48:G48"/>
    <mergeCell ref="D15:E15"/>
    <mergeCell ref="D29:E29"/>
    <mergeCell ref="D23:E23"/>
    <mergeCell ref="D38:E38"/>
    <mergeCell ref="A1:I1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F53:G53"/>
    <mergeCell ref="D49:E49"/>
    <mergeCell ref="D27:E27"/>
    <mergeCell ref="F36:G36"/>
    <mergeCell ref="F94:G94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39:E39"/>
    <mergeCell ref="F61:G61"/>
    <mergeCell ref="F50:G50"/>
    <mergeCell ref="D17:E17"/>
    <mergeCell ref="D91:E91"/>
    <mergeCell ref="F91:G91"/>
    <mergeCell ref="D28:E28"/>
    <mergeCell ref="D93:E93"/>
    <mergeCell ref="F22:G22"/>
    <mergeCell ref="F93:G93"/>
    <mergeCell ref="D90:E90"/>
    <mergeCell ref="F63:G63"/>
    <mergeCell ref="F34:G34"/>
    <mergeCell ref="F19:G19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9:E9"/>
    <mergeCell ref="F9:G9"/>
    <mergeCell ref="F8:G8"/>
    <mergeCell ref="D12:E12"/>
    <mergeCell ref="D83:E83"/>
    <mergeCell ref="D25:E25"/>
    <mergeCell ref="F77:G77"/>
    <mergeCell ref="D88:E88"/>
    <mergeCell ref="D26:E26"/>
    <mergeCell ref="F88:G88"/>
    <mergeCell ref="F57:G57"/>
    <mergeCell ref="D35:E35"/>
    <mergeCell ref="D10:E10"/>
    <mergeCell ref="F54:G54"/>
    <mergeCell ref="D19:E19"/>
    <mergeCell ref="F10:G10"/>
    <mergeCell ref="D34:E34"/>
    <mergeCell ref="B4:D4"/>
    <mergeCell ref="F23:G23"/>
    <mergeCell ref="F81:G81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73:E73"/>
    <mergeCell ref="D51:E51"/>
    <mergeCell ref="A5:B5"/>
    <mergeCell ref="E4:G4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3">
    <tabColor theme="2" tint="-0.499984740745262"/>
  </sheetPr>
  <dimension ref="A1:O104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1229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1230</v>
      </c>
      <c r="C3" s="263"/>
      <c r="D3" s="260"/>
      <c r="E3" s="266" t="s">
        <v>11</v>
      </c>
      <c r="F3" s="263"/>
      <c r="G3" s="260"/>
      <c r="H3" s="268" t="s">
        <v>1231</v>
      </c>
      <c r="I3" s="269"/>
      <c r="J3" s="19" t="str">
        <f>B3</f>
        <v>Ritalin LA 40mg</v>
      </c>
      <c r="K3" s="34" t="s">
        <v>1232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268" t="s">
        <v>1195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1233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4"/>
  <dimension ref="A1:O104"/>
  <sheetViews>
    <sheetView workbookViewId="0">
      <pane ySplit="6" topLeftCell="A7" activePane="bottomLeft" state="frozen"/>
      <selection pane="bottomLeft" activeCell="H8" sqref="H8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8" style="246" customWidth="1"/>
    <col min="7" max="7" width="6.77734375" style="246" customWidth="1"/>
    <col min="8" max="8" width="11.44140625" style="246" customWidth="1"/>
    <col min="9" max="9" width="18.3320312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1234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82" t="s">
        <v>1235</v>
      </c>
      <c r="C3" s="263"/>
      <c r="D3" s="260"/>
      <c r="E3" s="266" t="s">
        <v>11</v>
      </c>
      <c r="F3" s="263"/>
      <c r="G3" s="260"/>
      <c r="H3" s="268" t="s">
        <v>629</v>
      </c>
      <c r="I3" s="269"/>
      <c r="J3" s="19" t="str">
        <f>B3</f>
        <v>Fallep 2mg</v>
      </c>
      <c r="K3" s="34" t="s">
        <v>1236</v>
      </c>
      <c r="L3" s="5">
        <f>H7</f>
        <v>6</v>
      </c>
      <c r="M3" s="3">
        <f>SUM(C$8:C$1048576)</f>
        <v>0</v>
      </c>
      <c r="N3" s="3">
        <f>SUM(F:F)</f>
        <v>0</v>
      </c>
      <c r="O3" s="3">
        <f>L3+M3-N3</f>
        <v>6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316" t="s">
        <v>1165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139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6</v>
      </c>
      <c r="D7" s="280"/>
      <c r="E7" s="260"/>
      <c r="F7" s="280"/>
      <c r="G7" s="260"/>
      <c r="H7" s="155">
        <v>6</v>
      </c>
      <c r="I7" s="210" t="s">
        <v>706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/>
      <c r="D8" s="259"/>
      <c r="E8" s="260"/>
      <c r="F8" s="266"/>
      <c r="G8" s="260"/>
      <c r="H8" s="17"/>
      <c r="I8" s="26" t="s">
        <v>414</v>
      </c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7"/>
      <c r="D9" s="259"/>
      <c r="E9" s="260"/>
      <c r="F9" s="266"/>
      <c r="G9" s="260"/>
      <c r="H9" s="17"/>
      <c r="I9" s="108"/>
      <c r="J9" s="12"/>
      <c r="K9" s="3"/>
      <c r="L9" s="3"/>
      <c r="M9" s="3"/>
      <c r="N9" s="3"/>
      <c r="O9" s="3"/>
    </row>
    <row r="10" spans="1:15" ht="26.7" customHeight="1">
      <c r="A10" s="39"/>
      <c r="B10" s="6"/>
      <c r="C10" s="7"/>
      <c r="D10" s="259"/>
      <c r="E10" s="260"/>
      <c r="F10" s="266"/>
      <c r="G10" s="260"/>
      <c r="H10" s="17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6"/>
      <c r="C11" s="7"/>
      <c r="D11" s="259"/>
      <c r="E11" s="260"/>
      <c r="F11" s="266"/>
      <c r="G11" s="260"/>
      <c r="H11" s="17"/>
      <c r="I11" s="27"/>
      <c r="J11" s="12"/>
      <c r="K11" s="3"/>
      <c r="L11" s="3"/>
      <c r="M11" s="3"/>
      <c r="N11" s="3"/>
      <c r="O11" s="3"/>
    </row>
    <row r="12" spans="1:15" ht="26.7" customHeight="1">
      <c r="A12" s="39"/>
      <c r="B12" s="6"/>
      <c r="C12" s="7"/>
      <c r="D12" s="259"/>
      <c r="E12" s="260"/>
      <c r="F12" s="266"/>
      <c r="G12" s="260"/>
      <c r="H12" s="17"/>
      <c r="I12" s="26"/>
      <c r="J12" s="12"/>
      <c r="K12" s="3"/>
      <c r="L12" s="3"/>
      <c r="M12" s="3"/>
      <c r="N12" s="3"/>
      <c r="O12" s="3"/>
    </row>
    <row r="13" spans="1:15" ht="26.7" customHeight="1">
      <c r="A13" s="39"/>
      <c r="B13" s="8"/>
      <c r="C13" s="7"/>
      <c r="D13" s="259"/>
      <c r="E13" s="260"/>
      <c r="F13" s="266"/>
      <c r="G13" s="260"/>
      <c r="H13" s="17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6"/>
      <c r="C14" s="7"/>
      <c r="D14" s="259"/>
      <c r="E14" s="260"/>
      <c r="F14" s="266"/>
      <c r="G14" s="260"/>
      <c r="H14" s="17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6"/>
      <c r="C15" s="7"/>
      <c r="D15" s="259"/>
      <c r="E15" s="260"/>
      <c r="F15" s="266"/>
      <c r="G15" s="260"/>
      <c r="H15" s="17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6"/>
      <c r="C16" s="7"/>
      <c r="D16" s="259"/>
      <c r="E16" s="260"/>
      <c r="F16" s="266"/>
      <c r="G16" s="260"/>
      <c r="H16" s="17"/>
      <c r="I16" s="26"/>
      <c r="J16" s="12"/>
      <c r="K16" s="3"/>
      <c r="L16" s="3"/>
      <c r="M16" s="3"/>
      <c r="N16" s="3"/>
      <c r="O16" s="3"/>
    </row>
    <row r="17" spans="1:10" ht="26.7" customHeight="1">
      <c r="A17" s="39"/>
      <c r="B17" s="6"/>
      <c r="C17" s="7"/>
      <c r="D17" s="259"/>
      <c r="E17" s="260"/>
      <c r="F17" s="266"/>
      <c r="G17" s="260"/>
      <c r="H17" s="17"/>
      <c r="I17" s="26"/>
      <c r="J17" s="12"/>
    </row>
    <row r="18" spans="1:10" ht="26.7" customHeight="1">
      <c r="A18" s="39"/>
      <c r="B18" s="6"/>
      <c r="C18" s="7"/>
      <c r="D18" s="259"/>
      <c r="E18" s="260"/>
      <c r="F18" s="266"/>
      <c r="G18" s="260"/>
      <c r="H18" s="17"/>
      <c r="I18" s="26"/>
      <c r="J18" s="12"/>
    </row>
    <row r="19" spans="1:10" ht="26.7" customHeight="1">
      <c r="A19" s="25"/>
      <c r="B19" s="6"/>
      <c r="C19" s="7"/>
      <c r="D19" s="259"/>
      <c r="E19" s="260"/>
      <c r="F19" s="266"/>
      <c r="G19" s="260"/>
      <c r="H19" s="17"/>
      <c r="I19" s="26"/>
      <c r="J19" s="12"/>
    </row>
    <row r="20" spans="1:10" ht="26.7" customHeight="1">
      <c r="A20" s="25"/>
      <c r="B20" s="6"/>
      <c r="C20" s="7"/>
      <c r="D20" s="259"/>
      <c r="E20" s="260"/>
      <c r="F20" s="266"/>
      <c r="G20" s="260"/>
      <c r="H20" s="17"/>
      <c r="I20" s="26"/>
      <c r="J20" s="12"/>
    </row>
    <row r="21" spans="1:10" ht="26.7" customHeight="1">
      <c r="A21" s="25"/>
      <c r="B21" s="6"/>
      <c r="C21" s="7"/>
      <c r="D21" s="259"/>
      <c r="E21" s="260"/>
      <c r="F21" s="266"/>
      <c r="G21" s="260"/>
      <c r="H21" s="17"/>
      <c r="I21" s="26"/>
      <c r="J21" s="12"/>
    </row>
    <row r="22" spans="1:10" ht="26.7" customHeight="1">
      <c r="A22" s="25"/>
      <c r="B22" s="6"/>
      <c r="C22" s="7"/>
      <c r="D22" s="259"/>
      <c r="E22" s="260"/>
      <c r="F22" s="266"/>
      <c r="G22" s="260"/>
      <c r="H22" s="17"/>
      <c r="I22" s="26"/>
      <c r="J22" s="12"/>
    </row>
    <row r="23" spans="1:10" ht="26.7" customHeight="1">
      <c r="A23" s="25"/>
      <c r="B23" s="6"/>
      <c r="C23" s="7"/>
      <c r="D23" s="259"/>
      <c r="E23" s="260"/>
      <c r="F23" s="266"/>
      <c r="G23" s="260"/>
      <c r="H23" s="17"/>
      <c r="I23" s="26"/>
      <c r="J23" s="12"/>
    </row>
    <row r="24" spans="1:10" ht="26.7" customHeight="1">
      <c r="A24" s="25"/>
      <c r="B24" s="6"/>
      <c r="C24" s="7"/>
      <c r="D24" s="259"/>
      <c r="E24" s="260"/>
      <c r="F24" s="266"/>
      <c r="G24" s="260"/>
      <c r="H24" s="17"/>
      <c r="I24" s="26"/>
      <c r="J24" s="12"/>
    </row>
    <row r="25" spans="1:10" ht="26.7" customHeight="1">
      <c r="A25" s="25"/>
      <c r="B25" s="6"/>
      <c r="C25" s="7"/>
      <c r="D25" s="259"/>
      <c r="E25" s="260"/>
      <c r="F25" s="266"/>
      <c r="G25" s="260"/>
      <c r="H25" s="17"/>
      <c r="I25" s="28"/>
      <c r="J25" s="12"/>
    </row>
    <row r="26" spans="1:10" ht="26.7" customHeight="1">
      <c r="A26" s="25"/>
      <c r="B26" s="6"/>
      <c r="C26" s="7"/>
      <c r="D26" s="259"/>
      <c r="E26" s="260"/>
      <c r="F26" s="266"/>
      <c r="G26" s="260"/>
      <c r="H26" s="17"/>
      <c r="I26" s="26"/>
      <c r="J26" s="12"/>
    </row>
    <row r="27" spans="1:10" ht="26.7" customHeight="1">
      <c r="A27" s="25"/>
      <c r="B27" s="6"/>
      <c r="C27" s="7"/>
      <c r="D27" s="259"/>
      <c r="E27" s="260"/>
      <c r="F27" s="266"/>
      <c r="G27" s="260"/>
      <c r="H27" s="17"/>
      <c r="I27" s="26"/>
      <c r="J27" s="12"/>
    </row>
    <row r="28" spans="1:10" ht="26.7" customHeight="1">
      <c r="A28" s="25"/>
      <c r="B28" s="6"/>
      <c r="C28" s="7"/>
      <c r="D28" s="259"/>
      <c r="E28" s="260"/>
      <c r="F28" s="266"/>
      <c r="G28" s="260"/>
      <c r="H28" s="17"/>
      <c r="I28" s="26"/>
      <c r="J28" s="12"/>
    </row>
    <row r="29" spans="1:10" ht="26.7" customHeight="1">
      <c r="A29" s="25"/>
      <c r="B29" s="6"/>
      <c r="C29" s="7"/>
      <c r="D29" s="259"/>
      <c r="E29" s="260"/>
      <c r="F29" s="266"/>
      <c r="G29" s="260"/>
      <c r="H29" s="17"/>
      <c r="I29" s="26"/>
      <c r="J29" s="12"/>
    </row>
    <row r="30" spans="1:10" ht="26.7" customHeight="1">
      <c r="A30" s="25"/>
      <c r="B30" s="6"/>
      <c r="C30" s="7"/>
      <c r="D30" s="259"/>
      <c r="E30" s="260"/>
      <c r="F30" s="266"/>
      <c r="G30" s="260"/>
      <c r="H30" s="1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6"/>
      <c r="G31" s="260"/>
      <c r="H31" s="17"/>
      <c r="I31" s="32"/>
      <c r="J31" s="12"/>
    </row>
    <row r="32" spans="1:10" ht="21" customHeight="1">
      <c r="A32" s="20"/>
      <c r="B32" s="21"/>
      <c r="C32" s="22"/>
      <c r="D32" s="276"/>
      <c r="E32" s="277"/>
      <c r="F32" s="266"/>
      <c r="G32" s="260"/>
      <c r="H32" s="17"/>
      <c r="I32" s="22"/>
      <c r="J32" s="3"/>
    </row>
    <row r="33" spans="1:9" ht="21" customHeight="1">
      <c r="A33" s="13"/>
      <c r="B33" s="6"/>
      <c r="C33" s="7"/>
      <c r="D33" s="259"/>
      <c r="E33" s="260"/>
      <c r="F33" s="266"/>
      <c r="G33" s="260"/>
      <c r="H33" s="17"/>
      <c r="I33" s="7"/>
    </row>
    <row r="34" spans="1:9" ht="21" customHeight="1">
      <c r="A34" s="13"/>
      <c r="B34" s="6"/>
      <c r="C34" s="7"/>
      <c r="D34" s="259"/>
      <c r="E34" s="260"/>
      <c r="F34" s="266"/>
      <c r="G34" s="260"/>
      <c r="H34" s="17"/>
      <c r="I34" s="16"/>
    </row>
    <row r="35" spans="1:9" ht="21" customHeight="1">
      <c r="A35" s="13"/>
      <c r="B35" s="6"/>
      <c r="C35" s="7"/>
      <c r="D35" s="259"/>
      <c r="E35" s="260"/>
      <c r="F35" s="266"/>
      <c r="G35" s="260"/>
      <c r="H35" s="17"/>
      <c r="I35" s="7"/>
    </row>
    <row r="36" spans="1:9" ht="21" customHeight="1">
      <c r="A36" s="13"/>
      <c r="B36" s="6"/>
      <c r="C36" s="7"/>
      <c r="D36" s="259"/>
      <c r="E36" s="260"/>
      <c r="F36" s="266"/>
      <c r="G36" s="260"/>
      <c r="H36" s="17"/>
      <c r="I36" s="7"/>
    </row>
    <row r="37" spans="1:9" ht="21" customHeight="1">
      <c r="A37" s="13"/>
      <c r="B37" s="6"/>
      <c r="C37" s="3"/>
      <c r="D37" s="259"/>
      <c r="E37" s="260"/>
      <c r="F37" s="266"/>
      <c r="G37" s="260"/>
      <c r="H37" s="17"/>
      <c r="I37" s="16"/>
    </row>
    <row r="38" spans="1:9" ht="21" customHeight="1">
      <c r="A38" s="13"/>
      <c r="B38" s="6"/>
      <c r="C38" s="3"/>
      <c r="D38" s="259"/>
      <c r="E38" s="260"/>
      <c r="F38" s="266"/>
      <c r="G38" s="260"/>
      <c r="H38" s="17"/>
      <c r="I38" s="7"/>
    </row>
    <row r="39" spans="1:9" ht="21" customHeight="1">
      <c r="A39" s="13"/>
      <c r="B39" s="6"/>
      <c r="C39" s="3"/>
      <c r="D39" s="259"/>
      <c r="E39" s="260"/>
      <c r="F39" s="266"/>
      <c r="G39" s="260"/>
      <c r="H39" s="17"/>
      <c r="I39" s="7"/>
    </row>
    <row r="40" spans="1:9" ht="21" customHeight="1">
      <c r="A40" s="13"/>
      <c r="B40" s="6"/>
      <c r="C40" s="3"/>
      <c r="D40" s="259"/>
      <c r="E40" s="260"/>
      <c r="F40" s="266"/>
      <c r="G40" s="260"/>
      <c r="H40" s="17"/>
      <c r="I40" s="7"/>
    </row>
    <row r="41" spans="1:9" ht="21" customHeight="1">
      <c r="A41" s="13"/>
      <c r="B41" s="6"/>
      <c r="C41" s="3"/>
      <c r="D41" s="259"/>
      <c r="E41" s="260"/>
      <c r="F41" s="266"/>
      <c r="G41" s="260"/>
      <c r="H41" s="17"/>
      <c r="I41" s="7"/>
    </row>
    <row r="42" spans="1:9" ht="21" customHeight="1">
      <c r="A42" s="13"/>
      <c r="B42" s="6"/>
      <c r="C42" s="3"/>
      <c r="D42" s="259"/>
      <c r="E42" s="260"/>
      <c r="F42" s="266"/>
      <c r="G42" s="260"/>
      <c r="H42" s="17"/>
      <c r="I42" s="7"/>
    </row>
    <row r="43" spans="1:9" ht="21" customHeight="1">
      <c r="A43" s="13"/>
      <c r="B43" s="6"/>
      <c r="C43" s="3"/>
      <c r="D43" s="259"/>
      <c r="E43" s="260"/>
      <c r="F43" s="266"/>
      <c r="G43" s="260"/>
      <c r="H43" s="17"/>
      <c r="I43" s="7"/>
    </row>
    <row r="44" spans="1:9" ht="21" customHeight="1">
      <c r="A44" s="13"/>
      <c r="B44" s="6"/>
      <c r="C44" s="3"/>
      <c r="D44" s="259"/>
      <c r="E44" s="260"/>
      <c r="F44" s="266"/>
      <c r="G44" s="260"/>
      <c r="H44" s="17"/>
      <c r="I44" s="7"/>
    </row>
    <row r="45" spans="1:9" ht="21" customHeight="1">
      <c r="A45" s="13"/>
      <c r="B45" s="6"/>
      <c r="C45" s="3"/>
      <c r="D45" s="259"/>
      <c r="E45" s="260"/>
      <c r="F45" s="266"/>
      <c r="G45" s="260"/>
      <c r="H45" s="17"/>
      <c r="I45" s="7"/>
    </row>
    <row r="46" spans="1:9" ht="21" customHeight="1">
      <c r="A46" s="13"/>
      <c r="B46" s="6"/>
      <c r="C46" s="3"/>
      <c r="D46" s="259"/>
      <c r="E46" s="260"/>
      <c r="F46" s="266"/>
      <c r="G46" s="260"/>
      <c r="H46" s="17"/>
      <c r="I46" s="7"/>
    </row>
    <row r="47" spans="1:9" ht="21" customHeight="1">
      <c r="A47" s="13"/>
      <c r="B47" s="6"/>
      <c r="C47" s="3"/>
      <c r="D47" s="259"/>
      <c r="E47" s="260"/>
      <c r="F47" s="266"/>
      <c r="G47" s="260"/>
      <c r="H47" s="17"/>
      <c r="I47" s="7"/>
    </row>
    <row r="48" spans="1:9" ht="21" customHeight="1">
      <c r="A48" s="13"/>
      <c r="B48" s="6"/>
      <c r="C48" s="10"/>
      <c r="D48" s="259"/>
      <c r="E48" s="260"/>
      <c r="F48" s="266"/>
      <c r="G48" s="260"/>
      <c r="H48" s="17"/>
      <c r="I48" s="7"/>
    </row>
    <row r="49" spans="1:9" ht="21" customHeight="1">
      <c r="A49" s="13"/>
      <c r="B49" s="8"/>
      <c r="C49" s="10"/>
      <c r="D49" s="259"/>
      <c r="E49" s="260"/>
      <c r="F49" s="266"/>
      <c r="G49" s="260"/>
      <c r="H49" s="17"/>
      <c r="I49" s="11"/>
    </row>
    <row r="50" spans="1:9" ht="21" customHeight="1">
      <c r="A50" s="13"/>
      <c r="B50" s="6"/>
      <c r="C50" s="9"/>
      <c r="D50" s="259"/>
      <c r="E50" s="260"/>
      <c r="F50" s="266"/>
      <c r="G50" s="260"/>
      <c r="H50" s="17"/>
      <c r="I50" s="7"/>
    </row>
    <row r="51" spans="1:9" ht="21" customHeight="1">
      <c r="A51" s="14"/>
      <c r="B51" s="6"/>
      <c r="C51" s="3"/>
      <c r="D51" s="259"/>
      <c r="E51" s="260"/>
      <c r="F51" s="266"/>
      <c r="G51" s="260"/>
      <c r="H51" s="17"/>
      <c r="I51" s="7"/>
    </row>
    <row r="52" spans="1:9" ht="21" customHeight="1">
      <c r="A52" s="14"/>
      <c r="B52" s="6"/>
      <c r="C52" s="3"/>
      <c r="D52" s="259"/>
      <c r="E52" s="260"/>
      <c r="F52" s="266"/>
      <c r="G52" s="260"/>
      <c r="H52" s="17"/>
      <c r="I52" s="7"/>
    </row>
    <row r="53" spans="1:9" ht="21" customHeight="1">
      <c r="A53" s="15"/>
      <c r="B53" s="6"/>
      <c r="C53" s="3"/>
      <c r="D53" s="259"/>
      <c r="E53" s="260"/>
      <c r="F53" s="266"/>
      <c r="G53" s="260"/>
      <c r="H53" s="17"/>
      <c r="I53" s="7"/>
    </row>
    <row r="54" spans="1:9" ht="21" customHeight="1">
      <c r="A54" s="14"/>
      <c r="B54" s="6"/>
      <c r="C54" s="3"/>
      <c r="D54" s="259"/>
      <c r="E54" s="260"/>
      <c r="F54" s="266"/>
      <c r="G54" s="260"/>
      <c r="H54" s="17"/>
      <c r="I54" s="7"/>
    </row>
    <row r="55" spans="1:9" ht="21" customHeight="1">
      <c r="A55" s="14"/>
      <c r="B55" s="6"/>
      <c r="C55" s="3"/>
      <c r="D55" s="259"/>
      <c r="E55" s="260"/>
      <c r="F55" s="266"/>
      <c r="G55" s="260"/>
      <c r="H55" s="17"/>
      <c r="I55" s="7"/>
    </row>
    <row r="56" spans="1:9" ht="21" customHeight="1">
      <c r="A56" s="14"/>
      <c r="B56" s="6"/>
      <c r="C56" s="3"/>
      <c r="D56" s="259"/>
      <c r="E56" s="260"/>
      <c r="F56" s="266"/>
      <c r="G56" s="260"/>
      <c r="H56" s="1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1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1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1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1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1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1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1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1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5"/>
  <dimension ref="A1:O93"/>
  <sheetViews>
    <sheetView workbookViewId="0">
      <selection activeCell="I11" sqref="I11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1237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1238</v>
      </c>
      <c r="C3" s="263"/>
      <c r="D3" s="260"/>
      <c r="E3" s="266" t="s">
        <v>11</v>
      </c>
      <c r="F3" s="263"/>
      <c r="G3" s="260"/>
      <c r="H3" s="296" t="s">
        <v>674</v>
      </c>
      <c r="I3" s="269"/>
      <c r="J3" s="19" t="str">
        <f>B3</f>
        <v>Utraphen 37.5mg</v>
      </c>
      <c r="K3" s="34" t="s">
        <v>1239</v>
      </c>
      <c r="L3" s="5">
        <f>H7</f>
        <v>0</v>
      </c>
      <c r="M3" s="3">
        <f>SUM(C$8:C$1048576)</f>
        <v>80</v>
      </c>
      <c r="N3" s="3">
        <f>SUM(F:F)</f>
        <v>66</v>
      </c>
      <c r="O3" s="3">
        <f>L3+M3-N3</f>
        <v>14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316" t="s">
        <v>1103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266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0</v>
      </c>
      <c r="D7" s="280"/>
      <c r="E7" s="260"/>
      <c r="F7" s="280"/>
      <c r="G7" s="260"/>
      <c r="H7" s="155">
        <v>0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473</v>
      </c>
      <c r="B8" s="38" t="s">
        <v>324</v>
      </c>
      <c r="C8" s="7">
        <v>60</v>
      </c>
      <c r="D8" s="259" t="s">
        <v>1240</v>
      </c>
      <c r="E8" s="260"/>
      <c r="F8" s="279"/>
      <c r="G8" s="260"/>
      <c r="H8" s="38">
        <v>60</v>
      </c>
      <c r="I8" s="108" t="s">
        <v>437</v>
      </c>
      <c r="J8" s="12"/>
    </row>
    <row r="9" spans="1:15" ht="26.7" customHeight="1">
      <c r="A9" s="39" t="s">
        <v>525</v>
      </c>
      <c r="B9" s="38" t="s">
        <v>323</v>
      </c>
      <c r="C9" s="7"/>
      <c r="D9" s="259"/>
      <c r="E9" s="260"/>
      <c r="F9" s="279">
        <v>56</v>
      </c>
      <c r="G9" s="260"/>
      <c r="H9" s="38">
        <f>H8-F9</f>
        <v>4</v>
      </c>
      <c r="I9" s="26"/>
      <c r="J9" s="12"/>
    </row>
    <row r="10" spans="1:15" ht="26.7" customHeight="1">
      <c r="A10" s="39" t="s">
        <v>544</v>
      </c>
      <c r="B10" s="38" t="s">
        <v>324</v>
      </c>
      <c r="C10" s="7">
        <v>20</v>
      </c>
      <c r="D10" s="259" t="s">
        <v>1241</v>
      </c>
      <c r="E10" s="260"/>
      <c r="F10" s="279"/>
      <c r="G10" s="260"/>
      <c r="H10" s="38">
        <v>24</v>
      </c>
      <c r="I10" s="26" t="s">
        <v>437</v>
      </c>
      <c r="J10" s="12"/>
    </row>
    <row r="11" spans="1:15" ht="26.7" customHeight="1">
      <c r="A11" s="39" t="s">
        <v>508</v>
      </c>
      <c r="B11" s="38" t="s">
        <v>323</v>
      </c>
      <c r="C11" s="7"/>
      <c r="D11" s="259"/>
      <c r="E11" s="260"/>
      <c r="F11" s="279">
        <v>10</v>
      </c>
      <c r="G11" s="260"/>
      <c r="H11" s="38">
        <f>H10-F11</f>
        <v>14</v>
      </c>
      <c r="I11" s="26"/>
      <c r="J11" s="12"/>
    </row>
    <row r="12" spans="1:15" ht="26.7" customHeight="1">
      <c r="A12" s="39"/>
      <c r="B12" s="110"/>
      <c r="C12" s="7"/>
      <c r="D12" s="259"/>
      <c r="E12" s="260"/>
      <c r="F12" s="279"/>
      <c r="G12" s="260"/>
      <c r="H12" s="38"/>
      <c r="J12" s="12"/>
    </row>
    <row r="13" spans="1:15" ht="26.7" customHeight="1">
      <c r="A13" s="39"/>
      <c r="B13" s="38"/>
      <c r="C13" s="7"/>
      <c r="D13" s="259"/>
      <c r="E13" s="260"/>
      <c r="F13" s="279"/>
      <c r="G13" s="260"/>
      <c r="H13" s="38"/>
      <c r="I13" s="26"/>
      <c r="J13" s="12"/>
    </row>
    <row r="14" spans="1:15" ht="26.7" customHeight="1">
      <c r="A14" s="39"/>
      <c r="B14" s="38"/>
      <c r="C14" s="7"/>
      <c r="D14" s="259"/>
      <c r="E14" s="260"/>
      <c r="F14" s="279"/>
      <c r="G14" s="260"/>
      <c r="H14" s="38"/>
      <c r="I14" s="28"/>
      <c r="J14" s="12"/>
    </row>
    <row r="15" spans="1:15" ht="26.7" customHeight="1">
      <c r="A15" s="39"/>
      <c r="B15" s="38"/>
      <c r="C15" s="7"/>
      <c r="D15" s="259"/>
      <c r="E15" s="260"/>
      <c r="F15" s="279"/>
      <c r="G15" s="260"/>
      <c r="H15" s="38"/>
      <c r="I15" s="26"/>
      <c r="J15" s="12"/>
    </row>
    <row r="16" spans="1:15" ht="26.7" customHeight="1">
      <c r="A16" s="39"/>
      <c r="B16" s="38"/>
      <c r="C16" s="7"/>
      <c r="D16" s="259"/>
      <c r="E16" s="260"/>
      <c r="F16" s="279"/>
      <c r="G16" s="260"/>
      <c r="H16" s="38"/>
      <c r="I16" s="26" t="s">
        <v>437</v>
      </c>
      <c r="J16" s="12"/>
    </row>
    <row r="17" spans="1:10" ht="26.7" customHeight="1">
      <c r="A17" s="39"/>
      <c r="B17" s="38"/>
      <c r="C17" s="7"/>
      <c r="D17" s="259"/>
      <c r="E17" s="260"/>
      <c r="F17" s="279"/>
      <c r="G17" s="260"/>
      <c r="H17" s="38"/>
      <c r="I17" s="26"/>
      <c r="J17" s="12"/>
    </row>
    <row r="18" spans="1:10" ht="26.7" customHeight="1">
      <c r="A18" s="39"/>
      <c r="B18" s="38"/>
      <c r="C18" s="7"/>
      <c r="D18" s="259"/>
      <c r="E18" s="260"/>
      <c r="F18" s="279"/>
      <c r="G18" s="260"/>
      <c r="H18" s="38"/>
      <c r="I18" s="26"/>
      <c r="J18" s="12"/>
    </row>
    <row r="19" spans="1:10" ht="26.7" customHeight="1">
      <c r="A19" s="39"/>
      <c r="B19" s="38"/>
      <c r="C19" s="7"/>
      <c r="D19" s="259"/>
      <c r="E19" s="260"/>
      <c r="F19" s="279"/>
      <c r="G19" s="260"/>
      <c r="H19" s="38"/>
      <c r="I19" s="26"/>
      <c r="J19" s="12"/>
    </row>
    <row r="20" spans="1:10" ht="26.7" customHeight="1" thickBot="1">
      <c r="A20" s="39"/>
      <c r="B20" s="38"/>
      <c r="C20" s="31"/>
      <c r="D20" s="264"/>
      <c r="E20" s="265"/>
      <c r="F20" s="279"/>
      <c r="G20" s="260"/>
      <c r="H20" s="38"/>
      <c r="I20" s="32"/>
      <c r="J20" s="12"/>
    </row>
    <row r="21" spans="1:10" ht="63" customHeight="1">
      <c r="A21" s="39"/>
      <c r="B21" s="38"/>
      <c r="C21" s="22"/>
      <c r="D21" s="276"/>
      <c r="E21" s="277"/>
      <c r="F21" s="279"/>
      <c r="G21" s="260"/>
      <c r="H21" s="38"/>
      <c r="I21" s="22" t="s">
        <v>437</v>
      </c>
      <c r="J21" s="3"/>
    </row>
    <row r="22" spans="1:10" ht="21" customHeight="1">
      <c r="A22" s="39"/>
      <c r="B22" s="38"/>
      <c r="C22" s="7"/>
      <c r="D22" s="259"/>
      <c r="E22" s="260"/>
      <c r="F22" s="279"/>
      <c r="G22" s="260"/>
      <c r="H22" s="38"/>
      <c r="I22" s="7"/>
    </row>
    <row r="23" spans="1:10" ht="21" customHeight="1">
      <c r="A23" s="39"/>
      <c r="B23" s="38"/>
      <c r="C23" s="7"/>
      <c r="D23" s="259"/>
      <c r="E23" s="260"/>
      <c r="F23" s="279"/>
      <c r="G23" s="260"/>
      <c r="H23" s="38"/>
      <c r="I23" s="16"/>
    </row>
    <row r="24" spans="1:10" ht="21" customHeight="1">
      <c r="A24" s="39"/>
      <c r="B24" s="38"/>
      <c r="C24" s="7"/>
      <c r="D24" s="259"/>
      <c r="E24" s="260"/>
      <c r="F24" s="279"/>
      <c r="G24" s="260"/>
      <c r="H24" s="38"/>
      <c r="I24" s="109" t="s">
        <v>608</v>
      </c>
    </row>
    <row r="25" spans="1:10" ht="21" customHeight="1">
      <c r="A25" s="39"/>
      <c r="B25" s="38"/>
      <c r="C25" s="7"/>
      <c r="D25" s="259"/>
      <c r="E25" s="260"/>
      <c r="F25" s="279"/>
      <c r="G25" s="260"/>
      <c r="H25" s="38"/>
      <c r="I25" s="7"/>
    </row>
    <row r="26" spans="1:10" ht="21" customHeight="1">
      <c r="A26" s="39"/>
      <c r="B26" s="38"/>
      <c r="C26" s="3"/>
      <c r="D26" s="259"/>
      <c r="E26" s="260"/>
      <c r="F26" s="279"/>
      <c r="G26" s="260"/>
      <c r="H26" s="38"/>
      <c r="I26" s="16"/>
    </row>
    <row r="27" spans="1:10" ht="21" customHeight="1">
      <c r="A27" s="39"/>
      <c r="B27" s="38"/>
      <c r="C27" s="3"/>
      <c r="D27" s="259"/>
      <c r="E27" s="260"/>
      <c r="F27" s="279"/>
      <c r="G27" s="260"/>
      <c r="H27" s="38"/>
      <c r="I27" s="7"/>
    </row>
    <row r="28" spans="1:10" ht="21" customHeight="1">
      <c r="A28" s="39"/>
      <c r="B28" s="38"/>
      <c r="C28" s="3"/>
      <c r="D28" s="259"/>
      <c r="E28" s="260"/>
      <c r="F28" s="279"/>
      <c r="G28" s="260"/>
      <c r="H28" s="38"/>
      <c r="I28" s="7"/>
    </row>
    <row r="29" spans="1:10" ht="21" customHeight="1">
      <c r="A29" s="39"/>
      <c r="B29" s="38"/>
      <c r="C29" s="3"/>
      <c r="D29" s="259"/>
      <c r="E29" s="260"/>
      <c r="F29" s="279"/>
      <c r="G29" s="260"/>
      <c r="H29" s="38"/>
      <c r="I29" s="7"/>
    </row>
    <row r="30" spans="1:10" ht="21" customHeight="1">
      <c r="A30" s="39"/>
      <c r="B30" s="38"/>
      <c r="C30" s="3"/>
      <c r="D30" s="259"/>
      <c r="E30" s="260"/>
      <c r="F30" s="279"/>
      <c r="G30" s="260"/>
      <c r="H30" s="38"/>
      <c r="I30" s="7"/>
    </row>
    <row r="31" spans="1:10" ht="21" customHeight="1">
      <c r="A31" s="39"/>
      <c r="B31" s="38"/>
      <c r="C31" s="3"/>
      <c r="D31" s="259"/>
      <c r="E31" s="260"/>
      <c r="F31" s="279"/>
      <c r="G31" s="260"/>
      <c r="H31" s="38"/>
      <c r="I31" s="7"/>
    </row>
    <row r="32" spans="1:10" ht="21" customHeight="1">
      <c r="A32" s="39"/>
      <c r="B32" s="38"/>
      <c r="C32" s="3"/>
      <c r="D32" s="259"/>
      <c r="E32" s="260"/>
      <c r="F32" s="279"/>
      <c r="G32" s="260"/>
      <c r="H32" s="38"/>
      <c r="I32" s="7"/>
    </row>
    <row r="33" spans="1:9" ht="21" customHeight="1">
      <c r="A33" s="39"/>
      <c r="B33" s="38"/>
      <c r="C33" s="3"/>
      <c r="D33" s="259"/>
      <c r="E33" s="260"/>
      <c r="F33" s="279"/>
      <c r="G33" s="260"/>
      <c r="H33" s="38"/>
      <c r="I33" s="7"/>
    </row>
    <row r="34" spans="1:9" ht="21" customHeight="1">
      <c r="A34" s="39"/>
      <c r="B34" s="38"/>
      <c r="C34" s="3"/>
      <c r="D34" s="259"/>
      <c r="E34" s="260"/>
      <c r="F34" s="279"/>
      <c r="G34" s="260"/>
      <c r="H34" s="38"/>
      <c r="I34" s="7"/>
    </row>
    <row r="35" spans="1:9" ht="21" customHeight="1">
      <c r="A35" s="39"/>
      <c r="B35" s="38"/>
      <c r="C35" s="3"/>
      <c r="D35" s="259"/>
      <c r="E35" s="260"/>
      <c r="F35" s="279"/>
      <c r="G35" s="260"/>
      <c r="H35" s="38"/>
      <c r="I35" s="7"/>
    </row>
    <row r="36" spans="1:9" ht="21" customHeight="1">
      <c r="A36" s="39"/>
      <c r="B36" s="38"/>
      <c r="C36" s="3"/>
      <c r="D36" s="259"/>
      <c r="E36" s="260"/>
      <c r="F36" s="279"/>
      <c r="G36" s="260"/>
      <c r="H36" s="38"/>
      <c r="I36" s="7"/>
    </row>
    <row r="37" spans="1:9" ht="21" customHeight="1">
      <c r="A37" s="39"/>
      <c r="B37" s="38"/>
      <c r="C37" s="10"/>
      <c r="D37" s="259"/>
      <c r="E37" s="260"/>
      <c r="F37" s="279"/>
      <c r="G37" s="260"/>
      <c r="H37" s="38"/>
      <c r="I37" s="7"/>
    </row>
    <row r="38" spans="1:9" ht="21" customHeight="1">
      <c r="A38" s="39"/>
      <c r="B38" s="38"/>
      <c r="C38" s="10"/>
      <c r="D38" s="259"/>
      <c r="E38" s="260"/>
      <c r="F38" s="279"/>
      <c r="G38" s="260"/>
      <c r="H38" s="38"/>
      <c r="I38" s="11"/>
    </row>
    <row r="39" spans="1:9" ht="21" customHeight="1">
      <c r="A39" s="39"/>
      <c r="B39" s="38"/>
      <c r="C39" s="9"/>
      <c r="D39" s="259"/>
      <c r="E39" s="260"/>
      <c r="F39" s="279"/>
      <c r="G39" s="260"/>
      <c r="H39" s="38"/>
      <c r="I39" s="7"/>
    </row>
    <row r="40" spans="1:9" ht="21" customHeight="1">
      <c r="A40" s="39"/>
      <c r="B40" s="38"/>
      <c r="C40" s="3"/>
      <c r="D40" s="259"/>
      <c r="E40" s="260"/>
      <c r="F40" s="279"/>
      <c r="G40" s="260"/>
      <c r="H40" s="38"/>
      <c r="I40" s="7"/>
    </row>
    <row r="41" spans="1:9" ht="21" customHeight="1">
      <c r="A41" s="39"/>
      <c r="B41" s="38"/>
      <c r="C41" s="3"/>
      <c r="D41" s="259"/>
      <c r="E41" s="260"/>
      <c r="F41" s="279"/>
      <c r="G41" s="260"/>
      <c r="H41" s="38"/>
      <c r="I41" s="7"/>
    </row>
    <row r="42" spans="1:9" ht="21" customHeight="1">
      <c r="A42" s="39"/>
      <c r="B42" s="38"/>
      <c r="C42" s="3"/>
      <c r="D42" s="259"/>
      <c r="E42" s="260"/>
      <c r="F42" s="279"/>
      <c r="G42" s="260"/>
      <c r="H42" s="38"/>
      <c r="I42" s="7"/>
    </row>
    <row r="43" spans="1:9" ht="21" customHeight="1">
      <c r="A43" s="39"/>
      <c r="B43" s="38"/>
      <c r="C43" s="3"/>
      <c r="D43" s="259"/>
      <c r="E43" s="260"/>
      <c r="F43" s="279"/>
      <c r="G43" s="260"/>
      <c r="H43" s="38"/>
      <c r="I43" s="7"/>
    </row>
    <row r="44" spans="1:9" ht="21" customHeight="1">
      <c r="A44" s="39"/>
      <c r="B44" s="38"/>
      <c r="C44" s="3"/>
      <c r="D44" s="259"/>
      <c r="E44" s="260"/>
      <c r="F44" s="279"/>
      <c r="G44" s="260"/>
      <c r="H44" s="38"/>
      <c r="I44" s="7"/>
    </row>
    <row r="45" spans="1:9" ht="21" customHeight="1">
      <c r="A45" s="39"/>
      <c r="B45" s="38"/>
      <c r="C45" s="3"/>
      <c r="D45" s="259"/>
      <c r="E45" s="260"/>
      <c r="F45" s="279"/>
      <c r="G45" s="260"/>
      <c r="H45" s="38"/>
      <c r="I45" s="16"/>
    </row>
    <row r="46" spans="1:9" ht="21" customHeight="1">
      <c r="A46" s="39"/>
      <c r="B46" s="38"/>
      <c r="C46" s="3"/>
      <c r="D46" s="259"/>
      <c r="E46" s="260"/>
      <c r="F46" s="279"/>
      <c r="G46" s="260"/>
      <c r="H46" s="38"/>
      <c r="I46" s="7"/>
    </row>
    <row r="47" spans="1:9" ht="21" customHeight="1">
      <c r="A47" s="39"/>
      <c r="B47" s="38"/>
      <c r="C47" s="3"/>
      <c r="D47" s="259"/>
      <c r="E47" s="260"/>
      <c r="F47" s="279"/>
      <c r="G47" s="260"/>
      <c r="H47" s="38"/>
      <c r="I47" s="7"/>
    </row>
    <row r="48" spans="1:9" ht="21" customHeight="1">
      <c r="A48" s="39"/>
      <c r="B48" s="38"/>
      <c r="C48" s="3"/>
      <c r="D48" s="259"/>
      <c r="E48" s="260"/>
      <c r="F48" s="279"/>
      <c r="G48" s="260"/>
      <c r="H48" s="38"/>
      <c r="I48" s="7"/>
    </row>
    <row r="49" spans="1:9" ht="21" customHeight="1">
      <c r="A49" s="39"/>
      <c r="B49" s="38"/>
      <c r="C49" s="3"/>
      <c r="D49" s="259"/>
      <c r="E49" s="260"/>
      <c r="F49" s="279"/>
      <c r="G49" s="260"/>
      <c r="H49" s="38"/>
      <c r="I49" s="7"/>
    </row>
    <row r="50" spans="1:9" ht="21" customHeight="1">
      <c r="A50" s="39"/>
      <c r="B50" s="38"/>
      <c r="C50" s="9"/>
      <c r="D50" s="259"/>
      <c r="E50" s="260"/>
      <c r="F50" s="279"/>
      <c r="G50" s="260"/>
      <c r="H50" s="38"/>
      <c r="I50" s="7"/>
    </row>
    <row r="51" spans="1:9" ht="21" customHeight="1">
      <c r="A51" s="39"/>
      <c r="B51" s="38"/>
      <c r="C51" s="3"/>
      <c r="D51" s="259"/>
      <c r="E51" s="260"/>
      <c r="F51" s="279"/>
      <c r="G51" s="260"/>
      <c r="H51" s="38"/>
      <c r="I51" s="7"/>
    </row>
    <row r="52" spans="1:9" ht="21" customHeight="1">
      <c r="A52" s="39"/>
      <c r="B52" s="38"/>
      <c r="C52" s="3"/>
      <c r="D52" s="259"/>
      <c r="E52" s="260"/>
      <c r="F52" s="279"/>
      <c r="G52" s="260"/>
      <c r="H52" s="38"/>
      <c r="I52" s="7"/>
    </row>
    <row r="53" spans="1:9" ht="21" customHeight="1">
      <c r="A53" s="39"/>
      <c r="B53" s="38"/>
      <c r="C53" s="3"/>
      <c r="D53" s="259"/>
      <c r="E53" s="260"/>
      <c r="F53" s="279"/>
      <c r="G53" s="260"/>
      <c r="H53" s="38"/>
      <c r="I53" s="7"/>
    </row>
    <row r="54" spans="1:9" ht="21" customHeight="1">
      <c r="A54" s="39"/>
      <c r="B54" s="38"/>
      <c r="C54" s="3"/>
      <c r="D54" s="259"/>
      <c r="E54" s="260"/>
      <c r="F54" s="279"/>
      <c r="G54" s="260"/>
      <c r="H54" s="38"/>
      <c r="I54" s="7"/>
    </row>
    <row r="55" spans="1:9" ht="21" customHeight="1">
      <c r="A55" s="39"/>
      <c r="B55" s="38"/>
      <c r="C55" s="3"/>
      <c r="D55" s="259"/>
      <c r="E55" s="260"/>
      <c r="F55" s="279"/>
      <c r="G55" s="260"/>
      <c r="H55" s="38"/>
      <c r="I55" s="7"/>
    </row>
    <row r="56" spans="1:9" ht="21" customHeight="1">
      <c r="A56" s="39"/>
      <c r="B56" s="38"/>
      <c r="C56" s="3"/>
      <c r="D56" s="259"/>
      <c r="E56" s="260"/>
      <c r="F56" s="279"/>
      <c r="G56" s="260"/>
      <c r="H56" s="38"/>
      <c r="I56" s="7"/>
    </row>
    <row r="57" spans="1:9" ht="21" customHeight="1">
      <c r="A57" s="39"/>
      <c r="B57" s="38"/>
      <c r="C57" s="3"/>
      <c r="D57" s="259"/>
      <c r="E57" s="260"/>
      <c r="F57" s="279"/>
      <c r="G57" s="260"/>
      <c r="H57" s="38"/>
      <c r="I57" s="7"/>
    </row>
    <row r="58" spans="1:9" ht="21" customHeight="1">
      <c r="A58" s="39"/>
      <c r="B58" s="38"/>
      <c r="C58" s="3"/>
      <c r="D58" s="259"/>
      <c r="E58" s="260"/>
      <c r="F58" s="279"/>
      <c r="G58" s="260"/>
      <c r="H58" s="38"/>
      <c r="I58" s="7"/>
    </row>
    <row r="59" spans="1:9" ht="21" customHeight="1">
      <c r="A59" s="39"/>
      <c r="B59" s="38"/>
      <c r="C59" s="3"/>
      <c r="D59" s="259"/>
      <c r="E59" s="260"/>
      <c r="F59" s="279"/>
      <c r="G59" s="260"/>
      <c r="H59" s="38"/>
      <c r="I59" s="7"/>
    </row>
    <row r="60" spans="1:9" ht="21" customHeight="1">
      <c r="A60" s="39"/>
      <c r="B60" s="38"/>
      <c r="C60" s="3"/>
      <c r="D60" s="259"/>
      <c r="E60" s="260"/>
      <c r="F60" s="279"/>
      <c r="G60" s="260"/>
      <c r="H60" s="38"/>
      <c r="I60" s="7"/>
    </row>
    <row r="61" spans="1:9" ht="21" customHeight="1">
      <c r="A61" s="39"/>
      <c r="B61" s="38"/>
      <c r="C61" s="3"/>
      <c r="D61" s="259"/>
      <c r="E61" s="260"/>
      <c r="F61" s="279"/>
      <c r="G61" s="260"/>
      <c r="H61" s="38"/>
      <c r="I61" s="7"/>
    </row>
    <row r="62" spans="1:9" ht="21" customHeight="1">
      <c r="A62" s="39"/>
      <c r="B62" s="38"/>
      <c r="C62" s="3"/>
      <c r="D62" s="259"/>
      <c r="E62" s="260"/>
      <c r="F62" s="279"/>
      <c r="G62" s="260"/>
      <c r="H62" s="38"/>
      <c r="I62" s="7"/>
    </row>
    <row r="63" spans="1:9" ht="21" customHeight="1">
      <c r="A63" s="39"/>
      <c r="B63" s="38"/>
      <c r="C63" s="3"/>
      <c r="D63" s="259"/>
      <c r="E63" s="260"/>
      <c r="F63" s="279"/>
      <c r="G63" s="260"/>
      <c r="H63" s="38"/>
      <c r="I63" s="7"/>
    </row>
    <row r="64" spans="1:9" ht="21" customHeight="1">
      <c r="A64" s="39"/>
      <c r="B64" s="38"/>
      <c r="C64" s="3"/>
      <c r="D64" s="259"/>
      <c r="E64" s="260"/>
      <c r="F64" s="279"/>
      <c r="G64" s="260"/>
      <c r="H64" s="38"/>
      <c r="I64" s="7"/>
    </row>
    <row r="65" spans="1:9" ht="21" customHeight="1">
      <c r="A65" s="39"/>
      <c r="B65" s="38"/>
      <c r="C65" s="3"/>
      <c r="D65" s="259"/>
      <c r="E65" s="260"/>
      <c r="F65" s="279"/>
      <c r="G65" s="260"/>
      <c r="H65" s="38"/>
      <c r="I65" s="7"/>
    </row>
    <row r="66" spans="1:9" ht="21" customHeight="1">
      <c r="A66" s="39"/>
      <c r="B66" s="38"/>
      <c r="C66" s="3"/>
      <c r="D66" s="259"/>
      <c r="E66" s="260"/>
      <c r="F66" s="279"/>
      <c r="G66" s="260"/>
      <c r="H66" s="7"/>
      <c r="I66" s="7"/>
    </row>
    <row r="67" spans="1:9" ht="21" customHeight="1">
      <c r="A67" s="39"/>
      <c r="B67" s="38"/>
      <c r="C67" s="3"/>
      <c r="D67" s="259"/>
      <c r="E67" s="260"/>
      <c r="F67" s="279"/>
      <c r="G67" s="260"/>
      <c r="H67" s="7"/>
      <c r="I67" s="7"/>
    </row>
    <row r="68" spans="1:9" ht="21" customHeight="1">
      <c r="A68" s="39"/>
      <c r="B68" s="6"/>
      <c r="C68" s="3"/>
      <c r="D68" s="259"/>
      <c r="E68" s="260"/>
      <c r="F68" s="279"/>
      <c r="G68" s="260"/>
      <c r="H68" s="7"/>
      <c r="I68" s="7"/>
    </row>
    <row r="69" spans="1:9" ht="21" customHeight="1">
      <c r="A69" s="39"/>
      <c r="B69" s="6"/>
      <c r="C69" s="3"/>
      <c r="D69" s="259"/>
      <c r="E69" s="260"/>
      <c r="F69" s="279"/>
      <c r="G69" s="260"/>
      <c r="H69" s="7"/>
      <c r="I69" s="7"/>
    </row>
    <row r="70" spans="1:9" ht="21" customHeight="1">
      <c r="A70" s="39"/>
      <c r="B70" s="6"/>
      <c r="C70" s="3"/>
      <c r="D70" s="259"/>
      <c r="E70" s="260"/>
      <c r="F70" s="279"/>
      <c r="G70" s="260"/>
      <c r="H70" s="7"/>
      <c r="I70" s="7"/>
    </row>
    <row r="71" spans="1:9" ht="21" customHeight="1">
      <c r="A71" s="39"/>
      <c r="B71" s="8"/>
      <c r="C71" s="9"/>
      <c r="D71" s="259"/>
      <c r="E71" s="260"/>
      <c r="F71" s="279"/>
      <c r="G71" s="260"/>
      <c r="H71" s="7"/>
      <c r="I71" s="7"/>
    </row>
    <row r="72" spans="1:9" ht="21" customHeight="1">
      <c r="A72" s="39"/>
      <c r="B72" s="6"/>
      <c r="C72" s="3"/>
      <c r="D72" s="259"/>
      <c r="E72" s="260"/>
      <c r="F72" s="279"/>
      <c r="G72" s="260"/>
      <c r="H72" s="7"/>
      <c r="I72" s="7"/>
    </row>
    <row r="73" spans="1:9" ht="21" customHeight="1">
      <c r="A73" s="39"/>
      <c r="B73" s="8"/>
      <c r="C73" s="9"/>
      <c r="D73" s="259"/>
      <c r="E73" s="260"/>
      <c r="F73" s="279"/>
      <c r="G73" s="260"/>
      <c r="H73" s="7"/>
      <c r="I73" s="11"/>
    </row>
    <row r="74" spans="1:9" ht="21" customHeight="1">
      <c r="A74" s="39"/>
      <c r="B74" s="6"/>
      <c r="C74" s="3"/>
      <c r="D74" s="259"/>
      <c r="E74" s="260"/>
      <c r="F74" s="279"/>
      <c r="G74" s="260"/>
      <c r="H74" s="7"/>
      <c r="I74" s="7"/>
    </row>
    <row r="75" spans="1:9" ht="21" customHeight="1">
      <c r="A75" s="39"/>
      <c r="B75" s="6"/>
      <c r="C75" s="9"/>
      <c r="D75" s="259"/>
      <c r="E75" s="260"/>
      <c r="F75" s="279"/>
      <c r="G75" s="260"/>
      <c r="H75" s="7"/>
      <c r="I75" s="7"/>
    </row>
    <row r="76" spans="1:9" ht="21" customHeight="1">
      <c r="A76" s="39"/>
      <c r="B76" s="6"/>
      <c r="C76" s="3"/>
      <c r="D76" s="259"/>
      <c r="E76" s="260"/>
      <c r="F76" s="279"/>
      <c r="G76" s="260"/>
      <c r="H76" s="7"/>
      <c r="I76" s="7"/>
    </row>
    <row r="77" spans="1:9" ht="21" customHeight="1">
      <c r="A77" s="39"/>
      <c r="B77" s="6"/>
      <c r="C77" s="3"/>
      <c r="D77" s="259"/>
      <c r="E77" s="260"/>
      <c r="F77" s="279"/>
      <c r="G77" s="260"/>
      <c r="H77" s="7"/>
      <c r="I77" s="7"/>
    </row>
    <row r="78" spans="1:9" ht="21" customHeight="1">
      <c r="A78" s="39"/>
      <c r="B78" s="6"/>
      <c r="C78" s="3"/>
      <c r="D78" s="259"/>
      <c r="E78" s="260"/>
      <c r="F78" s="279"/>
      <c r="G78" s="260"/>
      <c r="H78" s="7"/>
      <c r="I78" s="7"/>
    </row>
    <row r="79" spans="1:9" ht="21" customHeight="1">
      <c r="A79" s="39"/>
      <c r="B79" s="6"/>
      <c r="C79" s="3"/>
      <c r="D79" s="259"/>
      <c r="E79" s="260"/>
      <c r="F79" s="279"/>
      <c r="G79" s="260"/>
      <c r="H79" s="7"/>
      <c r="I79" s="7"/>
    </row>
    <row r="80" spans="1:9" ht="21" customHeight="1">
      <c r="A80" s="39"/>
      <c r="B80" s="6"/>
      <c r="C80" s="3"/>
      <c r="D80" s="259"/>
      <c r="E80" s="260"/>
      <c r="F80" s="279"/>
      <c r="G80" s="260"/>
      <c r="H80" s="7"/>
      <c r="I80" s="7"/>
    </row>
    <row r="81" spans="1:9" ht="21" customHeight="1">
      <c r="A81" s="39"/>
      <c r="B81" s="6"/>
      <c r="C81" s="3"/>
      <c r="D81" s="259"/>
      <c r="E81" s="260"/>
      <c r="F81" s="279"/>
      <c r="G81" s="260"/>
      <c r="H81" s="7"/>
      <c r="I81" s="7"/>
    </row>
    <row r="82" spans="1:9" ht="21" customHeight="1">
      <c r="A82" s="39"/>
      <c r="B82" s="6"/>
      <c r="C82" s="3"/>
      <c r="D82" s="259"/>
      <c r="E82" s="260"/>
      <c r="F82" s="279"/>
      <c r="G82" s="260"/>
      <c r="H82" s="7"/>
      <c r="I82" s="7"/>
    </row>
    <row r="83" spans="1:9" ht="21" customHeight="1">
      <c r="A83" s="39"/>
      <c r="B83" s="6"/>
      <c r="C83" s="3"/>
      <c r="D83" s="259"/>
      <c r="E83" s="260"/>
      <c r="F83" s="279"/>
      <c r="G83" s="260"/>
      <c r="H83" s="7"/>
      <c r="I83" s="7"/>
    </row>
    <row r="84" spans="1:9" ht="21" customHeight="1">
      <c r="A84" s="39"/>
      <c r="B84" s="6"/>
      <c r="C84" s="3"/>
      <c r="D84" s="259"/>
      <c r="E84" s="260"/>
      <c r="F84" s="279"/>
      <c r="G84" s="260"/>
      <c r="H84" s="7"/>
      <c r="I84" s="7"/>
    </row>
    <row r="85" spans="1:9" ht="21" customHeight="1">
      <c r="A85" s="39"/>
      <c r="B85" s="6"/>
      <c r="C85" s="3"/>
      <c r="D85" s="259"/>
      <c r="E85" s="260"/>
      <c r="F85" s="279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79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79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79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79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79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79"/>
      <c r="G91" s="260"/>
      <c r="H91" s="7"/>
      <c r="I91" s="7"/>
    </row>
    <row r="92" spans="1:9" ht="21" customHeight="1">
      <c r="A92" s="14"/>
      <c r="B92" s="6"/>
      <c r="C92" s="9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</sheetData>
  <mergeCells count="186">
    <mergeCell ref="F90:G90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91:E91"/>
    <mergeCell ref="F8:G8"/>
    <mergeCell ref="F91:G91"/>
    <mergeCell ref="A5:B5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9:E69"/>
    <mergeCell ref="F69:G69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8:G78"/>
    <mergeCell ref="F65:G65"/>
    <mergeCell ref="D80:E80"/>
    <mergeCell ref="D87:E87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E4:G4"/>
    <mergeCell ref="F11:G11"/>
    <mergeCell ref="D46:E46"/>
    <mergeCell ref="H4:I4"/>
    <mergeCell ref="D40:E40"/>
    <mergeCell ref="D90:E90"/>
    <mergeCell ref="F19:G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66:E66"/>
    <mergeCell ref="F66:G66"/>
    <mergeCell ref="D75:E75"/>
    <mergeCell ref="F17:G17"/>
    <mergeCell ref="D53:E53"/>
    <mergeCell ref="F75:G75"/>
    <mergeCell ref="D47:E47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34:E34"/>
    <mergeCell ref="F47:G47"/>
    <mergeCell ref="F62:G62"/>
    <mergeCell ref="D37:E37"/>
    <mergeCell ref="F31:G31"/>
    <mergeCell ref="F46:G46"/>
    <mergeCell ref="F28:G28"/>
    <mergeCell ref="F40:G40"/>
    <mergeCell ref="D21:E21"/>
    <mergeCell ref="F59:G59"/>
    <mergeCell ref="F55:G55"/>
    <mergeCell ref="F12:G12"/>
    <mergeCell ref="F24:G24"/>
    <mergeCell ref="D57:E57"/>
    <mergeCell ref="B4:D4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51:E51"/>
    <mergeCell ref="D9:E9"/>
    <mergeCell ref="F9:G9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23:G23"/>
    <mergeCell ref="F81:G81"/>
    <mergeCell ref="D73:E7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6"/>
  <dimension ref="A1:O104"/>
  <sheetViews>
    <sheetView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1242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1243</v>
      </c>
      <c r="C3" s="263"/>
      <c r="D3" s="260"/>
      <c r="E3" s="266" t="s">
        <v>11</v>
      </c>
      <c r="F3" s="263"/>
      <c r="G3" s="260"/>
      <c r="H3" s="268" t="s">
        <v>617</v>
      </c>
      <c r="I3" s="269"/>
      <c r="J3" s="19" t="str">
        <f>B3</f>
        <v>Bromazin 3mg</v>
      </c>
      <c r="K3" s="34" t="s">
        <v>1244</v>
      </c>
      <c r="L3" s="5">
        <f>H7</f>
        <v>2</v>
      </c>
      <c r="M3" s="3">
        <f>SUM(C$8:C$1048576)</f>
        <v>0</v>
      </c>
      <c r="N3" s="3">
        <f>SUM(F:F)</f>
        <v>0</v>
      </c>
      <c r="O3" s="3">
        <f>L3+M3-N3</f>
        <v>2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316" t="s">
        <v>612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78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211">
        <v>2</v>
      </c>
      <c r="D7" s="280"/>
      <c r="E7" s="260"/>
      <c r="F7" s="280"/>
      <c r="G7" s="260"/>
      <c r="H7" s="155">
        <v>2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7"/>
      <c r="D8" s="259"/>
      <c r="E8" s="260"/>
      <c r="F8" s="261"/>
      <c r="G8" s="260"/>
      <c r="H8" s="38"/>
      <c r="I8" s="26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7"/>
      <c r="D9" s="259"/>
      <c r="E9" s="260"/>
      <c r="F9" s="261"/>
      <c r="G9" s="260"/>
      <c r="H9" s="38"/>
      <c r="I9" s="26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7"/>
      <c r="D10" s="259"/>
      <c r="E10" s="260"/>
      <c r="F10" s="261"/>
      <c r="G10" s="260"/>
      <c r="H10" s="38"/>
      <c r="I10" s="90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7"/>
      <c r="D11" s="259"/>
      <c r="E11" s="260"/>
      <c r="F11" s="261"/>
      <c r="G11" s="260"/>
      <c r="H11" s="38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27:G27"/>
    <mergeCell ref="F58:G58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F61:G61"/>
    <mergeCell ref="D39:E39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99:G99"/>
    <mergeCell ref="F6:G6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25:G25"/>
    <mergeCell ref="F103:G103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7"/>
  <dimension ref="A1:N104"/>
  <sheetViews>
    <sheetView workbookViewId="0">
      <selection activeCell="H9" sqref="H9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11" style="246" customWidth="1"/>
    <col min="6" max="6" width="15.109375" style="246" customWidth="1"/>
    <col min="7" max="7" width="11.77734375" style="246" customWidth="1"/>
    <col min="8" max="8" width="16.77734375" style="246" customWidth="1"/>
    <col min="9" max="9" width="16" style="246" bestFit="1" customWidth="1"/>
  </cols>
  <sheetData>
    <row r="1" spans="1:14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1"/>
      <c r="J1" s="1"/>
      <c r="K1" s="1"/>
      <c r="L1" s="1"/>
      <c r="M1" s="1"/>
      <c r="N1" s="1"/>
    </row>
    <row r="2" spans="1:14" ht="34.5" customHeight="1">
      <c r="A2" s="33" t="s">
        <v>1245</v>
      </c>
      <c r="B2" s="273" t="s">
        <v>2</v>
      </c>
      <c r="C2" s="274"/>
      <c r="D2" s="274"/>
      <c r="E2" s="274"/>
      <c r="F2" s="274"/>
      <c r="G2" s="274"/>
      <c r="H2" s="275"/>
      <c r="I2" s="18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</row>
    <row r="3" spans="1:14" ht="27.45" customHeight="1">
      <c r="A3" s="23" t="s">
        <v>9</v>
      </c>
      <c r="B3" s="266" t="s">
        <v>1246</v>
      </c>
      <c r="C3" s="263"/>
      <c r="D3" s="260"/>
      <c r="E3" s="325" t="s">
        <v>11</v>
      </c>
      <c r="F3" s="263"/>
      <c r="G3" s="268" t="s">
        <v>1154</v>
      </c>
      <c r="H3" s="269"/>
      <c r="I3" s="19" t="str">
        <f>B3</f>
        <v>Anxicam 2mg</v>
      </c>
      <c r="J3" s="34"/>
      <c r="K3" s="5">
        <f>G7</f>
        <v>22</v>
      </c>
      <c r="L3" s="3">
        <f>SUM(C:C)</f>
        <v>122</v>
      </c>
      <c r="M3" s="3">
        <f>SUM(F:F)</f>
        <v>90</v>
      </c>
      <c r="N3" s="3">
        <f>L3-M3</f>
        <v>32</v>
      </c>
    </row>
    <row r="4" spans="1:14" ht="27.45" customHeight="1">
      <c r="A4" s="23" t="s">
        <v>14</v>
      </c>
      <c r="B4" s="266" t="s">
        <v>15</v>
      </c>
      <c r="C4" s="263"/>
      <c r="D4" s="260"/>
      <c r="E4" s="325" t="s">
        <v>16</v>
      </c>
      <c r="F4" s="263"/>
      <c r="G4" s="316" t="s">
        <v>1165</v>
      </c>
      <c r="H4" s="269"/>
      <c r="I4" s="12"/>
      <c r="J4" s="3"/>
      <c r="K4" s="3"/>
      <c r="L4" s="3"/>
      <c r="M4" s="3"/>
      <c r="N4" s="3"/>
    </row>
    <row r="5" spans="1:14" ht="24.75" customHeight="1">
      <c r="A5" s="272" t="s">
        <v>18</v>
      </c>
      <c r="B5" s="260"/>
      <c r="C5" s="326" t="s">
        <v>66</v>
      </c>
      <c r="D5" s="263"/>
      <c r="E5" s="263"/>
      <c r="F5" s="263"/>
      <c r="G5" s="17" t="s">
        <v>20</v>
      </c>
      <c r="H5" s="24" t="s">
        <v>21</v>
      </c>
      <c r="I5" s="12"/>
      <c r="J5" s="3"/>
      <c r="K5" s="3"/>
      <c r="L5" s="3"/>
      <c r="M5" s="3"/>
      <c r="N5" s="3"/>
    </row>
    <row r="6" spans="1:14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136" t="s">
        <v>26</v>
      </c>
      <c r="G6" s="17" t="s">
        <v>27</v>
      </c>
      <c r="H6" s="24" t="s">
        <v>28</v>
      </c>
      <c r="I6" s="12"/>
      <c r="J6" s="3"/>
      <c r="K6" s="3"/>
      <c r="L6" s="3"/>
      <c r="M6" s="3"/>
      <c r="N6" s="3"/>
    </row>
    <row r="7" spans="1:14" ht="25.5" customHeight="1">
      <c r="A7" s="39" t="s">
        <v>29</v>
      </c>
      <c r="B7" s="38" t="s">
        <v>5</v>
      </c>
      <c r="C7" s="38">
        <v>22</v>
      </c>
      <c r="D7" s="279"/>
      <c r="E7" s="260"/>
      <c r="F7" s="38"/>
      <c r="G7" s="38">
        <v>22</v>
      </c>
      <c r="H7" s="37"/>
      <c r="J7" s="3"/>
      <c r="K7" s="3"/>
      <c r="L7" s="3"/>
      <c r="M7" s="3"/>
      <c r="N7" s="3"/>
    </row>
    <row r="8" spans="1:14" ht="26.7" customHeight="1">
      <c r="A8" s="39" t="s">
        <v>577</v>
      </c>
      <c r="B8" s="148" t="s">
        <v>323</v>
      </c>
      <c r="C8" s="38"/>
      <c r="D8" s="279"/>
      <c r="E8" s="260"/>
      <c r="F8" s="38">
        <v>30</v>
      </c>
      <c r="G8" s="38">
        <f>G7-F8</f>
        <v>-8</v>
      </c>
      <c r="H8" s="26"/>
      <c r="I8" s="12"/>
      <c r="J8" s="3"/>
      <c r="K8" s="3"/>
      <c r="L8" s="3"/>
      <c r="M8" s="3"/>
      <c r="N8" s="3"/>
    </row>
    <row r="9" spans="1:14" ht="26.7" customHeight="1">
      <c r="A9" s="39" t="s">
        <v>577</v>
      </c>
      <c r="B9" s="148" t="s">
        <v>324</v>
      </c>
      <c r="C9" s="38">
        <v>100</v>
      </c>
      <c r="D9" s="279" t="s">
        <v>1247</v>
      </c>
      <c r="E9" s="260"/>
      <c r="F9" s="38"/>
      <c r="G9" s="38">
        <v>92</v>
      </c>
      <c r="H9" s="108" t="s">
        <v>437</v>
      </c>
      <c r="I9" s="12"/>
      <c r="J9" s="3"/>
      <c r="K9" s="3"/>
      <c r="L9" s="3"/>
      <c r="M9" s="3"/>
      <c r="N9" s="3"/>
    </row>
    <row r="10" spans="1:14" ht="26.7" customHeight="1">
      <c r="A10" s="39" t="s">
        <v>351</v>
      </c>
      <c r="B10" s="38" t="s">
        <v>323</v>
      </c>
      <c r="C10" s="38"/>
      <c r="D10" s="279"/>
      <c r="E10" s="260"/>
      <c r="F10" s="38">
        <v>30</v>
      </c>
      <c r="G10" s="38">
        <f>G9-F10</f>
        <v>62</v>
      </c>
      <c r="H10" s="108"/>
      <c r="I10" s="12"/>
      <c r="J10" s="3"/>
      <c r="K10" s="3"/>
      <c r="L10" s="3"/>
      <c r="M10" s="3"/>
      <c r="N10" s="3"/>
    </row>
    <row r="11" spans="1:14" ht="26.7" customHeight="1">
      <c r="A11" s="39" t="s">
        <v>357</v>
      </c>
      <c r="B11" s="148" t="s">
        <v>323</v>
      </c>
      <c r="C11" s="38"/>
      <c r="D11" s="279"/>
      <c r="E11" s="260"/>
      <c r="F11" s="38">
        <v>30</v>
      </c>
      <c r="G11" s="38">
        <f>G10-F11</f>
        <v>32</v>
      </c>
      <c r="H11" s="108"/>
      <c r="I11" s="12"/>
      <c r="J11" s="3"/>
      <c r="K11" s="3"/>
      <c r="L11" s="3"/>
      <c r="M11" s="3"/>
      <c r="N11" s="3"/>
    </row>
    <row r="12" spans="1:14" ht="26.7" customHeight="1">
      <c r="A12" s="39"/>
      <c r="B12" s="38"/>
      <c r="C12" s="38"/>
      <c r="D12" s="279"/>
      <c r="E12" s="260"/>
      <c r="F12" s="38"/>
      <c r="G12" s="38"/>
      <c r="H12" s="108"/>
      <c r="I12" s="12"/>
      <c r="J12" s="3"/>
      <c r="K12" s="3"/>
      <c r="L12" s="3"/>
      <c r="M12" s="3"/>
      <c r="N12" s="3"/>
    </row>
    <row r="13" spans="1:14" ht="26.7" customHeight="1">
      <c r="A13" s="39"/>
      <c r="B13" s="148"/>
      <c r="C13" s="38"/>
      <c r="D13" s="279"/>
      <c r="E13" s="260"/>
      <c r="F13" s="38"/>
      <c r="G13" s="38"/>
      <c r="H13" s="108"/>
      <c r="I13" s="12"/>
      <c r="J13" s="3"/>
      <c r="K13" s="3"/>
      <c r="L13" s="3"/>
      <c r="M13" s="3"/>
      <c r="N13" s="3"/>
    </row>
    <row r="14" spans="1:14" ht="26.7" customHeight="1">
      <c r="A14" s="39"/>
      <c r="B14" s="148"/>
      <c r="C14" s="38"/>
      <c r="D14" s="279"/>
      <c r="E14" s="260"/>
      <c r="F14" s="38"/>
      <c r="G14" s="38"/>
      <c r="H14" s="108"/>
      <c r="I14" s="12"/>
      <c r="J14" s="3"/>
      <c r="K14" s="3"/>
      <c r="L14" s="3"/>
      <c r="M14" s="3"/>
      <c r="N14" s="3"/>
    </row>
    <row r="15" spans="1:14" ht="26.7" customHeight="1">
      <c r="A15" s="39"/>
      <c r="B15" s="148"/>
      <c r="C15" s="38"/>
      <c r="D15" s="279"/>
      <c r="E15" s="260"/>
      <c r="F15" s="38"/>
      <c r="G15" s="38"/>
      <c r="H15" s="108"/>
      <c r="I15" s="12"/>
      <c r="J15" s="3"/>
      <c r="K15" s="3"/>
      <c r="L15" s="3"/>
      <c r="M15" s="3"/>
      <c r="N15" s="3"/>
    </row>
    <row r="16" spans="1:14" ht="26.7" customHeight="1">
      <c r="A16" s="39"/>
      <c r="B16" s="38"/>
      <c r="C16" s="38"/>
      <c r="D16" s="279"/>
      <c r="E16" s="260"/>
      <c r="F16" s="38"/>
      <c r="G16" s="38"/>
      <c r="H16" s="108"/>
      <c r="I16" s="12"/>
      <c r="J16" s="3"/>
      <c r="K16" s="3"/>
      <c r="L16" s="3"/>
      <c r="M16" s="3"/>
      <c r="N16" s="3"/>
    </row>
    <row r="17" spans="1:9" ht="26.7" customHeight="1">
      <c r="A17" s="39"/>
      <c r="B17" s="38"/>
      <c r="C17" s="38"/>
      <c r="D17" s="279"/>
      <c r="E17" s="260"/>
      <c r="F17" s="38"/>
      <c r="G17" s="38"/>
      <c r="H17" s="108"/>
      <c r="I17" s="12"/>
    </row>
    <row r="18" spans="1:9" ht="26.7" customHeight="1">
      <c r="A18" s="39"/>
      <c r="B18" s="38"/>
      <c r="C18" s="38"/>
      <c r="D18" s="279"/>
      <c r="E18" s="260"/>
      <c r="F18" s="38"/>
      <c r="G18" s="38"/>
      <c r="H18" s="108"/>
      <c r="I18" s="12"/>
    </row>
    <row r="19" spans="1:9" ht="26.7" customHeight="1">
      <c r="A19" s="39"/>
      <c r="B19" s="38"/>
      <c r="C19" s="38"/>
      <c r="D19" s="279"/>
      <c r="E19" s="260"/>
      <c r="F19" s="38"/>
      <c r="G19" s="38"/>
      <c r="H19" s="108"/>
      <c r="I19" s="12"/>
    </row>
    <row r="20" spans="1:9" ht="26.7" customHeight="1">
      <c r="A20" s="39"/>
      <c r="B20" s="38"/>
      <c r="C20" s="38"/>
      <c r="D20" s="279"/>
      <c r="E20" s="260"/>
      <c r="F20" s="38"/>
      <c r="G20" s="38"/>
      <c r="H20" s="108"/>
      <c r="I20" s="12"/>
    </row>
    <row r="21" spans="1:9" ht="26.7" customHeight="1">
      <c r="A21" s="39"/>
      <c r="B21" s="6"/>
      <c r="C21" s="7"/>
      <c r="D21" s="259"/>
      <c r="E21" s="260"/>
      <c r="F21" s="11"/>
      <c r="G21" s="38"/>
      <c r="H21" s="26"/>
      <c r="I21" s="12"/>
    </row>
    <row r="22" spans="1:9" ht="26.7" customHeight="1">
      <c r="A22" s="39"/>
      <c r="B22" s="6"/>
      <c r="C22" s="7"/>
      <c r="D22" s="259"/>
      <c r="E22" s="260"/>
      <c r="F22" s="11"/>
      <c r="G22" s="38"/>
      <c r="H22" s="26"/>
      <c r="I22" s="12"/>
    </row>
    <row r="23" spans="1:9" ht="26.7" customHeight="1">
      <c r="A23" s="39"/>
      <c r="B23" s="38"/>
      <c r="C23" s="7"/>
      <c r="D23" s="259"/>
      <c r="E23" s="260"/>
      <c r="F23" s="38"/>
      <c r="G23" s="38"/>
      <c r="H23" s="26"/>
      <c r="I23" s="12"/>
    </row>
    <row r="24" spans="1:9" ht="26.7" customHeight="1">
      <c r="A24" s="39"/>
      <c r="B24" s="38"/>
      <c r="C24" s="7"/>
      <c r="D24" s="259"/>
      <c r="E24" s="260"/>
      <c r="F24" s="11"/>
      <c r="G24" s="38"/>
      <c r="H24" s="26"/>
      <c r="I24" s="12"/>
    </row>
    <row r="25" spans="1:9" ht="26.7" customHeight="1">
      <c r="A25" s="39"/>
      <c r="B25" s="6"/>
      <c r="C25" s="7"/>
      <c r="D25" s="259"/>
      <c r="E25" s="260"/>
      <c r="F25" s="11"/>
      <c r="G25" s="38"/>
      <c r="H25" s="115"/>
      <c r="I25" s="12"/>
    </row>
    <row r="26" spans="1:9" ht="26.7" customHeight="1">
      <c r="A26" s="39"/>
      <c r="B26" s="6"/>
      <c r="C26" s="7"/>
      <c r="D26" s="259"/>
      <c r="E26" s="260"/>
      <c r="F26" s="11"/>
      <c r="G26" s="38"/>
      <c r="H26" s="26"/>
      <c r="I26" s="12"/>
    </row>
    <row r="27" spans="1:9" ht="26.7" customHeight="1">
      <c r="A27" s="39"/>
      <c r="B27" s="6"/>
      <c r="C27" s="7"/>
      <c r="D27" s="259"/>
      <c r="E27" s="260"/>
      <c r="F27" s="11"/>
      <c r="G27" s="38"/>
      <c r="H27" s="26"/>
      <c r="I27" s="12"/>
    </row>
    <row r="28" spans="1:9" ht="26.7" customHeight="1">
      <c r="A28" s="39"/>
      <c r="B28" s="6"/>
      <c r="C28" s="7"/>
      <c r="D28" s="259"/>
      <c r="E28" s="260"/>
      <c r="F28" s="11"/>
      <c r="G28" s="7"/>
      <c r="H28" s="26"/>
      <c r="I28" s="12"/>
    </row>
    <row r="29" spans="1:9" ht="26.7" customHeight="1">
      <c r="A29" s="39"/>
      <c r="B29" s="6"/>
      <c r="C29" s="7"/>
      <c r="D29" s="259"/>
      <c r="E29" s="260"/>
      <c r="F29" s="11"/>
      <c r="G29" s="7"/>
      <c r="H29" s="26"/>
      <c r="I29" s="12"/>
    </row>
    <row r="30" spans="1:9" ht="26.7" customHeight="1">
      <c r="A30" s="39"/>
      <c r="B30" s="6"/>
      <c r="C30" s="7"/>
      <c r="D30" s="259"/>
      <c r="E30" s="260"/>
      <c r="F30" s="11"/>
      <c r="G30" s="7"/>
      <c r="H30" s="26"/>
      <c r="I30" s="12"/>
    </row>
    <row r="31" spans="1:9" ht="26.7" customHeight="1" thickBot="1">
      <c r="A31" s="39"/>
      <c r="B31" s="30"/>
      <c r="C31" s="31"/>
      <c r="D31" s="264"/>
      <c r="E31" s="265"/>
      <c r="F31" s="137"/>
      <c r="G31" s="31"/>
      <c r="H31" s="32"/>
      <c r="I31" s="12"/>
    </row>
    <row r="32" spans="1:9" ht="21" customHeight="1">
      <c r="A32" s="39"/>
      <c r="B32" s="21"/>
      <c r="C32" s="22"/>
      <c r="D32" s="276"/>
      <c r="E32" s="277"/>
      <c r="F32" s="138"/>
      <c r="G32" s="22"/>
      <c r="H32" s="22"/>
      <c r="I32" s="3"/>
    </row>
    <row r="33" spans="1:8" ht="21" customHeight="1">
      <c r="A33" s="39"/>
      <c r="B33" s="6"/>
      <c r="C33" s="7"/>
      <c r="D33" s="259"/>
      <c r="E33" s="260"/>
      <c r="F33" s="11"/>
      <c r="G33" s="7"/>
      <c r="H33" s="7"/>
    </row>
    <row r="34" spans="1:8" ht="21" customHeight="1">
      <c r="A34" s="13"/>
      <c r="B34" s="6"/>
      <c r="C34" s="7"/>
      <c r="D34" s="259"/>
      <c r="E34" s="260"/>
      <c r="F34" s="11"/>
      <c r="G34" s="7"/>
      <c r="H34" s="16"/>
    </row>
    <row r="35" spans="1:8" ht="21" customHeight="1">
      <c r="A35" s="13"/>
      <c r="B35" s="6"/>
      <c r="C35" s="7"/>
      <c r="D35" s="259"/>
      <c r="E35" s="260"/>
      <c r="F35" s="11"/>
      <c r="G35" s="7"/>
      <c r="H35" s="7"/>
    </row>
    <row r="36" spans="1:8" ht="21" customHeight="1">
      <c r="A36" s="13"/>
      <c r="B36" s="6"/>
      <c r="C36" s="7"/>
      <c r="D36" s="259"/>
      <c r="E36" s="260"/>
      <c r="F36" s="11"/>
      <c r="G36" s="7"/>
      <c r="H36" s="7"/>
    </row>
    <row r="37" spans="1:8" ht="21" customHeight="1">
      <c r="A37" s="13"/>
      <c r="B37" s="6"/>
      <c r="C37" s="3"/>
      <c r="D37" s="259"/>
      <c r="E37" s="260"/>
      <c r="F37" s="11"/>
      <c r="G37" s="7"/>
      <c r="H37" s="16"/>
    </row>
    <row r="38" spans="1:8" ht="21" customHeight="1">
      <c r="A38" s="13"/>
      <c r="B38" s="6"/>
      <c r="C38" s="3"/>
      <c r="D38" s="259"/>
      <c r="E38" s="260"/>
      <c r="F38" s="11"/>
      <c r="G38" s="7"/>
      <c r="H38" s="7"/>
    </row>
    <row r="39" spans="1:8" ht="21" customHeight="1">
      <c r="A39" s="13"/>
      <c r="B39" s="6"/>
      <c r="C39" s="3"/>
      <c r="D39" s="259"/>
      <c r="E39" s="260"/>
      <c r="F39" s="11"/>
      <c r="G39" s="7"/>
      <c r="H39" s="7"/>
    </row>
    <row r="40" spans="1:8" ht="21" customHeight="1">
      <c r="A40" s="13"/>
      <c r="B40" s="6"/>
      <c r="C40" s="3"/>
      <c r="D40" s="259"/>
      <c r="E40" s="260"/>
      <c r="F40" s="11"/>
      <c r="G40" s="7"/>
      <c r="H40" s="7"/>
    </row>
    <row r="41" spans="1:8" ht="21" customHeight="1">
      <c r="A41" s="13"/>
      <c r="B41" s="6"/>
      <c r="C41" s="3"/>
      <c r="D41" s="259"/>
      <c r="E41" s="260"/>
      <c r="F41" s="11"/>
      <c r="G41" s="7"/>
      <c r="H41" s="7"/>
    </row>
    <row r="42" spans="1:8" ht="21" customHeight="1">
      <c r="A42" s="13"/>
      <c r="B42" s="6"/>
      <c r="C42" s="3"/>
      <c r="D42" s="259"/>
      <c r="E42" s="260"/>
      <c r="F42" s="11"/>
      <c r="G42" s="7"/>
      <c r="H42" s="7"/>
    </row>
    <row r="43" spans="1:8" ht="21" customHeight="1">
      <c r="A43" s="13"/>
      <c r="B43" s="6"/>
      <c r="C43" s="3"/>
      <c r="D43" s="259"/>
      <c r="E43" s="260"/>
      <c r="F43" s="11"/>
      <c r="G43" s="7"/>
      <c r="H43" s="7"/>
    </row>
    <row r="44" spans="1:8" ht="21" customHeight="1">
      <c r="A44" s="13"/>
      <c r="B44" s="6"/>
      <c r="C44" s="3"/>
      <c r="D44" s="259"/>
      <c r="E44" s="260"/>
      <c r="F44" s="11"/>
      <c r="G44" s="7"/>
      <c r="H44" s="7"/>
    </row>
    <row r="45" spans="1:8" ht="21" customHeight="1">
      <c r="A45" s="13"/>
      <c r="B45" s="6"/>
      <c r="C45" s="3"/>
      <c r="D45" s="259"/>
      <c r="E45" s="260"/>
      <c r="F45" s="11"/>
      <c r="G45" s="7"/>
      <c r="H45" s="7"/>
    </row>
    <row r="46" spans="1:8" ht="21" customHeight="1">
      <c r="A46" s="13"/>
      <c r="B46" s="6"/>
      <c r="C46" s="3"/>
      <c r="D46" s="259"/>
      <c r="E46" s="260"/>
      <c r="F46" s="11"/>
      <c r="G46" s="7"/>
      <c r="H46" s="7"/>
    </row>
    <row r="47" spans="1:8" ht="21" customHeight="1">
      <c r="A47" s="13"/>
      <c r="B47" s="6"/>
      <c r="C47" s="3"/>
      <c r="D47" s="259"/>
      <c r="E47" s="260"/>
      <c r="F47" s="11"/>
      <c r="G47" s="7"/>
      <c r="H47" s="7"/>
    </row>
    <row r="48" spans="1:8" ht="21" customHeight="1">
      <c r="A48" s="13"/>
      <c r="B48" s="6"/>
      <c r="C48" s="10"/>
      <c r="D48" s="259"/>
      <c r="E48" s="260"/>
      <c r="F48" s="11"/>
      <c r="G48" s="7"/>
      <c r="H48" s="7"/>
    </row>
    <row r="49" spans="1:8" ht="21" customHeight="1">
      <c r="A49" s="13"/>
      <c r="B49" s="8"/>
      <c r="C49" s="10"/>
      <c r="D49" s="259"/>
      <c r="E49" s="260"/>
      <c r="F49" s="11"/>
      <c r="G49" s="7"/>
      <c r="H49" s="11"/>
    </row>
    <row r="50" spans="1:8" ht="21" customHeight="1">
      <c r="A50" s="13"/>
      <c r="B50" s="6"/>
      <c r="C50" s="9"/>
      <c r="D50" s="259"/>
      <c r="E50" s="260"/>
      <c r="F50" s="11"/>
      <c r="G50" s="7"/>
      <c r="H50" s="7"/>
    </row>
    <row r="51" spans="1:8" ht="21" customHeight="1">
      <c r="A51" s="14"/>
      <c r="B51" s="6"/>
      <c r="C51" s="3"/>
      <c r="D51" s="259"/>
      <c r="E51" s="260"/>
      <c r="F51" s="11"/>
      <c r="G51" s="7"/>
      <c r="H51" s="7"/>
    </row>
    <row r="52" spans="1:8" ht="21" customHeight="1">
      <c r="A52" s="14"/>
      <c r="B52" s="6"/>
      <c r="C52" s="3"/>
      <c r="D52" s="259"/>
      <c r="E52" s="260"/>
      <c r="F52" s="11"/>
      <c r="G52" s="7"/>
      <c r="H52" s="7"/>
    </row>
    <row r="53" spans="1:8" ht="21" customHeight="1">
      <c r="A53" s="15"/>
      <c r="B53" s="6"/>
      <c r="C53" s="3"/>
      <c r="D53" s="259"/>
      <c r="E53" s="260"/>
      <c r="F53" s="11"/>
      <c r="G53" s="7"/>
      <c r="H53" s="7"/>
    </row>
    <row r="54" spans="1:8" ht="21" customHeight="1">
      <c r="A54" s="14"/>
      <c r="B54" s="6"/>
      <c r="C54" s="3"/>
      <c r="D54" s="259"/>
      <c r="E54" s="260"/>
      <c r="F54" s="11"/>
      <c r="G54" s="7"/>
      <c r="H54" s="7"/>
    </row>
    <row r="55" spans="1:8" ht="21" customHeight="1">
      <c r="A55" s="14"/>
      <c r="B55" s="6"/>
      <c r="C55" s="3"/>
      <c r="D55" s="259"/>
      <c r="E55" s="260"/>
      <c r="F55" s="11"/>
      <c r="G55" s="7"/>
      <c r="H55" s="7"/>
    </row>
    <row r="56" spans="1:8" ht="21" customHeight="1">
      <c r="A56" s="14"/>
      <c r="B56" s="6"/>
      <c r="C56" s="3"/>
      <c r="D56" s="259"/>
      <c r="E56" s="260"/>
      <c r="F56" s="11"/>
      <c r="G56" s="7"/>
      <c r="H56" s="16"/>
    </row>
    <row r="57" spans="1:8" ht="21" customHeight="1">
      <c r="A57" s="15"/>
      <c r="B57" s="6"/>
      <c r="C57" s="3"/>
      <c r="D57" s="259"/>
      <c r="E57" s="260"/>
      <c r="F57" s="11"/>
      <c r="G57" s="7"/>
      <c r="H57" s="7"/>
    </row>
    <row r="58" spans="1:8" ht="21" customHeight="1">
      <c r="A58" s="15"/>
      <c r="B58" s="6"/>
      <c r="C58" s="3"/>
      <c r="D58" s="259"/>
      <c r="E58" s="260"/>
      <c r="F58" s="11"/>
      <c r="G58" s="7"/>
      <c r="H58" s="7"/>
    </row>
    <row r="59" spans="1:8" ht="21" customHeight="1">
      <c r="A59" s="15"/>
      <c r="B59" s="6"/>
      <c r="C59" s="3"/>
      <c r="D59" s="259"/>
      <c r="E59" s="260"/>
      <c r="F59" s="11"/>
      <c r="G59" s="7"/>
      <c r="H59" s="7"/>
    </row>
    <row r="60" spans="1:8" ht="21" customHeight="1">
      <c r="A60" s="14"/>
      <c r="B60" s="6"/>
      <c r="C60" s="3"/>
      <c r="D60" s="259"/>
      <c r="E60" s="260"/>
      <c r="F60" s="11"/>
      <c r="G60" s="7"/>
      <c r="H60" s="7"/>
    </row>
    <row r="61" spans="1:8" ht="21" customHeight="1">
      <c r="A61" s="14"/>
      <c r="B61" s="6"/>
      <c r="C61" s="9"/>
      <c r="D61" s="259"/>
      <c r="E61" s="260"/>
      <c r="F61" s="11"/>
      <c r="G61" s="7"/>
      <c r="H61" s="7"/>
    </row>
    <row r="62" spans="1:8" ht="21" customHeight="1">
      <c r="A62" s="14"/>
      <c r="B62" s="6"/>
      <c r="C62" s="3"/>
      <c r="D62" s="259"/>
      <c r="E62" s="260"/>
      <c r="F62" s="11"/>
      <c r="G62" s="7"/>
      <c r="H62" s="7"/>
    </row>
    <row r="63" spans="1:8" ht="21" customHeight="1">
      <c r="A63" s="15"/>
      <c r="B63" s="6"/>
      <c r="C63" s="3"/>
      <c r="D63" s="259"/>
      <c r="E63" s="260"/>
      <c r="F63" s="11"/>
      <c r="G63" s="7"/>
      <c r="H63" s="7"/>
    </row>
    <row r="64" spans="1:8" ht="21" customHeight="1">
      <c r="A64" s="15"/>
      <c r="B64" s="6"/>
      <c r="C64" s="3"/>
      <c r="D64" s="259"/>
      <c r="E64" s="260"/>
      <c r="F64" s="11"/>
      <c r="G64" s="7"/>
      <c r="H64" s="7"/>
    </row>
    <row r="65" spans="1:8" ht="21" customHeight="1">
      <c r="A65" s="14"/>
      <c r="B65" s="6"/>
      <c r="C65" s="3"/>
      <c r="D65" s="259"/>
      <c r="E65" s="260"/>
      <c r="F65" s="11"/>
      <c r="G65" s="7"/>
      <c r="H65" s="7"/>
    </row>
    <row r="66" spans="1:8" ht="21" customHeight="1">
      <c r="A66" s="15"/>
      <c r="B66" s="6"/>
      <c r="C66" s="3"/>
      <c r="D66" s="259"/>
      <c r="E66" s="260"/>
      <c r="F66" s="11"/>
      <c r="G66" s="7"/>
      <c r="H66" s="7"/>
    </row>
    <row r="67" spans="1:8" ht="21" customHeight="1">
      <c r="A67" s="15"/>
      <c r="B67" s="6"/>
      <c r="C67" s="3"/>
      <c r="D67" s="259"/>
      <c r="E67" s="260"/>
      <c r="F67" s="11"/>
      <c r="G67" s="7"/>
      <c r="H67" s="7"/>
    </row>
    <row r="68" spans="1:8" ht="21" customHeight="1">
      <c r="A68" s="14"/>
      <c r="B68" s="6"/>
      <c r="C68" s="3"/>
      <c r="D68" s="259"/>
      <c r="E68" s="260"/>
      <c r="F68" s="11"/>
      <c r="G68" s="7"/>
      <c r="H68" s="7"/>
    </row>
    <row r="69" spans="1:8" ht="21" customHeight="1">
      <c r="A69" s="15"/>
      <c r="B69" s="6"/>
      <c r="C69" s="3"/>
      <c r="D69" s="259"/>
      <c r="E69" s="260"/>
      <c r="F69" s="11"/>
      <c r="G69" s="7"/>
      <c r="H69" s="7"/>
    </row>
    <row r="70" spans="1:8" ht="21" customHeight="1">
      <c r="A70" s="15"/>
      <c r="B70" s="6"/>
      <c r="C70" s="3"/>
      <c r="D70" s="259"/>
      <c r="E70" s="260"/>
      <c r="F70" s="11"/>
      <c r="G70" s="7"/>
      <c r="H70" s="7"/>
    </row>
    <row r="71" spans="1:8" ht="21" customHeight="1">
      <c r="A71" s="15"/>
      <c r="B71" s="6"/>
      <c r="C71" s="3"/>
      <c r="D71" s="259"/>
      <c r="E71" s="260"/>
      <c r="F71" s="11"/>
      <c r="G71" s="7"/>
      <c r="H71" s="7"/>
    </row>
    <row r="72" spans="1:8" ht="21" customHeight="1">
      <c r="A72" s="14"/>
      <c r="B72" s="6"/>
      <c r="C72" s="3"/>
      <c r="D72" s="259"/>
      <c r="E72" s="260"/>
      <c r="F72" s="11"/>
      <c r="G72" s="7"/>
      <c r="H72" s="7"/>
    </row>
    <row r="73" spans="1:8" ht="21" customHeight="1">
      <c r="A73" s="14"/>
      <c r="B73" s="6"/>
      <c r="C73" s="3"/>
      <c r="D73" s="259"/>
      <c r="E73" s="260"/>
      <c r="F73" s="11"/>
      <c r="G73" s="7"/>
      <c r="H73" s="7"/>
    </row>
    <row r="74" spans="1:8" ht="21" customHeight="1">
      <c r="A74" s="14"/>
      <c r="B74" s="6"/>
      <c r="C74" s="3"/>
      <c r="D74" s="259"/>
      <c r="E74" s="260"/>
      <c r="F74" s="11"/>
      <c r="G74" s="7"/>
      <c r="H74" s="7"/>
    </row>
    <row r="75" spans="1:8" ht="21" customHeight="1">
      <c r="A75" s="15"/>
      <c r="B75" s="6"/>
      <c r="C75" s="3"/>
      <c r="D75" s="259"/>
      <c r="E75" s="260"/>
      <c r="F75" s="11"/>
      <c r="G75" s="7"/>
      <c r="H75" s="7"/>
    </row>
    <row r="76" spans="1:8" ht="21" customHeight="1">
      <c r="A76" s="15"/>
      <c r="B76" s="6"/>
      <c r="C76" s="3"/>
      <c r="D76" s="259"/>
      <c r="E76" s="260"/>
      <c r="F76" s="11"/>
      <c r="G76" s="7"/>
      <c r="H76" s="7"/>
    </row>
    <row r="77" spans="1:8" ht="21" customHeight="1">
      <c r="A77" s="15"/>
      <c r="B77" s="6"/>
      <c r="C77" s="3"/>
      <c r="D77" s="259"/>
      <c r="E77" s="260"/>
      <c r="F77" s="11"/>
      <c r="G77" s="7"/>
      <c r="H77" s="7"/>
    </row>
    <row r="78" spans="1:8" ht="21" customHeight="1">
      <c r="A78" s="14"/>
      <c r="B78" s="6"/>
      <c r="C78" s="3"/>
      <c r="D78" s="259"/>
      <c r="E78" s="260"/>
      <c r="F78" s="11"/>
      <c r="G78" s="7"/>
      <c r="H78" s="7"/>
    </row>
    <row r="79" spans="1:8" ht="21" customHeight="1">
      <c r="A79" s="15"/>
      <c r="B79" s="6"/>
      <c r="C79" s="3"/>
      <c r="D79" s="259"/>
      <c r="E79" s="260"/>
      <c r="F79" s="11"/>
      <c r="G79" s="7"/>
      <c r="H79" s="7"/>
    </row>
    <row r="80" spans="1:8" ht="21" customHeight="1">
      <c r="A80" s="14"/>
      <c r="B80" s="6"/>
      <c r="C80" s="3"/>
      <c r="D80" s="259"/>
      <c r="E80" s="260"/>
      <c r="F80" s="11"/>
      <c r="G80" s="7"/>
      <c r="H80" s="7"/>
    </row>
    <row r="81" spans="1:8" ht="21" customHeight="1">
      <c r="A81" s="14"/>
      <c r="B81" s="6"/>
      <c r="C81" s="3"/>
      <c r="D81" s="259"/>
      <c r="E81" s="260"/>
      <c r="F81" s="11"/>
      <c r="G81" s="7"/>
      <c r="H81" s="7"/>
    </row>
    <row r="82" spans="1:8" ht="21" customHeight="1">
      <c r="A82" s="14"/>
      <c r="B82" s="8"/>
      <c r="C82" s="9"/>
      <c r="D82" s="259"/>
      <c r="E82" s="260"/>
      <c r="F82" s="11"/>
      <c r="G82" s="7"/>
      <c r="H82" s="7"/>
    </row>
    <row r="83" spans="1:8" ht="21" customHeight="1">
      <c r="A83" s="14"/>
      <c r="B83" s="6"/>
      <c r="C83" s="3"/>
      <c r="D83" s="259"/>
      <c r="E83" s="260"/>
      <c r="F83" s="11"/>
      <c r="G83" s="7"/>
      <c r="H83" s="7"/>
    </row>
    <row r="84" spans="1:8" ht="21" customHeight="1">
      <c r="A84" s="15"/>
      <c r="B84" s="8"/>
      <c r="C84" s="9"/>
      <c r="D84" s="259"/>
      <c r="E84" s="260"/>
      <c r="F84" s="11"/>
      <c r="G84" s="7"/>
      <c r="H84" s="11"/>
    </row>
    <row r="85" spans="1:8" ht="21" customHeight="1">
      <c r="A85" s="15"/>
      <c r="B85" s="6"/>
      <c r="C85" s="3"/>
      <c r="D85" s="259"/>
      <c r="E85" s="260"/>
      <c r="F85" s="11"/>
      <c r="G85" s="7"/>
      <c r="H85" s="7"/>
    </row>
    <row r="86" spans="1:8" ht="21" customHeight="1">
      <c r="A86" s="15"/>
      <c r="B86" s="6"/>
      <c r="C86" s="9"/>
      <c r="D86" s="259"/>
      <c r="E86" s="260"/>
      <c r="F86" s="11"/>
      <c r="G86" s="7"/>
      <c r="H86" s="7"/>
    </row>
    <row r="87" spans="1:8" ht="21" customHeight="1">
      <c r="A87" s="14"/>
      <c r="B87" s="6"/>
      <c r="C87" s="3"/>
      <c r="D87" s="259"/>
      <c r="E87" s="260"/>
      <c r="F87" s="11"/>
      <c r="G87" s="7"/>
      <c r="H87" s="7"/>
    </row>
    <row r="88" spans="1:8" ht="21" customHeight="1">
      <c r="A88" s="15"/>
      <c r="B88" s="6"/>
      <c r="C88" s="3"/>
      <c r="D88" s="259"/>
      <c r="E88" s="260"/>
      <c r="F88" s="11"/>
      <c r="G88" s="7"/>
      <c r="H88" s="7"/>
    </row>
    <row r="89" spans="1:8" ht="21" customHeight="1">
      <c r="A89" s="15"/>
      <c r="B89" s="6"/>
      <c r="C89" s="3"/>
      <c r="D89" s="259"/>
      <c r="E89" s="260"/>
      <c r="F89" s="11"/>
      <c r="G89" s="7"/>
      <c r="H89" s="7"/>
    </row>
    <row r="90" spans="1:8" ht="21" customHeight="1">
      <c r="A90" s="14"/>
      <c r="B90" s="6"/>
      <c r="C90" s="3"/>
      <c r="D90" s="259"/>
      <c r="E90" s="260"/>
      <c r="F90" s="11"/>
      <c r="G90" s="7"/>
      <c r="H90" s="7"/>
    </row>
    <row r="91" spans="1:8" ht="21" customHeight="1">
      <c r="A91" s="15"/>
      <c r="B91" s="6"/>
      <c r="C91" s="3"/>
      <c r="D91" s="259"/>
      <c r="E91" s="260"/>
      <c r="F91" s="11"/>
      <c r="G91" s="7"/>
      <c r="H91" s="7"/>
    </row>
    <row r="92" spans="1:8" ht="21" customHeight="1">
      <c r="A92" s="15"/>
      <c r="B92" s="6"/>
      <c r="C92" s="3"/>
      <c r="D92" s="259"/>
      <c r="E92" s="260"/>
      <c r="F92" s="11"/>
      <c r="G92" s="7"/>
      <c r="H92" s="7"/>
    </row>
    <row r="93" spans="1:8" ht="21" customHeight="1">
      <c r="A93" s="15"/>
      <c r="B93" s="6"/>
      <c r="C93" s="3"/>
      <c r="D93" s="259"/>
      <c r="E93" s="260"/>
      <c r="F93" s="11"/>
      <c r="G93" s="7"/>
      <c r="H93" s="7"/>
    </row>
    <row r="94" spans="1:8" ht="21" customHeight="1">
      <c r="A94" s="14"/>
      <c r="B94" s="6"/>
      <c r="C94" s="3"/>
      <c r="D94" s="259"/>
      <c r="E94" s="260"/>
      <c r="F94" s="11"/>
      <c r="G94" s="7"/>
      <c r="H94" s="7"/>
    </row>
    <row r="95" spans="1:8" ht="21" customHeight="1">
      <c r="A95" s="14"/>
      <c r="B95" s="6"/>
      <c r="C95" s="3"/>
      <c r="D95" s="259"/>
      <c r="E95" s="260"/>
      <c r="F95" s="11"/>
      <c r="G95" s="7"/>
      <c r="H95" s="7"/>
    </row>
    <row r="96" spans="1:8" ht="21" customHeight="1">
      <c r="A96" s="14"/>
      <c r="B96" s="6"/>
      <c r="C96" s="3"/>
      <c r="D96" s="259"/>
      <c r="E96" s="260"/>
      <c r="F96" s="11"/>
      <c r="G96" s="7"/>
      <c r="H96" s="7"/>
    </row>
    <row r="97" spans="1:8" ht="21" customHeight="1">
      <c r="A97" s="14"/>
      <c r="B97" s="6"/>
      <c r="C97" s="3"/>
      <c r="D97" s="259"/>
      <c r="E97" s="260"/>
      <c r="F97" s="11"/>
      <c r="G97" s="7"/>
      <c r="H97" s="7"/>
    </row>
    <row r="98" spans="1:8" ht="21" customHeight="1">
      <c r="A98" s="14"/>
      <c r="B98" s="6"/>
      <c r="C98" s="3"/>
      <c r="D98" s="259"/>
      <c r="E98" s="260"/>
      <c r="F98" s="11"/>
      <c r="G98" s="7"/>
      <c r="H98" s="7"/>
    </row>
    <row r="99" spans="1:8" ht="21" customHeight="1">
      <c r="A99" s="14"/>
      <c r="B99" s="6"/>
      <c r="C99" s="3"/>
      <c r="D99" s="259"/>
      <c r="E99" s="260"/>
      <c r="F99" s="11"/>
      <c r="G99" s="7"/>
      <c r="H99" s="7"/>
    </row>
    <row r="100" spans="1:8" ht="21" customHeight="1">
      <c r="A100" s="14"/>
      <c r="B100" s="6"/>
      <c r="C100" s="3"/>
      <c r="D100" s="259"/>
      <c r="E100" s="260"/>
      <c r="F100" s="11"/>
      <c r="G100" s="7"/>
      <c r="H100" s="7"/>
    </row>
    <row r="101" spans="1:8" ht="21" customHeight="1">
      <c r="A101" s="14"/>
      <c r="B101" s="6"/>
      <c r="C101" s="3"/>
      <c r="D101" s="259"/>
      <c r="E101" s="260"/>
      <c r="F101" s="11"/>
      <c r="G101" s="7"/>
      <c r="H101" s="7"/>
    </row>
    <row r="102" spans="1:8" ht="21" customHeight="1">
      <c r="A102" s="14"/>
      <c r="B102" s="6"/>
      <c r="C102" s="3"/>
      <c r="D102" s="259"/>
      <c r="E102" s="260"/>
      <c r="F102" s="11"/>
      <c r="G102" s="7"/>
      <c r="H102" s="7"/>
    </row>
    <row r="103" spans="1:8" ht="21" customHeight="1">
      <c r="A103" s="14"/>
      <c r="B103" s="6"/>
      <c r="C103" s="9"/>
      <c r="D103" s="259"/>
      <c r="E103" s="260"/>
      <c r="F103" s="11"/>
      <c r="G103" s="7"/>
      <c r="H103" s="7"/>
    </row>
    <row r="104" spans="1:8" ht="21" customHeight="1">
      <c r="A104" s="14"/>
      <c r="B104" s="6"/>
      <c r="C104" s="3"/>
      <c r="D104" s="259"/>
      <c r="E104" s="260"/>
      <c r="F104" s="11"/>
      <c r="G104" s="7"/>
      <c r="H104" s="7"/>
    </row>
  </sheetData>
  <mergeCells count="109">
    <mergeCell ref="A1:H1"/>
    <mergeCell ref="D80:E80"/>
    <mergeCell ref="D21:E21"/>
    <mergeCell ref="D95:E95"/>
    <mergeCell ref="D104:E104"/>
    <mergeCell ref="D57:E57"/>
    <mergeCell ref="D32:E32"/>
    <mergeCell ref="D41:E41"/>
    <mergeCell ref="D97:E97"/>
    <mergeCell ref="G3:H3"/>
    <mergeCell ref="D16:E16"/>
    <mergeCell ref="D87:E87"/>
    <mergeCell ref="D43:E43"/>
    <mergeCell ref="D18:E18"/>
    <mergeCell ref="D58:E58"/>
    <mergeCell ref="D8:E8"/>
    <mergeCell ref="G4:H4"/>
    <mergeCell ref="B3:D3"/>
    <mergeCell ref="D74:E74"/>
    <mergeCell ref="D68:E68"/>
    <mergeCell ref="D42:E42"/>
    <mergeCell ref="D82:E82"/>
    <mergeCell ref="D50:E50"/>
    <mergeCell ref="D44:E44"/>
    <mergeCell ref="D102:E102"/>
    <mergeCell ref="D12:E12"/>
    <mergeCell ref="D25:E25"/>
    <mergeCell ref="D83:E83"/>
    <mergeCell ref="D92:E92"/>
    <mergeCell ref="D55:E55"/>
    <mergeCell ref="D30:E30"/>
    <mergeCell ref="D67:E67"/>
    <mergeCell ref="D14:E14"/>
    <mergeCell ref="D85:E85"/>
    <mergeCell ref="D54:E54"/>
    <mergeCell ref="D94:E94"/>
    <mergeCell ref="D69:E69"/>
    <mergeCell ref="D46:E46"/>
    <mergeCell ref="D40:E40"/>
    <mergeCell ref="D59:E59"/>
    <mergeCell ref="D101:E101"/>
    <mergeCell ref="D11:E11"/>
    <mergeCell ref="D76:E76"/>
    <mergeCell ref="C5:F5"/>
    <mergeCell ref="D66:E66"/>
    <mergeCell ref="D75:E75"/>
    <mergeCell ref="D53:E53"/>
    <mergeCell ref="D47:E47"/>
    <mergeCell ref="D103:E103"/>
    <mergeCell ref="D37:E37"/>
    <mergeCell ref="D9:E9"/>
    <mergeCell ref="D39:E39"/>
    <mergeCell ref="D15:E15"/>
    <mergeCell ref="D29:E29"/>
    <mergeCell ref="D23:E23"/>
    <mergeCell ref="D38:E38"/>
    <mergeCell ref="D89:E89"/>
    <mergeCell ref="D79:E79"/>
    <mergeCell ref="D63:E63"/>
    <mergeCell ref="D81:E81"/>
    <mergeCell ref="D65:E65"/>
    <mergeCell ref="D96:E96"/>
    <mergeCell ref="D52:E52"/>
    <mergeCell ref="D49:E49"/>
    <mergeCell ref="B4:D4"/>
    <mergeCell ref="B2:H2"/>
    <mergeCell ref="D62:E62"/>
    <mergeCell ref="D56:E56"/>
    <mergeCell ref="D71:E71"/>
    <mergeCell ref="D24:E24"/>
    <mergeCell ref="D64:E64"/>
    <mergeCell ref="D33:E33"/>
    <mergeCell ref="D98:E98"/>
    <mergeCell ref="D73:E73"/>
    <mergeCell ref="D51:E51"/>
    <mergeCell ref="D88:E88"/>
    <mergeCell ref="D26:E26"/>
    <mergeCell ref="E3:F3"/>
    <mergeCell ref="D35:E35"/>
    <mergeCell ref="D10:E10"/>
    <mergeCell ref="D19:E19"/>
    <mergeCell ref="D34:E34"/>
    <mergeCell ref="D90:E90"/>
    <mergeCell ref="E4:F4"/>
    <mergeCell ref="D27:E27"/>
    <mergeCell ref="D17:E17"/>
    <mergeCell ref="D91:E91"/>
    <mergeCell ref="A5:B5"/>
    <mergeCell ref="D20:E20"/>
    <mergeCell ref="D60:E60"/>
    <mergeCell ref="D100:E100"/>
    <mergeCell ref="D84:E84"/>
    <mergeCell ref="D22:E22"/>
    <mergeCell ref="D36:E36"/>
    <mergeCell ref="D31:E31"/>
    <mergeCell ref="D45:E45"/>
    <mergeCell ref="D6:E6"/>
    <mergeCell ref="D77:E77"/>
    <mergeCell ref="D86:E86"/>
    <mergeCell ref="D13:E13"/>
    <mergeCell ref="D61:E61"/>
    <mergeCell ref="D70:E70"/>
    <mergeCell ref="D48:E48"/>
    <mergeCell ref="D7:E7"/>
    <mergeCell ref="D72:E72"/>
    <mergeCell ref="D78:E78"/>
    <mergeCell ref="D99:E99"/>
    <mergeCell ref="D28:E28"/>
    <mergeCell ref="D93:E93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8">
    <tabColor theme="2" tint="-0.499984740745262"/>
  </sheetPr>
  <dimension ref="A1:O104"/>
  <sheetViews>
    <sheetView workbookViewId="0">
      <selection activeCell="F10" sqref="F10:G10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/>
      <c r="B1" s="271"/>
      <c r="C1" s="271"/>
      <c r="D1" s="271"/>
      <c r="E1" s="271"/>
      <c r="F1" s="271"/>
      <c r="G1" s="271"/>
      <c r="H1" s="271"/>
      <c r="I1" s="271"/>
      <c r="J1" s="141" t="s">
        <v>596</v>
      </c>
      <c r="K1" s="38" t="s">
        <v>323</v>
      </c>
      <c r="L1" s="38" t="s">
        <v>324</v>
      </c>
      <c r="M1" s="1"/>
      <c r="N1" s="1"/>
      <c r="O1" s="1"/>
    </row>
    <row r="2" spans="1:15" ht="34.5" customHeight="1">
      <c r="A2" s="33" t="s">
        <v>1248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1249</v>
      </c>
      <c r="C3" s="263"/>
      <c r="D3" s="260"/>
      <c r="E3" s="266" t="s">
        <v>11</v>
      </c>
      <c r="F3" s="263"/>
      <c r="G3" s="260"/>
      <c r="H3" s="268" t="s">
        <v>1250</v>
      </c>
      <c r="I3" s="269"/>
      <c r="J3" s="19" t="str">
        <f>B3</f>
        <v>Alpragin 2mg</v>
      </c>
      <c r="K3" s="34"/>
      <c r="L3" s="5">
        <f>H7</f>
        <v>57</v>
      </c>
      <c r="M3" s="3">
        <f>SUM(C$8:C$1048576)</f>
        <v>0</v>
      </c>
      <c r="N3" s="3">
        <f>SUM(F:F)</f>
        <v>57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96" t="s">
        <v>1251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61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133" t="s">
        <v>29</v>
      </c>
      <c r="B7" s="140" t="s">
        <v>5</v>
      </c>
      <c r="C7" s="140">
        <v>57</v>
      </c>
      <c r="D7" s="289"/>
      <c r="E7" s="260"/>
      <c r="F7" s="327"/>
      <c r="G7" s="260"/>
      <c r="H7" s="140">
        <v>57</v>
      </c>
      <c r="I7" s="202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333</v>
      </c>
      <c r="B8" s="38" t="s">
        <v>323</v>
      </c>
      <c r="C8" s="91"/>
      <c r="D8" s="287"/>
      <c r="E8" s="260"/>
      <c r="F8" s="279">
        <v>28</v>
      </c>
      <c r="G8" s="260"/>
      <c r="H8" s="38">
        <f>H7-F8</f>
        <v>29</v>
      </c>
      <c r="I8" s="38"/>
      <c r="J8" s="12"/>
      <c r="K8" s="3"/>
      <c r="L8" s="3"/>
      <c r="M8" s="3"/>
      <c r="N8" s="3"/>
      <c r="O8" s="3"/>
    </row>
    <row r="9" spans="1:15" ht="26.7" customHeight="1">
      <c r="A9" s="39" t="s">
        <v>465</v>
      </c>
      <c r="B9" s="38" t="s">
        <v>323</v>
      </c>
      <c r="C9" s="38"/>
      <c r="D9" s="279"/>
      <c r="E9" s="260"/>
      <c r="F9" s="279">
        <v>29</v>
      </c>
      <c r="G9" s="260"/>
      <c r="H9" s="38">
        <f>H8-F9</f>
        <v>0</v>
      </c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59"/>
      <c r="E10" s="260"/>
      <c r="F10" s="279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59"/>
      <c r="E11" s="260"/>
      <c r="F11" s="279"/>
      <c r="G11" s="260"/>
      <c r="H11" s="38"/>
      <c r="I11" s="114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37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38"/>
      <c r="D13" s="259"/>
      <c r="E13" s="260"/>
      <c r="F13" s="279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38"/>
      <c r="D14" s="259"/>
      <c r="E14" s="260"/>
      <c r="F14" s="279"/>
      <c r="G14" s="260"/>
      <c r="H14" s="38"/>
      <c r="I14" s="114"/>
      <c r="J14" s="12"/>
      <c r="K14" s="3"/>
      <c r="L14" s="3"/>
      <c r="M14" s="3"/>
      <c r="N14" s="3"/>
      <c r="O14" s="3"/>
    </row>
    <row r="15" spans="1:15" ht="26.7" customHeight="1">
      <c r="A15" s="39"/>
      <c r="B15" s="38"/>
      <c r="C15" s="38"/>
      <c r="D15" s="287"/>
      <c r="E15" s="260"/>
      <c r="F15" s="279"/>
      <c r="G15" s="260"/>
      <c r="H15" s="38"/>
      <c r="I15" s="37" t="s">
        <v>414</v>
      </c>
      <c r="J15" s="12"/>
      <c r="K15" s="3"/>
      <c r="L15" s="3"/>
      <c r="M15" s="3"/>
      <c r="N15" s="3"/>
      <c r="O15" s="3"/>
    </row>
    <row r="16" spans="1:15" ht="26.7" customHeight="1">
      <c r="A16" s="39"/>
      <c r="B16" s="38"/>
      <c r="C16" s="38"/>
      <c r="D16" s="287"/>
      <c r="E16" s="260"/>
      <c r="F16" s="279"/>
      <c r="G16" s="260"/>
      <c r="H16" s="38"/>
      <c r="I16" s="37"/>
      <c r="J16" s="12"/>
      <c r="K16" s="3"/>
      <c r="L16" s="3"/>
      <c r="M16" s="3"/>
      <c r="N16" s="3"/>
      <c r="O16" s="3"/>
    </row>
    <row r="17" spans="1:10" ht="26.7" customHeight="1">
      <c r="A17" s="39"/>
      <c r="B17" s="38"/>
      <c r="C17" s="38"/>
      <c r="D17" s="259"/>
      <c r="E17" s="260"/>
      <c r="F17" s="279"/>
      <c r="G17" s="260"/>
      <c r="H17" s="38"/>
      <c r="I17" s="26"/>
      <c r="J17" s="12"/>
    </row>
    <row r="18" spans="1:10" ht="26.7" customHeight="1">
      <c r="A18" s="39"/>
      <c r="B18" s="38"/>
      <c r="C18" s="38"/>
      <c r="D18" s="259"/>
      <c r="E18" s="260"/>
      <c r="F18" s="279"/>
      <c r="G18" s="260"/>
      <c r="H18" s="38"/>
      <c r="I18" s="92"/>
      <c r="J18" s="12"/>
    </row>
    <row r="19" spans="1:10" ht="26.7" customHeight="1">
      <c r="A19" s="39"/>
      <c r="B19" s="38"/>
      <c r="C19" s="38"/>
      <c r="D19" s="259"/>
      <c r="E19" s="260"/>
      <c r="F19" s="279"/>
      <c r="G19" s="260"/>
      <c r="H19" s="38"/>
      <c r="I19" s="114" t="s">
        <v>414</v>
      </c>
      <c r="J19" s="12"/>
    </row>
    <row r="20" spans="1:10" ht="26.7" customHeight="1">
      <c r="A20" s="39"/>
      <c r="B20" s="38"/>
      <c r="C20" s="38"/>
      <c r="D20" s="259"/>
      <c r="E20" s="260"/>
      <c r="F20" s="279"/>
      <c r="G20" s="260"/>
      <c r="H20" s="38"/>
      <c r="I20" s="26"/>
      <c r="J20" s="12"/>
    </row>
    <row r="21" spans="1:10" ht="26.7" customHeight="1">
      <c r="A21" s="39"/>
      <c r="B21" s="38"/>
      <c r="C21" s="38"/>
      <c r="D21" s="259"/>
      <c r="E21" s="260"/>
      <c r="F21" s="279"/>
      <c r="G21" s="260"/>
      <c r="H21" s="38"/>
      <c r="I21" s="26"/>
      <c r="J21" s="12"/>
    </row>
    <row r="22" spans="1:10" ht="26.7" customHeight="1">
      <c r="A22" s="39"/>
      <c r="B22" s="38"/>
      <c r="C22" s="38"/>
      <c r="D22" s="259"/>
      <c r="E22" s="260"/>
      <c r="F22" s="279"/>
      <c r="G22" s="260"/>
      <c r="H22" s="38"/>
      <c r="I22" s="26"/>
      <c r="J22" s="12"/>
    </row>
    <row r="23" spans="1:10" ht="26.7" customHeight="1">
      <c r="A23" s="39"/>
      <c r="B23" s="38"/>
      <c r="C23" s="38"/>
      <c r="D23" s="259"/>
      <c r="E23" s="260"/>
      <c r="F23" s="279"/>
      <c r="G23" s="260"/>
      <c r="H23" s="38"/>
      <c r="I23" s="26"/>
      <c r="J23" s="12"/>
    </row>
    <row r="24" spans="1:10" ht="26.7" customHeight="1">
      <c r="A24" s="39"/>
      <c r="B24" s="38"/>
      <c r="C24" s="38"/>
      <c r="D24" s="259"/>
      <c r="E24" s="260"/>
      <c r="F24" s="279"/>
      <c r="G24" s="260"/>
      <c r="H24" s="38"/>
      <c r="I24" s="26"/>
      <c r="J24" s="12"/>
    </row>
    <row r="25" spans="1:10" ht="26.7" customHeight="1">
      <c r="A25" s="39"/>
      <c r="B25" s="38"/>
      <c r="C25" s="38"/>
      <c r="D25" s="259"/>
      <c r="E25" s="260"/>
      <c r="F25" s="279"/>
      <c r="G25" s="260"/>
      <c r="H25" s="38"/>
      <c r="I25" s="121"/>
      <c r="J25" s="12"/>
    </row>
    <row r="26" spans="1:10" ht="26.7" customHeight="1">
      <c r="A26" s="39"/>
      <c r="B26" s="38"/>
      <c r="C26" s="38"/>
      <c r="D26" s="259"/>
      <c r="E26" s="260"/>
      <c r="F26" s="279"/>
      <c r="G26" s="260"/>
      <c r="H26" s="38"/>
      <c r="I26" s="26"/>
      <c r="J26" s="12"/>
    </row>
    <row r="27" spans="1:10" ht="26.7" customHeight="1">
      <c r="A27" s="39"/>
      <c r="B27" s="38"/>
      <c r="C27" s="38"/>
      <c r="D27" s="259"/>
      <c r="E27" s="260"/>
      <c r="F27" s="279"/>
      <c r="G27" s="260"/>
      <c r="H27" s="38"/>
      <c r="I27" s="26"/>
      <c r="J27" s="12"/>
    </row>
    <row r="28" spans="1:10" ht="26.7" customHeight="1">
      <c r="A28" s="39"/>
      <c r="B28" s="38"/>
      <c r="C28" s="38"/>
      <c r="D28" s="259"/>
      <c r="E28" s="260"/>
      <c r="F28" s="279"/>
      <c r="G28" s="260"/>
      <c r="H28" s="38"/>
      <c r="I28" s="26"/>
      <c r="J28" s="12"/>
    </row>
    <row r="29" spans="1:10" ht="26.7" customHeight="1">
      <c r="A29" s="39"/>
      <c r="B29" s="38"/>
      <c r="C29" s="38"/>
      <c r="D29" s="259"/>
      <c r="E29" s="260"/>
      <c r="F29" s="279"/>
      <c r="G29" s="260"/>
      <c r="H29" s="38"/>
      <c r="I29" s="26"/>
      <c r="J29" s="12"/>
    </row>
    <row r="30" spans="1:10" ht="26.7" customHeight="1">
      <c r="A30" s="39"/>
      <c r="B30" s="38"/>
      <c r="C30" s="38"/>
      <c r="D30" s="259"/>
      <c r="E30" s="260"/>
      <c r="F30" s="279"/>
      <c r="G30" s="260"/>
      <c r="H30" s="38"/>
      <c r="I30" s="26"/>
      <c r="J30" s="12"/>
    </row>
    <row r="31" spans="1:10" ht="26.7" customHeight="1" thickBot="1">
      <c r="A31" s="39"/>
      <c r="B31" s="38"/>
      <c r="C31" s="38"/>
      <c r="D31" s="264"/>
      <c r="E31" s="265"/>
      <c r="F31" s="279"/>
      <c r="G31" s="260"/>
      <c r="H31" s="38"/>
      <c r="I31" s="32"/>
      <c r="J31" s="12"/>
    </row>
    <row r="32" spans="1:10" ht="21" customHeight="1">
      <c r="A32" s="39"/>
      <c r="B32" s="38"/>
      <c r="C32" s="38"/>
      <c r="D32" s="276"/>
      <c r="E32" s="277"/>
      <c r="F32" s="279"/>
      <c r="G32" s="260"/>
      <c r="H32" s="38"/>
      <c r="I32" s="22"/>
      <c r="J32" s="3"/>
    </row>
    <row r="33" spans="1:9" ht="21" customHeight="1">
      <c r="A33" s="39"/>
      <c r="B33" s="38"/>
      <c r="C33" s="38"/>
      <c r="D33" s="259"/>
      <c r="E33" s="260"/>
      <c r="F33" s="279"/>
      <c r="G33" s="260"/>
      <c r="H33" s="38"/>
      <c r="I33" s="7"/>
    </row>
    <row r="34" spans="1:9" ht="21" customHeight="1">
      <c r="A34" s="39"/>
      <c r="B34" s="38"/>
      <c r="C34" s="38"/>
      <c r="D34" s="259"/>
      <c r="E34" s="260"/>
      <c r="F34" s="279"/>
      <c r="G34" s="260"/>
      <c r="H34" s="38"/>
      <c r="I34" s="141"/>
    </row>
    <row r="35" spans="1:9" ht="21" customHeight="1">
      <c r="A35" s="39"/>
      <c r="B35" s="38"/>
      <c r="C35" s="38"/>
      <c r="D35" s="259"/>
      <c r="E35" s="260"/>
      <c r="F35" s="279"/>
      <c r="G35" s="260"/>
      <c r="H35" s="38"/>
      <c r="I35" s="7"/>
    </row>
    <row r="36" spans="1:9" ht="21" customHeight="1">
      <c r="A36" s="39"/>
      <c r="B36" s="38"/>
      <c r="C36" s="38"/>
      <c r="D36" s="259"/>
      <c r="E36" s="260"/>
      <c r="F36" s="279"/>
      <c r="G36" s="260"/>
      <c r="H36" s="38"/>
      <c r="I36" s="7"/>
    </row>
    <row r="37" spans="1:9" ht="21" customHeight="1">
      <c r="A37" s="39"/>
      <c r="B37" s="6"/>
      <c r="C37" s="38"/>
      <c r="D37" s="259"/>
      <c r="E37" s="260"/>
      <c r="F37" s="279"/>
      <c r="G37" s="260"/>
      <c r="H37" s="38"/>
      <c r="I37" s="141"/>
    </row>
    <row r="38" spans="1:9" ht="21" customHeight="1">
      <c r="A38" s="39"/>
      <c r="B38" s="38"/>
      <c r="C38" s="38"/>
      <c r="D38" s="259"/>
      <c r="E38" s="260"/>
      <c r="F38" s="279"/>
      <c r="G38" s="260"/>
      <c r="H38" s="38"/>
      <c r="I38" s="7"/>
    </row>
    <row r="39" spans="1:9" ht="21" customHeight="1">
      <c r="A39" s="39"/>
      <c r="B39" s="6"/>
      <c r="C39" s="38"/>
      <c r="D39" s="259"/>
      <c r="E39" s="260"/>
      <c r="F39" s="279"/>
      <c r="G39" s="260"/>
      <c r="H39" s="38"/>
      <c r="I39" s="7"/>
    </row>
    <row r="40" spans="1:9" ht="21" customHeight="1">
      <c r="A40" s="39"/>
      <c r="B40" s="6"/>
      <c r="C40" s="38"/>
      <c r="D40" s="259"/>
      <c r="E40" s="260"/>
      <c r="F40" s="279"/>
      <c r="G40" s="260"/>
      <c r="H40" s="38"/>
      <c r="I40" s="7"/>
    </row>
    <row r="41" spans="1:9" ht="21" customHeight="1">
      <c r="A41" s="39"/>
      <c r="B41" s="6"/>
      <c r="C41" s="38"/>
      <c r="D41" s="259"/>
      <c r="E41" s="260"/>
      <c r="F41" s="279"/>
      <c r="G41" s="260"/>
      <c r="H41" s="38"/>
      <c r="I41" s="7"/>
    </row>
    <row r="42" spans="1:9" ht="21" customHeight="1">
      <c r="A42" s="39"/>
      <c r="B42" s="6"/>
      <c r="C42" s="38"/>
      <c r="D42" s="259"/>
      <c r="E42" s="260"/>
      <c r="F42" s="279"/>
      <c r="G42" s="260"/>
      <c r="H42" s="38"/>
      <c r="I42" s="7"/>
    </row>
    <row r="43" spans="1:9" ht="21" customHeight="1">
      <c r="A43" s="39"/>
      <c r="B43" s="6"/>
      <c r="C43" s="38"/>
      <c r="D43" s="259"/>
      <c r="E43" s="260"/>
      <c r="F43" s="279"/>
      <c r="G43" s="260"/>
      <c r="H43" s="38"/>
      <c r="I43" s="7"/>
    </row>
    <row r="44" spans="1:9" ht="21" customHeight="1">
      <c r="A44" s="39"/>
      <c r="B44" s="6"/>
      <c r="C44" s="38"/>
      <c r="D44" s="259"/>
      <c r="E44" s="260"/>
      <c r="F44" s="279"/>
      <c r="G44" s="260"/>
      <c r="H44" s="38"/>
      <c r="I44" s="7"/>
    </row>
    <row r="45" spans="1:9" ht="21" customHeight="1">
      <c r="A45" s="39"/>
      <c r="B45" s="6"/>
      <c r="C45" s="38"/>
      <c r="D45" s="259"/>
      <c r="E45" s="260"/>
      <c r="F45" s="279"/>
      <c r="G45" s="260"/>
      <c r="H45" s="38"/>
      <c r="I45" s="7"/>
    </row>
    <row r="46" spans="1:9" ht="21" customHeight="1">
      <c r="A46" s="39"/>
      <c r="B46" s="6"/>
      <c r="C46" s="38"/>
      <c r="D46" s="259"/>
      <c r="E46" s="260"/>
      <c r="F46" s="279"/>
      <c r="G46" s="260"/>
      <c r="H46" s="38"/>
      <c r="I46" s="7"/>
    </row>
    <row r="47" spans="1:9" ht="21" customHeight="1">
      <c r="A47" s="39"/>
      <c r="B47" s="6"/>
      <c r="C47" s="38"/>
      <c r="D47" s="259"/>
      <c r="E47" s="260"/>
      <c r="F47" s="279"/>
      <c r="G47" s="260"/>
      <c r="H47" s="38"/>
      <c r="I47" s="7"/>
    </row>
    <row r="48" spans="1:9" ht="21" customHeight="1">
      <c r="A48" s="39"/>
      <c r="B48" s="6"/>
      <c r="C48" s="38"/>
      <c r="D48" s="259"/>
      <c r="E48" s="260"/>
      <c r="F48" s="279"/>
      <c r="G48" s="260"/>
      <c r="H48" s="38"/>
      <c r="I48" s="7"/>
    </row>
    <row r="49" spans="1:9" ht="21" customHeight="1">
      <c r="A49" s="39"/>
      <c r="B49" s="8"/>
      <c r="C49" s="38"/>
      <c r="D49" s="259"/>
      <c r="E49" s="260"/>
      <c r="F49" s="279"/>
      <c r="G49" s="260"/>
      <c r="H49" s="38"/>
      <c r="I49" s="11"/>
    </row>
    <row r="50" spans="1:9" ht="21" customHeight="1">
      <c r="A50" s="39"/>
      <c r="B50" s="6"/>
      <c r="C50" s="38"/>
      <c r="D50" s="259"/>
      <c r="E50" s="260"/>
      <c r="F50" s="279"/>
      <c r="G50" s="260"/>
      <c r="H50" s="38"/>
      <c r="I50" s="7"/>
    </row>
    <row r="51" spans="1:9" ht="21" customHeight="1">
      <c r="A51" s="39"/>
      <c r="B51" s="6"/>
      <c r="C51" s="38"/>
      <c r="D51" s="259"/>
      <c r="E51" s="260"/>
      <c r="F51" s="279"/>
      <c r="G51" s="260"/>
      <c r="H51" s="38"/>
      <c r="I51" s="7"/>
    </row>
    <row r="52" spans="1:9" ht="21" customHeight="1">
      <c r="A52" s="39"/>
      <c r="B52" s="6"/>
      <c r="C52" s="38"/>
      <c r="D52" s="259"/>
      <c r="E52" s="260"/>
      <c r="F52" s="279"/>
      <c r="G52" s="260"/>
      <c r="H52" s="38"/>
      <c r="I52" s="7"/>
    </row>
    <row r="53" spans="1:9" ht="21" customHeight="1">
      <c r="A53" s="39"/>
      <c r="B53" s="6"/>
      <c r="C53" s="38"/>
      <c r="D53" s="259"/>
      <c r="E53" s="260"/>
      <c r="F53" s="279"/>
      <c r="G53" s="260"/>
      <c r="H53" s="38"/>
      <c r="I53" s="7"/>
    </row>
    <row r="54" spans="1:9" ht="21" customHeight="1">
      <c r="A54" s="39"/>
      <c r="B54" s="6"/>
      <c r="C54" s="38"/>
      <c r="D54" s="259"/>
      <c r="E54" s="260"/>
      <c r="F54" s="279"/>
      <c r="G54" s="260"/>
      <c r="H54" s="38"/>
      <c r="I54" s="7"/>
    </row>
    <row r="55" spans="1:9" ht="21" customHeight="1">
      <c r="A55" s="39"/>
      <c r="B55" s="6"/>
      <c r="C55" s="38"/>
      <c r="D55" s="259"/>
      <c r="E55" s="260"/>
      <c r="F55" s="279"/>
      <c r="G55" s="260"/>
      <c r="H55" s="38"/>
      <c r="I55" s="7"/>
    </row>
    <row r="56" spans="1:9" ht="21" customHeight="1">
      <c r="A56" s="39"/>
      <c r="B56" s="6"/>
      <c r="C56" s="38"/>
      <c r="D56" s="259"/>
      <c r="E56" s="260"/>
      <c r="F56" s="279"/>
      <c r="G56" s="260"/>
      <c r="H56" s="38"/>
      <c r="I56" s="16"/>
    </row>
    <row r="57" spans="1:9" ht="21" customHeight="1">
      <c r="A57" s="39"/>
      <c r="B57" s="6"/>
      <c r="C57" s="3"/>
      <c r="D57" s="259"/>
      <c r="E57" s="260"/>
      <c r="F57" s="279"/>
      <c r="G57" s="260"/>
      <c r="H57" s="7"/>
      <c r="I57" s="7"/>
    </row>
    <row r="58" spans="1:9" ht="21" customHeight="1">
      <c r="A58" s="39"/>
      <c r="B58" s="6"/>
      <c r="C58" s="3"/>
      <c r="D58" s="259"/>
      <c r="E58" s="260"/>
      <c r="F58" s="279"/>
      <c r="G58" s="260"/>
      <c r="H58" s="7"/>
      <c r="I58" s="7"/>
    </row>
    <row r="59" spans="1:9" ht="21" customHeight="1">
      <c r="A59" s="39"/>
      <c r="B59" s="6"/>
      <c r="C59" s="3"/>
      <c r="D59" s="259"/>
      <c r="E59" s="260"/>
      <c r="F59" s="279"/>
      <c r="G59" s="260"/>
      <c r="H59" s="7"/>
      <c r="I59" s="7"/>
    </row>
    <row r="60" spans="1:9" ht="21" customHeight="1">
      <c r="A60" s="39"/>
      <c r="B60" s="6"/>
      <c r="C60" s="3"/>
      <c r="D60" s="259"/>
      <c r="E60" s="260"/>
      <c r="F60" s="279"/>
      <c r="G60" s="260"/>
      <c r="H60" s="7"/>
      <c r="I60" s="7"/>
    </row>
    <row r="61" spans="1:9" ht="21" customHeight="1">
      <c r="A61" s="39"/>
      <c r="B61" s="6"/>
      <c r="C61" s="9"/>
      <c r="D61" s="259"/>
      <c r="E61" s="260"/>
      <c r="F61" s="279"/>
      <c r="G61" s="260"/>
      <c r="H61" s="7"/>
      <c r="I61" s="7"/>
    </row>
    <row r="62" spans="1:9" ht="21" customHeight="1">
      <c r="A62" s="39"/>
      <c r="B62" s="6"/>
      <c r="C62" s="3"/>
      <c r="D62" s="259"/>
      <c r="E62" s="260"/>
      <c r="F62" s="279"/>
      <c r="G62" s="260"/>
      <c r="H62" s="7"/>
      <c r="I62" s="7"/>
    </row>
    <row r="63" spans="1:9" ht="21" customHeight="1">
      <c r="A63" s="39"/>
      <c r="B63" s="6"/>
      <c r="C63" s="3"/>
      <c r="D63" s="259"/>
      <c r="E63" s="260"/>
      <c r="F63" s="279"/>
      <c r="G63" s="260"/>
      <c r="H63" s="7"/>
      <c r="I63" s="7"/>
    </row>
    <row r="64" spans="1:9" ht="21" customHeight="1">
      <c r="A64" s="39"/>
      <c r="B64" s="6"/>
      <c r="C64" s="3"/>
      <c r="D64" s="259"/>
      <c r="E64" s="260"/>
      <c r="F64" s="279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79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79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79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79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79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79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79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79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79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79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79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79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79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79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79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79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79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79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79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79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79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79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79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79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79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79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79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79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79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79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79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79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9"/>
  <dimension ref="A1:O97"/>
  <sheetViews>
    <sheetView workbookViewId="0">
      <selection activeCell="I10" sqref="I10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1252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1253</v>
      </c>
      <c r="C3" s="263"/>
      <c r="D3" s="260"/>
      <c r="E3" s="266" t="s">
        <v>11</v>
      </c>
      <c r="F3" s="263"/>
      <c r="G3" s="260"/>
      <c r="H3" s="268" t="s">
        <v>1254</v>
      </c>
      <c r="I3" s="269"/>
      <c r="J3" s="19" t="str">
        <f>B3</f>
        <v>Modipanol 1mg</v>
      </c>
      <c r="K3" s="34"/>
      <c r="L3" s="5">
        <f>H7</f>
        <v>0</v>
      </c>
      <c r="M3" s="3">
        <f>SUM(C:C)</f>
        <v>60</v>
      </c>
      <c r="N3" s="3">
        <f>SUM(F:F)</f>
        <v>56</v>
      </c>
      <c r="O3" s="3">
        <f>L3+M3-N3</f>
        <v>4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316" t="s">
        <v>1165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187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ht="26.7" customHeight="1">
      <c r="A8" s="39" t="s">
        <v>764</v>
      </c>
      <c r="B8" s="38" t="s">
        <v>324</v>
      </c>
      <c r="C8" s="38">
        <v>60</v>
      </c>
      <c r="D8" s="279" t="s">
        <v>1255</v>
      </c>
      <c r="E8" s="260"/>
      <c r="F8" s="279"/>
      <c r="G8" s="260"/>
      <c r="H8" s="38">
        <v>60</v>
      </c>
      <c r="I8" s="114" t="s">
        <v>437</v>
      </c>
      <c r="J8" s="12"/>
      <c r="K8" s="3"/>
      <c r="L8" s="3"/>
      <c r="M8" s="3"/>
      <c r="N8" s="3"/>
      <c r="O8" s="3"/>
    </row>
    <row r="9" spans="1:15" ht="26.7" customHeight="1">
      <c r="A9" s="39" t="s">
        <v>361</v>
      </c>
      <c r="B9" s="38" t="s">
        <v>323</v>
      </c>
      <c r="C9" s="38"/>
      <c r="D9" s="279"/>
      <c r="E9" s="260"/>
      <c r="F9" s="279">
        <v>28</v>
      </c>
      <c r="G9" s="260"/>
      <c r="H9" s="38">
        <f>H8-F9</f>
        <v>32</v>
      </c>
      <c r="I9" s="37" t="s">
        <v>1256</v>
      </c>
      <c r="J9" s="12"/>
      <c r="K9" s="3"/>
      <c r="L9" s="3"/>
      <c r="M9" s="3"/>
      <c r="N9" s="3"/>
      <c r="O9" s="3"/>
    </row>
    <row r="10" spans="1:15" ht="26.7" customHeight="1">
      <c r="A10" s="39" t="s">
        <v>766</v>
      </c>
      <c r="B10" s="38" t="s">
        <v>323</v>
      </c>
      <c r="C10" s="38"/>
      <c r="D10" s="279"/>
      <c r="E10" s="260"/>
      <c r="F10" s="279">
        <v>28</v>
      </c>
      <c r="G10" s="260"/>
      <c r="H10" s="38">
        <f>H9-F10</f>
        <v>4</v>
      </c>
      <c r="I10" s="37" t="s">
        <v>1256</v>
      </c>
      <c r="J10" s="12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35"/>
      <c r="J11" s="12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35"/>
      <c r="J12" s="12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35"/>
      <c r="J13" s="12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35"/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35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35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35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35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35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35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35"/>
      <c r="J21" s="12"/>
    </row>
    <row r="22" spans="1:10" ht="26.7" customHeight="1">
      <c r="A22" s="39"/>
      <c r="B22" s="38"/>
      <c r="C22" s="38"/>
      <c r="D22" s="279"/>
      <c r="E22" s="260"/>
      <c r="F22" s="279"/>
      <c r="G22" s="260"/>
      <c r="H22" s="38"/>
      <c r="I22" s="35"/>
      <c r="J22" s="12"/>
    </row>
    <row r="23" spans="1:10" ht="26.7" customHeight="1">
      <c r="A23" s="39"/>
      <c r="B23" s="38"/>
      <c r="C23" s="38"/>
      <c r="D23" s="279"/>
      <c r="E23" s="260"/>
      <c r="F23" s="279"/>
      <c r="G23" s="260"/>
      <c r="H23" s="38"/>
      <c r="I23" s="35"/>
      <c r="J23" s="12"/>
    </row>
    <row r="24" spans="1:10" ht="26.7" customHeight="1">
      <c r="A24" s="39"/>
      <c r="B24" s="38"/>
      <c r="C24" s="38"/>
      <c r="D24" s="279"/>
      <c r="E24" s="260"/>
      <c r="F24" s="279"/>
      <c r="G24" s="260"/>
      <c r="H24" s="38"/>
      <c r="I24" s="35"/>
      <c r="J24" s="12"/>
    </row>
    <row r="25" spans="1:10">
      <c r="A25" s="39"/>
      <c r="B25" s="38"/>
      <c r="C25" s="38"/>
      <c r="D25" s="279"/>
      <c r="E25" s="260"/>
      <c r="F25" s="279"/>
      <c r="G25" s="260"/>
      <c r="H25" s="38"/>
      <c r="I25" s="35"/>
      <c r="J25" s="3"/>
    </row>
    <row r="26" spans="1:10">
      <c r="A26" s="39"/>
      <c r="B26" s="38"/>
      <c r="C26" s="38"/>
      <c r="D26" s="279"/>
      <c r="E26" s="260"/>
      <c r="F26" s="279"/>
      <c r="G26" s="260"/>
      <c r="H26" s="38"/>
      <c r="I26" s="35"/>
    </row>
    <row r="27" spans="1:10">
      <c r="A27" s="39"/>
      <c r="B27" s="38"/>
      <c r="C27" s="38"/>
      <c r="D27" s="279"/>
      <c r="E27" s="260"/>
      <c r="F27" s="279"/>
      <c r="G27" s="260"/>
      <c r="H27" s="38"/>
      <c r="I27" s="35"/>
    </row>
    <row r="28" spans="1:10">
      <c r="A28" s="39"/>
      <c r="B28" s="38"/>
      <c r="C28" s="38"/>
      <c r="D28" s="279"/>
      <c r="E28" s="260"/>
      <c r="F28" s="279"/>
      <c r="G28" s="260"/>
      <c r="H28" s="38"/>
      <c r="I28" s="35"/>
    </row>
    <row r="29" spans="1:10">
      <c r="A29" s="39"/>
      <c r="B29" s="38"/>
      <c r="C29" s="38"/>
      <c r="D29" s="279"/>
      <c r="E29" s="260"/>
      <c r="F29" s="279"/>
      <c r="G29" s="260"/>
      <c r="H29" s="38"/>
      <c r="I29" s="35"/>
    </row>
    <row r="30" spans="1:10">
      <c r="A30" s="39"/>
      <c r="B30" s="38"/>
      <c r="C30" s="38"/>
      <c r="D30" s="279"/>
      <c r="E30" s="260"/>
      <c r="F30" s="279"/>
      <c r="G30" s="260"/>
      <c r="H30" s="38"/>
      <c r="I30" s="35"/>
    </row>
    <row r="31" spans="1:10">
      <c r="A31" s="39"/>
      <c r="B31" s="38"/>
      <c r="C31" s="38"/>
      <c r="D31" s="279"/>
      <c r="E31" s="260"/>
      <c r="F31" s="279"/>
      <c r="G31" s="260"/>
      <c r="H31" s="38"/>
      <c r="I31" s="35"/>
    </row>
    <row r="32" spans="1:10">
      <c r="A32" s="39"/>
      <c r="B32" s="38"/>
      <c r="C32" s="38"/>
      <c r="D32" s="279"/>
      <c r="E32" s="260"/>
      <c r="F32" s="279"/>
      <c r="G32" s="260"/>
      <c r="H32" s="38"/>
      <c r="I32" s="35"/>
    </row>
    <row r="33" spans="1:9">
      <c r="A33" s="39"/>
      <c r="B33" s="38"/>
      <c r="C33" s="38"/>
      <c r="D33" s="279"/>
      <c r="E33" s="260"/>
      <c r="F33" s="279"/>
      <c r="G33" s="260"/>
      <c r="H33" s="38"/>
      <c r="I33" s="35"/>
    </row>
    <row r="34" spans="1:9">
      <c r="A34" s="39"/>
      <c r="B34" s="38"/>
      <c r="C34" s="38"/>
      <c r="D34" s="279"/>
      <c r="E34" s="260"/>
      <c r="F34" s="279"/>
      <c r="G34" s="260"/>
      <c r="H34" s="38"/>
      <c r="I34" s="35"/>
    </row>
    <row r="35" spans="1:9">
      <c r="A35" s="39"/>
      <c r="B35" s="38"/>
      <c r="C35" s="38"/>
      <c r="D35" s="279"/>
      <c r="E35" s="260"/>
      <c r="F35" s="279"/>
      <c r="G35" s="260"/>
      <c r="H35" s="38"/>
      <c r="I35" s="35"/>
    </row>
    <row r="36" spans="1:9">
      <c r="A36" s="39"/>
      <c r="B36" s="38"/>
      <c r="C36" s="38"/>
      <c r="D36" s="279"/>
      <c r="E36" s="260"/>
      <c r="F36" s="279"/>
      <c r="G36" s="260"/>
      <c r="H36" s="38"/>
      <c r="I36" s="35"/>
    </row>
    <row r="37" spans="1:9">
      <c r="A37" s="39"/>
      <c r="B37" s="38"/>
      <c r="C37" s="38"/>
      <c r="D37" s="279"/>
      <c r="E37" s="260"/>
      <c r="F37" s="279"/>
      <c r="G37" s="260"/>
      <c r="H37" s="38"/>
      <c r="I37" s="35"/>
    </row>
    <row r="38" spans="1:9">
      <c r="A38" s="39"/>
      <c r="B38" s="38"/>
      <c r="C38" s="38"/>
      <c r="D38" s="279"/>
      <c r="E38" s="260"/>
      <c r="F38" s="279"/>
      <c r="G38" s="260"/>
      <c r="H38" s="38"/>
      <c r="I38" s="35"/>
    </row>
    <row r="39" spans="1:9">
      <c r="A39" s="39"/>
      <c r="B39" s="38"/>
      <c r="C39" s="38"/>
      <c r="D39" s="279"/>
      <c r="E39" s="260"/>
      <c r="F39" s="279"/>
      <c r="G39" s="260"/>
      <c r="H39" s="38"/>
      <c r="I39" s="35"/>
    </row>
    <row r="40" spans="1:9">
      <c r="A40" s="39"/>
      <c r="B40" s="38"/>
      <c r="C40" s="38"/>
      <c r="D40" s="279"/>
      <c r="E40" s="260"/>
      <c r="F40" s="279"/>
      <c r="G40" s="260"/>
      <c r="H40" s="38"/>
      <c r="I40" s="35"/>
    </row>
    <row r="41" spans="1:9">
      <c r="A41" s="39"/>
      <c r="B41" s="38"/>
      <c r="C41" s="38"/>
      <c r="D41" s="279"/>
      <c r="E41" s="260"/>
      <c r="F41" s="279"/>
      <c r="G41" s="260"/>
      <c r="H41" s="38"/>
      <c r="I41" s="35"/>
    </row>
    <row r="42" spans="1:9">
      <c r="A42" s="39"/>
      <c r="B42" s="38"/>
      <c r="C42" s="38"/>
      <c r="D42" s="279"/>
      <c r="E42" s="260"/>
      <c r="F42" s="279"/>
      <c r="G42" s="260"/>
      <c r="H42" s="38"/>
      <c r="I42" s="35"/>
    </row>
    <row r="43" spans="1:9">
      <c r="A43" s="39"/>
      <c r="B43" s="38"/>
      <c r="C43" s="38"/>
      <c r="D43" s="279"/>
      <c r="E43" s="260"/>
      <c r="F43" s="279"/>
      <c r="G43" s="260"/>
      <c r="H43" s="38"/>
      <c r="I43" s="35"/>
    </row>
    <row r="44" spans="1:9">
      <c r="A44" s="39"/>
      <c r="B44" s="38"/>
      <c r="C44" s="38"/>
      <c r="D44" s="279"/>
      <c r="E44" s="260"/>
      <c r="F44" s="279"/>
      <c r="G44" s="260"/>
      <c r="H44" s="38"/>
      <c r="I44" s="35"/>
    </row>
    <row r="45" spans="1:9">
      <c r="A45" s="39"/>
      <c r="B45" s="38"/>
      <c r="C45" s="38"/>
      <c r="D45" s="279"/>
      <c r="E45" s="260"/>
      <c r="F45" s="279"/>
      <c r="G45" s="260"/>
      <c r="H45" s="38"/>
      <c r="I45" s="35"/>
    </row>
    <row r="46" spans="1:9">
      <c r="A46" s="39"/>
      <c r="B46" s="38"/>
      <c r="C46" s="38"/>
      <c r="D46" s="279"/>
      <c r="E46" s="260"/>
      <c r="F46" s="279"/>
      <c r="G46" s="260"/>
      <c r="H46" s="38"/>
      <c r="I46" s="35"/>
    </row>
    <row r="47" spans="1:9">
      <c r="A47" s="39"/>
      <c r="B47" s="38"/>
      <c r="C47" s="38"/>
      <c r="D47" s="279"/>
      <c r="E47" s="260"/>
      <c r="F47" s="279"/>
      <c r="G47" s="260"/>
      <c r="H47" s="38"/>
      <c r="I47" s="35"/>
    </row>
    <row r="48" spans="1:9">
      <c r="A48" s="39"/>
      <c r="B48" s="38"/>
      <c r="C48" s="38"/>
      <c r="D48" s="279"/>
      <c r="E48" s="260"/>
      <c r="F48" s="279"/>
      <c r="G48" s="260"/>
      <c r="H48" s="38"/>
      <c r="I48" s="35"/>
    </row>
    <row r="49" spans="1:9">
      <c r="A49" s="39"/>
      <c r="B49" s="38"/>
      <c r="C49" s="38"/>
      <c r="D49" s="279"/>
      <c r="E49" s="260"/>
      <c r="F49" s="279"/>
      <c r="G49" s="260"/>
      <c r="H49" s="38"/>
      <c r="I49" s="35"/>
    </row>
    <row r="50" spans="1:9">
      <c r="A50" s="39"/>
      <c r="B50" s="38"/>
      <c r="C50" s="38"/>
      <c r="D50" s="279"/>
      <c r="E50" s="260"/>
      <c r="F50" s="279"/>
      <c r="G50" s="260"/>
      <c r="H50" s="38"/>
      <c r="I50" s="35"/>
    </row>
    <row r="51" spans="1:9">
      <c r="A51" s="39"/>
      <c r="B51" s="38"/>
      <c r="C51" s="38"/>
      <c r="D51" s="279"/>
      <c r="E51" s="260"/>
      <c r="F51" s="279"/>
      <c r="G51" s="260"/>
      <c r="H51" s="38"/>
      <c r="I51" s="35"/>
    </row>
    <row r="52" spans="1:9">
      <c r="A52" s="39"/>
      <c r="B52" s="38"/>
      <c r="C52" s="38"/>
      <c r="D52" s="279"/>
      <c r="E52" s="260"/>
      <c r="F52" s="279"/>
      <c r="G52" s="260"/>
      <c r="H52" s="38"/>
      <c r="I52" s="35"/>
    </row>
    <row r="53" spans="1:9">
      <c r="A53" s="39"/>
      <c r="B53" s="38"/>
      <c r="C53" s="38"/>
      <c r="D53" s="279"/>
      <c r="E53" s="260"/>
      <c r="F53" s="279"/>
      <c r="G53" s="260"/>
      <c r="H53" s="38"/>
      <c r="I53" s="35"/>
    </row>
    <row r="54" spans="1:9">
      <c r="A54" s="39"/>
      <c r="B54" s="38"/>
      <c r="C54" s="38"/>
      <c r="D54" s="279"/>
      <c r="E54" s="260"/>
      <c r="F54" s="279"/>
      <c r="G54" s="260"/>
      <c r="H54" s="38"/>
      <c r="I54" s="35"/>
    </row>
    <row r="55" spans="1:9">
      <c r="A55" s="39"/>
      <c r="B55" s="38"/>
      <c r="C55" s="38"/>
      <c r="D55" s="279"/>
      <c r="E55" s="260"/>
      <c r="F55" s="279"/>
      <c r="G55" s="260"/>
      <c r="H55" s="38"/>
      <c r="I55" s="35"/>
    </row>
    <row r="56" spans="1:9">
      <c r="A56" s="39"/>
      <c r="B56" s="38"/>
      <c r="C56" s="38"/>
      <c r="D56" s="279"/>
      <c r="E56" s="260"/>
      <c r="F56" s="279"/>
      <c r="G56" s="260"/>
      <c r="H56" s="38"/>
      <c r="I56" s="35"/>
    </row>
    <row r="57" spans="1:9">
      <c r="A57" s="39"/>
      <c r="B57" s="38"/>
      <c r="C57" s="38"/>
      <c r="D57" s="279"/>
      <c r="E57" s="260"/>
      <c r="F57" s="279"/>
      <c r="G57" s="260"/>
      <c r="H57" s="38"/>
      <c r="I57" s="35"/>
    </row>
    <row r="58" spans="1:9">
      <c r="A58" s="39"/>
      <c r="B58" s="38"/>
      <c r="C58" s="38"/>
      <c r="D58" s="279"/>
      <c r="E58" s="260"/>
      <c r="F58" s="279"/>
      <c r="G58" s="260"/>
      <c r="H58" s="38"/>
      <c r="I58" s="35"/>
    </row>
    <row r="59" spans="1:9">
      <c r="A59" s="39"/>
      <c r="B59" s="38"/>
      <c r="C59" s="38"/>
      <c r="D59" s="279"/>
      <c r="E59" s="260"/>
      <c r="F59" s="279"/>
      <c r="G59" s="260"/>
      <c r="H59" s="38"/>
      <c r="I59" s="35"/>
    </row>
    <row r="60" spans="1:9">
      <c r="A60" s="39"/>
      <c r="B60" s="38"/>
      <c r="C60" s="38"/>
      <c r="D60" s="279"/>
      <c r="E60" s="260"/>
      <c r="F60" s="279"/>
      <c r="G60" s="260"/>
      <c r="H60" s="38"/>
      <c r="I60" s="35"/>
    </row>
    <row r="61" spans="1:9">
      <c r="A61" s="39"/>
      <c r="B61" s="38"/>
      <c r="C61" s="38"/>
      <c r="D61" s="279"/>
      <c r="E61" s="260"/>
      <c r="F61" s="279"/>
      <c r="G61" s="260"/>
      <c r="H61" s="38"/>
      <c r="I61" s="35"/>
    </row>
    <row r="62" spans="1:9">
      <c r="A62" s="39"/>
      <c r="B62" s="38"/>
      <c r="C62" s="38"/>
      <c r="D62" s="279"/>
      <c r="E62" s="260"/>
      <c r="F62" s="279"/>
      <c r="G62" s="260"/>
      <c r="H62" s="38"/>
      <c r="I62" s="35"/>
    </row>
    <row r="63" spans="1:9">
      <c r="A63" s="39"/>
      <c r="B63" s="38"/>
      <c r="C63" s="38"/>
      <c r="D63" s="279"/>
      <c r="E63" s="260"/>
      <c r="F63" s="279"/>
      <c r="G63" s="260"/>
      <c r="H63" s="38"/>
      <c r="I63" s="35"/>
    </row>
    <row r="64" spans="1:9">
      <c r="A64" s="39"/>
      <c r="B64" s="38"/>
      <c r="C64" s="38"/>
      <c r="D64" s="279"/>
      <c r="E64" s="260"/>
      <c r="F64" s="279"/>
      <c r="G64" s="260"/>
      <c r="H64" s="38"/>
      <c r="I64" s="35"/>
    </row>
    <row r="65" spans="1:9">
      <c r="A65" s="39"/>
      <c r="B65" s="38"/>
      <c r="C65" s="38"/>
      <c r="D65" s="279"/>
      <c r="E65" s="260"/>
      <c r="F65" s="279"/>
      <c r="G65" s="260"/>
      <c r="H65" s="38"/>
      <c r="I65" s="35"/>
    </row>
    <row r="66" spans="1:9">
      <c r="A66" s="39"/>
      <c r="B66" s="38"/>
      <c r="C66" s="38"/>
      <c r="D66" s="279"/>
      <c r="E66" s="260"/>
      <c r="F66" s="279"/>
      <c r="G66" s="260"/>
      <c r="H66" s="38"/>
      <c r="I66" s="35"/>
    </row>
    <row r="67" spans="1:9">
      <c r="A67" s="39"/>
      <c r="B67" s="38"/>
      <c r="C67" s="38"/>
      <c r="D67" s="279"/>
      <c r="E67" s="260"/>
      <c r="F67" s="279"/>
      <c r="G67" s="260"/>
      <c r="H67" s="38"/>
      <c r="I67" s="35"/>
    </row>
    <row r="68" spans="1:9" ht="21" customHeight="1">
      <c r="A68" s="15"/>
      <c r="B68" s="6"/>
      <c r="C68" s="3"/>
      <c r="D68" s="259"/>
      <c r="E68" s="260"/>
      <c r="F68" s="261"/>
      <c r="G68" s="260"/>
      <c r="H68" s="38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38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38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38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38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38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38"/>
      <c r="I74" s="7"/>
    </row>
    <row r="75" spans="1:9" ht="21" customHeight="1">
      <c r="A75" s="14"/>
      <c r="B75" s="8"/>
      <c r="C75" s="9"/>
      <c r="D75" s="259"/>
      <c r="E75" s="260"/>
      <c r="F75" s="261"/>
      <c r="G75" s="260"/>
      <c r="H75" s="38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38"/>
      <c r="I76" s="7"/>
    </row>
    <row r="77" spans="1:9" ht="21" customHeight="1">
      <c r="A77" s="15"/>
      <c r="B77" s="8"/>
      <c r="C77" s="9"/>
      <c r="D77" s="259"/>
      <c r="E77" s="260"/>
      <c r="F77" s="261"/>
      <c r="G77" s="260"/>
      <c r="H77" s="7"/>
      <c r="I77" s="11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9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9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</sheetData>
  <mergeCells count="194"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D58:E58"/>
    <mergeCell ref="D18:E18"/>
    <mergeCell ref="F27:G27"/>
    <mergeCell ref="F58:G58"/>
    <mergeCell ref="F52:G52"/>
    <mergeCell ref="F67:G67"/>
    <mergeCell ref="F37:G37"/>
    <mergeCell ref="D74:E74"/>
    <mergeCell ref="D68:E68"/>
    <mergeCell ref="D42:E42"/>
    <mergeCell ref="D82:E82"/>
    <mergeCell ref="F82:G82"/>
    <mergeCell ref="F60:G60"/>
    <mergeCell ref="D50:E50"/>
    <mergeCell ref="D95:E95"/>
    <mergeCell ref="F12:G12"/>
    <mergeCell ref="F24:G24"/>
    <mergeCell ref="F95:G95"/>
    <mergeCell ref="D57:E57"/>
    <mergeCell ref="B2:I2"/>
    <mergeCell ref="F51:G51"/>
    <mergeCell ref="D32:E32"/>
    <mergeCell ref="F32:G32"/>
    <mergeCell ref="D41:E41"/>
    <mergeCell ref="E3:G3"/>
    <mergeCell ref="D8:E8"/>
    <mergeCell ref="B3:D3"/>
    <mergeCell ref="D44:E44"/>
    <mergeCell ref="D59:E59"/>
    <mergeCell ref="F44:G44"/>
    <mergeCell ref="D94:E94"/>
    <mergeCell ref="D69:E69"/>
    <mergeCell ref="F69:G69"/>
    <mergeCell ref="F11:G11"/>
    <mergeCell ref="F78:G78"/>
    <mergeCell ref="F65:G65"/>
    <mergeCell ref="D46:E46"/>
    <mergeCell ref="D40:E40"/>
    <mergeCell ref="H4:I4"/>
    <mergeCell ref="D80:E80"/>
    <mergeCell ref="F40:G40"/>
    <mergeCell ref="D21:E21"/>
    <mergeCell ref="F59:G59"/>
    <mergeCell ref="F55:G55"/>
    <mergeCell ref="D96:E96"/>
    <mergeCell ref="D65:E65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D91:E91"/>
    <mergeCell ref="F8:G8"/>
    <mergeCell ref="F91:G91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A5:B5"/>
    <mergeCell ref="D30:E30"/>
    <mergeCell ref="F49:G49"/>
    <mergeCell ref="D14:E14"/>
    <mergeCell ref="E4:G4"/>
    <mergeCell ref="F14:G14"/>
    <mergeCell ref="D54:E54"/>
    <mergeCell ref="F94:G94"/>
    <mergeCell ref="D66:E66"/>
    <mergeCell ref="F66:G66"/>
    <mergeCell ref="D75:E75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89:E89"/>
    <mergeCell ref="D79:E79"/>
    <mergeCell ref="F64:G64"/>
    <mergeCell ref="F73:G73"/>
    <mergeCell ref="F87:G87"/>
    <mergeCell ref="D63:E63"/>
    <mergeCell ref="D81:E81"/>
    <mergeCell ref="F89:G89"/>
    <mergeCell ref="F92:G92"/>
    <mergeCell ref="D67:E67"/>
    <mergeCell ref="D90:E90"/>
    <mergeCell ref="F63:G63"/>
    <mergeCell ref="F6:G6"/>
    <mergeCell ref="F74:G74"/>
    <mergeCell ref="F83:G83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D9:E9"/>
    <mergeCell ref="F9:G9"/>
    <mergeCell ref="D85:E85"/>
    <mergeCell ref="B4:D4"/>
    <mergeCell ref="F23:G23"/>
    <mergeCell ref="F81:G81"/>
    <mergeCell ref="D62:E62"/>
    <mergeCell ref="D56:E56"/>
    <mergeCell ref="D71:E71"/>
    <mergeCell ref="F13:G13"/>
    <mergeCell ref="F96:G96"/>
    <mergeCell ref="F71:G71"/>
    <mergeCell ref="F56:G56"/>
    <mergeCell ref="F43:G43"/>
    <mergeCell ref="D24:E24"/>
    <mergeCell ref="D64:E64"/>
    <mergeCell ref="D33:E33"/>
    <mergeCell ref="D73:E73"/>
    <mergeCell ref="D51:E51"/>
    <mergeCell ref="D88:E88"/>
    <mergeCell ref="D26:E26"/>
    <mergeCell ref="F88:G88"/>
    <mergeCell ref="F57:G57"/>
    <mergeCell ref="D35:E35"/>
    <mergeCell ref="D10:E10"/>
    <mergeCell ref="F54:G54"/>
    <mergeCell ref="D19:E19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D34:E34"/>
    <mergeCell ref="F19:G19"/>
    <mergeCell ref="F34:G34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F10:G1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0"/>
  <dimension ref="A1:O101"/>
  <sheetViews>
    <sheetView workbookViewId="0">
      <selection sqref="A1:I1"/>
    </sheetView>
  </sheetViews>
  <sheetFormatPr defaultColWidth="8.77734375" defaultRowHeight="16.2"/>
  <cols>
    <col min="1" max="1" width="11.6640625" style="246" customWidth="1"/>
    <col min="2" max="2" width="12.33203125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1257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1258</v>
      </c>
      <c r="C3" s="263"/>
      <c r="D3" s="260"/>
      <c r="E3" s="266" t="s">
        <v>11</v>
      </c>
      <c r="F3" s="263"/>
      <c r="G3" s="260"/>
      <c r="H3" s="268" t="s">
        <v>1259</v>
      </c>
      <c r="I3" s="269"/>
      <c r="J3" s="19" t="str">
        <f>B3</f>
        <v>Methydur S.R 22mg</v>
      </c>
      <c r="K3" s="34" t="s">
        <v>1260</v>
      </c>
      <c r="L3" s="5">
        <f>H7</f>
        <v>6</v>
      </c>
      <c r="M3" s="3">
        <f>SUM(C$8:C$1048576)</f>
        <v>0</v>
      </c>
      <c r="N3" s="3">
        <f>SUM(F:F)</f>
        <v>0</v>
      </c>
      <c r="O3" s="3">
        <f>L3+M3-N3</f>
        <v>6</v>
      </c>
    </row>
    <row r="4" spans="1:15" ht="27.45" customHeight="1">
      <c r="A4" s="23" t="s">
        <v>14</v>
      </c>
      <c r="B4" s="266" t="s">
        <v>405</v>
      </c>
      <c r="C4" s="263"/>
      <c r="D4" s="260"/>
      <c r="E4" s="266" t="s">
        <v>16</v>
      </c>
      <c r="F4" s="263"/>
      <c r="G4" s="260"/>
      <c r="H4" s="316" t="s">
        <v>1261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178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7" customHeight="1">
      <c r="A7" s="196" t="s">
        <v>29</v>
      </c>
      <c r="B7" s="155" t="s">
        <v>5</v>
      </c>
      <c r="C7" s="155">
        <v>6</v>
      </c>
      <c r="D7" s="280"/>
      <c r="E7" s="260"/>
      <c r="F7" s="280"/>
      <c r="G7" s="260"/>
      <c r="H7" s="155">
        <v>6</v>
      </c>
      <c r="I7" s="210" t="s">
        <v>706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114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114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114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114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114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114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114"/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114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114"/>
      <c r="J16" s="12"/>
    </row>
    <row r="17" spans="1:10" ht="26.7" customHeight="1">
      <c r="A17" s="39"/>
      <c r="B17" s="38"/>
      <c r="C17" s="38"/>
      <c r="D17" s="279"/>
      <c r="E17" s="260"/>
      <c r="F17" s="279"/>
      <c r="G17" s="260"/>
      <c r="H17" s="38"/>
      <c r="I17" s="114"/>
      <c r="J17" s="12"/>
    </row>
    <row r="18" spans="1:10" ht="26.7" customHeight="1">
      <c r="A18" s="39"/>
      <c r="B18" s="38"/>
      <c r="C18" s="38"/>
      <c r="D18" s="279"/>
      <c r="E18" s="260"/>
      <c r="F18" s="279"/>
      <c r="G18" s="260"/>
      <c r="H18" s="38"/>
      <c r="I18" s="114"/>
      <c r="J18" s="12"/>
    </row>
    <row r="19" spans="1:10" ht="26.7" customHeight="1">
      <c r="A19" s="39"/>
      <c r="B19" s="38"/>
      <c r="C19" s="38"/>
      <c r="D19" s="279"/>
      <c r="E19" s="260"/>
      <c r="F19" s="279"/>
      <c r="G19" s="260"/>
      <c r="H19" s="38"/>
      <c r="I19" s="114"/>
      <c r="J19" s="12"/>
    </row>
    <row r="20" spans="1:10" ht="26.7" customHeight="1">
      <c r="A20" s="39"/>
      <c r="B20" s="38"/>
      <c r="C20" s="38"/>
      <c r="D20" s="279"/>
      <c r="E20" s="260"/>
      <c r="F20" s="279"/>
      <c r="G20" s="260"/>
      <c r="H20" s="38"/>
      <c r="I20" s="114"/>
      <c r="J20" s="12"/>
    </row>
    <row r="21" spans="1:10" ht="26.7" customHeight="1">
      <c r="A21" s="39"/>
      <c r="B21" s="38"/>
      <c r="C21" s="38"/>
      <c r="D21" s="279"/>
      <c r="E21" s="260"/>
      <c r="F21" s="279"/>
      <c r="G21" s="260"/>
      <c r="H21" s="38"/>
      <c r="I21" s="114"/>
      <c r="J21" s="12"/>
    </row>
    <row r="22" spans="1:10" ht="26.7" customHeight="1">
      <c r="A22" s="39"/>
      <c r="B22" s="38"/>
      <c r="C22" s="38"/>
      <c r="D22" s="279"/>
      <c r="E22" s="260"/>
      <c r="F22" s="279"/>
      <c r="G22" s="260"/>
      <c r="H22" s="38"/>
      <c r="I22" s="114"/>
      <c r="J22" s="12"/>
    </row>
    <row r="23" spans="1:10" ht="26.7" customHeight="1">
      <c r="A23" s="39"/>
      <c r="B23" s="38"/>
      <c r="C23" s="38"/>
      <c r="D23" s="279"/>
      <c r="E23" s="260"/>
      <c r="F23" s="279"/>
      <c r="G23" s="260"/>
      <c r="H23" s="38"/>
      <c r="I23" s="114"/>
      <c r="J23" s="12"/>
    </row>
    <row r="24" spans="1:10" ht="26.7" customHeight="1">
      <c r="A24" s="39"/>
      <c r="B24" s="38"/>
      <c r="C24" s="38"/>
      <c r="D24" s="279"/>
      <c r="E24" s="260"/>
      <c r="F24" s="279"/>
      <c r="G24" s="260"/>
      <c r="H24" s="38"/>
      <c r="I24" s="114"/>
      <c r="J24" s="12"/>
    </row>
    <row r="25" spans="1:10" ht="26.7" customHeight="1">
      <c r="A25" s="39"/>
      <c r="B25" s="38"/>
      <c r="C25" s="38"/>
      <c r="D25" s="279"/>
      <c r="E25" s="260"/>
      <c r="F25" s="279"/>
      <c r="G25" s="260"/>
      <c r="H25" s="38"/>
      <c r="I25" s="114"/>
      <c r="J25" s="12"/>
    </row>
    <row r="26" spans="1:10" ht="26.7" customHeight="1">
      <c r="A26" s="39"/>
      <c r="B26" s="38"/>
      <c r="C26" s="38"/>
      <c r="D26" s="279"/>
      <c r="E26" s="260"/>
      <c r="F26" s="279"/>
      <c r="G26" s="260"/>
      <c r="H26" s="38"/>
      <c r="I26" s="114"/>
      <c r="J26" s="12"/>
    </row>
    <row r="27" spans="1:10" ht="26.7" customHeight="1">
      <c r="A27" s="39"/>
      <c r="B27" s="38"/>
      <c r="C27" s="38"/>
      <c r="D27" s="279"/>
      <c r="E27" s="260"/>
      <c r="F27" s="279"/>
      <c r="G27" s="260"/>
      <c r="H27" s="38"/>
      <c r="I27" s="114"/>
      <c r="J27" s="12"/>
    </row>
    <row r="28" spans="1:10" ht="26.7" customHeight="1">
      <c r="A28" s="39"/>
      <c r="B28" s="38"/>
      <c r="C28" s="38"/>
      <c r="D28" s="279"/>
      <c r="E28" s="260"/>
      <c r="F28" s="279"/>
      <c r="G28" s="260"/>
      <c r="H28" s="38"/>
      <c r="I28" s="114"/>
      <c r="J28" s="12"/>
    </row>
    <row r="29" spans="1:10">
      <c r="A29" s="39"/>
      <c r="B29" s="38"/>
      <c r="C29" s="38"/>
      <c r="D29" s="279"/>
      <c r="E29" s="260"/>
      <c r="F29" s="279"/>
      <c r="G29" s="260"/>
      <c r="H29" s="38"/>
      <c r="I29" s="114"/>
      <c r="J29" s="3"/>
    </row>
    <row r="30" spans="1:10">
      <c r="A30" s="39"/>
      <c r="B30" s="38"/>
      <c r="C30" s="38"/>
      <c r="D30" s="279"/>
      <c r="E30" s="260"/>
      <c r="F30" s="279"/>
      <c r="G30" s="260"/>
      <c r="H30" s="38"/>
      <c r="I30" s="114"/>
    </row>
    <row r="31" spans="1:10">
      <c r="A31" s="39"/>
      <c r="B31" s="38"/>
      <c r="C31" s="38"/>
      <c r="D31" s="279"/>
      <c r="E31" s="260"/>
      <c r="F31" s="279"/>
      <c r="G31" s="260"/>
      <c r="H31" s="38"/>
      <c r="I31" s="114"/>
    </row>
    <row r="32" spans="1:10">
      <c r="A32" s="39"/>
      <c r="B32" s="38"/>
      <c r="C32" s="38"/>
      <c r="D32" s="279"/>
      <c r="E32" s="260"/>
      <c r="F32" s="279"/>
      <c r="G32" s="260"/>
      <c r="H32" s="38"/>
      <c r="I32" s="114"/>
    </row>
    <row r="33" spans="1:9">
      <c r="A33" s="39"/>
      <c r="B33" s="38"/>
      <c r="C33" s="38"/>
      <c r="D33" s="279"/>
      <c r="E33" s="260"/>
      <c r="F33" s="279"/>
      <c r="G33" s="260"/>
      <c r="H33" s="38"/>
      <c r="I33" s="114"/>
    </row>
    <row r="34" spans="1:9">
      <c r="A34" s="39"/>
      <c r="B34" s="38"/>
      <c r="C34" s="38"/>
      <c r="D34" s="279"/>
      <c r="E34" s="260"/>
      <c r="F34" s="279"/>
      <c r="G34" s="260"/>
      <c r="H34" s="38"/>
      <c r="I34" s="114"/>
    </row>
    <row r="35" spans="1:9">
      <c r="A35" s="39"/>
      <c r="B35" s="38"/>
      <c r="C35" s="38"/>
      <c r="D35" s="279"/>
      <c r="E35" s="260"/>
      <c r="F35" s="279"/>
      <c r="G35" s="260"/>
      <c r="H35" s="38"/>
      <c r="I35" s="114"/>
    </row>
    <row r="36" spans="1:9">
      <c r="A36" s="39"/>
      <c r="B36" s="38"/>
      <c r="C36" s="38"/>
      <c r="D36" s="279"/>
      <c r="E36" s="260"/>
      <c r="F36" s="279"/>
      <c r="G36" s="260"/>
      <c r="H36" s="38"/>
      <c r="I36" s="114"/>
    </row>
    <row r="37" spans="1:9">
      <c r="A37" s="39"/>
      <c r="B37" s="38"/>
      <c r="C37" s="38"/>
      <c r="D37" s="279"/>
      <c r="E37" s="260"/>
      <c r="F37" s="279"/>
      <c r="G37" s="260"/>
      <c r="H37" s="38"/>
      <c r="I37" s="114"/>
    </row>
    <row r="38" spans="1:9">
      <c r="A38" s="39"/>
      <c r="B38" s="38"/>
      <c r="C38" s="38"/>
      <c r="D38" s="279"/>
      <c r="E38" s="260"/>
      <c r="F38" s="279"/>
      <c r="G38" s="260"/>
      <c r="H38" s="38"/>
      <c r="I38" s="114"/>
    </row>
    <row r="39" spans="1:9">
      <c r="A39" s="39"/>
      <c r="B39" s="38"/>
      <c r="C39" s="38"/>
      <c r="D39" s="279"/>
      <c r="E39" s="260"/>
      <c r="F39" s="279"/>
      <c r="G39" s="260"/>
      <c r="H39" s="38"/>
      <c r="I39" s="114"/>
    </row>
    <row r="40" spans="1:9">
      <c r="A40" s="39"/>
      <c r="B40" s="38"/>
      <c r="C40" s="38"/>
      <c r="D40" s="279"/>
      <c r="E40" s="260"/>
      <c r="F40" s="279"/>
      <c r="G40" s="260"/>
      <c r="H40" s="38"/>
      <c r="I40" s="114"/>
    </row>
    <row r="41" spans="1:9">
      <c r="A41" s="39"/>
      <c r="B41" s="38"/>
      <c r="C41" s="38"/>
      <c r="D41" s="279"/>
      <c r="E41" s="260"/>
      <c r="F41" s="279"/>
      <c r="G41" s="260"/>
      <c r="H41" s="38"/>
      <c r="I41" s="114"/>
    </row>
    <row r="42" spans="1:9">
      <c r="A42" s="39"/>
      <c r="B42" s="38"/>
      <c r="C42" s="38"/>
      <c r="D42" s="279"/>
      <c r="E42" s="260"/>
      <c r="F42" s="279"/>
      <c r="G42" s="260"/>
      <c r="H42" s="38"/>
      <c r="I42" s="114"/>
    </row>
    <row r="43" spans="1:9">
      <c r="A43" s="39"/>
      <c r="B43" s="38"/>
      <c r="C43" s="38"/>
      <c r="D43" s="279"/>
      <c r="E43" s="260"/>
      <c r="F43" s="279"/>
      <c r="G43" s="260"/>
      <c r="H43" s="38"/>
      <c r="I43" s="114"/>
    </row>
    <row r="44" spans="1:9">
      <c r="A44" s="39"/>
      <c r="B44" s="38"/>
      <c r="C44" s="38"/>
      <c r="D44" s="279"/>
      <c r="E44" s="260"/>
      <c r="F44" s="279"/>
      <c r="G44" s="260"/>
      <c r="H44" s="38"/>
      <c r="I44" s="114"/>
    </row>
    <row r="45" spans="1:9">
      <c r="A45" s="39"/>
      <c r="B45" s="38"/>
      <c r="C45" s="38"/>
      <c r="D45" s="279"/>
      <c r="E45" s="260"/>
      <c r="F45" s="279"/>
      <c r="G45" s="260"/>
      <c r="H45" s="38"/>
      <c r="I45" s="114"/>
    </row>
    <row r="46" spans="1:9">
      <c r="A46" s="39"/>
      <c r="B46" s="38"/>
      <c r="C46" s="38"/>
      <c r="D46" s="279"/>
      <c r="E46" s="260"/>
      <c r="F46" s="279"/>
      <c r="G46" s="260"/>
      <c r="H46" s="38"/>
      <c r="I46" s="114"/>
    </row>
    <row r="47" spans="1:9">
      <c r="A47" s="39"/>
      <c r="B47" s="38"/>
      <c r="C47" s="38"/>
      <c r="D47" s="279"/>
      <c r="E47" s="260"/>
      <c r="F47" s="279"/>
      <c r="G47" s="260"/>
      <c r="H47" s="38"/>
      <c r="I47" s="114"/>
    </row>
    <row r="48" spans="1:9">
      <c r="A48" s="39"/>
      <c r="B48" s="38"/>
      <c r="C48" s="38"/>
      <c r="D48" s="279"/>
      <c r="E48" s="260"/>
      <c r="F48" s="279"/>
      <c r="G48" s="260"/>
      <c r="H48" s="38"/>
      <c r="I48" s="114"/>
    </row>
    <row r="49" spans="1:9">
      <c r="A49" s="39"/>
      <c r="B49" s="38"/>
      <c r="C49" s="38"/>
      <c r="D49" s="279"/>
      <c r="E49" s="260"/>
      <c r="F49" s="279"/>
      <c r="G49" s="260"/>
      <c r="H49" s="38"/>
      <c r="I49" s="114"/>
    </row>
    <row r="50" spans="1:9">
      <c r="A50" s="39"/>
      <c r="B50" s="38"/>
      <c r="C50" s="38"/>
      <c r="D50" s="279"/>
      <c r="E50" s="260"/>
      <c r="F50" s="279"/>
      <c r="G50" s="260"/>
      <c r="H50" s="38"/>
      <c r="I50" s="114"/>
    </row>
    <row r="51" spans="1:9">
      <c r="A51" s="39"/>
      <c r="B51" s="38"/>
      <c r="C51" s="38"/>
      <c r="D51" s="279"/>
      <c r="E51" s="260"/>
      <c r="F51" s="279"/>
      <c r="G51" s="260"/>
      <c r="H51" s="38"/>
      <c r="I51" s="114"/>
    </row>
    <row r="52" spans="1:9">
      <c r="A52" s="39"/>
      <c r="B52" s="38"/>
      <c r="C52" s="38"/>
      <c r="D52" s="279"/>
      <c r="E52" s="260"/>
      <c r="F52" s="279"/>
      <c r="G52" s="260"/>
      <c r="H52" s="38"/>
      <c r="I52" s="114"/>
    </row>
    <row r="53" spans="1:9">
      <c r="A53" s="39"/>
      <c r="B53" s="38"/>
      <c r="C53" s="38"/>
      <c r="D53" s="279"/>
      <c r="E53" s="260"/>
      <c r="F53" s="279"/>
      <c r="G53" s="260"/>
      <c r="H53" s="38"/>
      <c r="I53" s="114"/>
    </row>
    <row r="54" spans="1:9">
      <c r="A54" s="39"/>
      <c r="B54" s="38"/>
      <c r="C54" s="38"/>
      <c r="D54" s="279"/>
      <c r="E54" s="260"/>
      <c r="F54" s="279"/>
      <c r="G54" s="260"/>
      <c r="H54" s="38"/>
      <c r="I54" s="114"/>
    </row>
    <row r="55" spans="1:9">
      <c r="A55" s="39"/>
      <c r="B55" s="38"/>
      <c r="C55" s="38"/>
      <c r="D55" s="279"/>
      <c r="E55" s="260"/>
      <c r="F55" s="279"/>
      <c r="G55" s="260"/>
      <c r="H55" s="38"/>
      <c r="I55" s="114"/>
    </row>
    <row r="56" spans="1:9">
      <c r="A56" s="39"/>
      <c r="B56" s="38"/>
      <c r="C56" s="38"/>
      <c r="D56" s="279"/>
      <c r="E56" s="260"/>
      <c r="F56" s="279"/>
      <c r="G56" s="260"/>
      <c r="H56" s="38"/>
      <c r="I56" s="114"/>
    </row>
    <row r="57" spans="1:9">
      <c r="A57" s="39"/>
      <c r="B57" s="38"/>
      <c r="C57" s="38"/>
      <c r="D57" s="279"/>
      <c r="E57" s="260"/>
      <c r="F57" s="279"/>
      <c r="G57" s="260"/>
      <c r="H57" s="38"/>
      <c r="I57" s="114"/>
    </row>
    <row r="58" spans="1:9" ht="21" customHeight="1">
      <c r="A58" s="14"/>
      <c r="B58" s="6"/>
      <c r="C58" s="9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5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8"/>
      <c r="C79" s="9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5"/>
      <c r="B81" s="8"/>
      <c r="C81" s="9"/>
      <c r="D81" s="259"/>
      <c r="E81" s="260"/>
      <c r="F81" s="261"/>
      <c r="G81" s="260"/>
      <c r="H81" s="7"/>
      <c r="I81" s="11"/>
    </row>
    <row r="82" spans="1:9" ht="21" customHeight="1">
      <c r="A82" s="15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6"/>
      <c r="C83" s="9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9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</sheetData>
  <mergeCells count="202">
    <mergeCell ref="D95:E95"/>
    <mergeCell ref="F95:G95"/>
    <mergeCell ref="D57:E57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58:E58"/>
    <mergeCell ref="D18:E18"/>
    <mergeCell ref="F27:G27"/>
    <mergeCell ref="F58:G58"/>
    <mergeCell ref="F52:G52"/>
    <mergeCell ref="F101:G101"/>
    <mergeCell ref="D17:E17"/>
    <mergeCell ref="F8:G8"/>
    <mergeCell ref="D91:E91"/>
    <mergeCell ref="F91:G91"/>
    <mergeCell ref="F100:G100"/>
    <mergeCell ref="A5:B5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96:E96"/>
    <mergeCell ref="D65:E65"/>
    <mergeCell ref="F7:G7"/>
    <mergeCell ref="F21:G21"/>
    <mergeCell ref="D52:E52"/>
    <mergeCell ref="D49:E49"/>
    <mergeCell ref="D27:E27"/>
    <mergeCell ref="F36:G36"/>
    <mergeCell ref="F50:G50"/>
    <mergeCell ref="D54:E54"/>
    <mergeCell ref="D94:E94"/>
    <mergeCell ref="D69:E69"/>
    <mergeCell ref="F69:G69"/>
    <mergeCell ref="F11:G11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F67:G67"/>
    <mergeCell ref="D74:E74"/>
    <mergeCell ref="D68:E68"/>
    <mergeCell ref="D82:E82"/>
    <mergeCell ref="F82:G82"/>
    <mergeCell ref="F60:G60"/>
    <mergeCell ref="D50:E50"/>
    <mergeCell ref="D44:E44"/>
    <mergeCell ref="D59:E59"/>
    <mergeCell ref="F53:G53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E4:G4"/>
    <mergeCell ref="H4:I4"/>
    <mergeCell ref="F24:G24"/>
    <mergeCell ref="D8:E8"/>
    <mergeCell ref="F37:G37"/>
    <mergeCell ref="B3:D3"/>
    <mergeCell ref="D42:E42"/>
    <mergeCell ref="D99:E99"/>
    <mergeCell ref="D19:E19"/>
    <mergeCell ref="F99:G99"/>
    <mergeCell ref="F6:G6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D47:E47"/>
    <mergeCell ref="F47:G47"/>
    <mergeCell ref="F62:G62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71:E71"/>
    <mergeCell ref="D56:E56"/>
    <mergeCell ref="D10:E10"/>
    <mergeCell ref="F10:G10"/>
    <mergeCell ref="F19:G19"/>
    <mergeCell ref="D37:E37"/>
    <mergeCell ref="F31:G31"/>
    <mergeCell ref="F46:G46"/>
    <mergeCell ref="F28:G28"/>
    <mergeCell ref="D9:E9"/>
    <mergeCell ref="F9:G9"/>
    <mergeCell ref="D20:E20"/>
    <mergeCell ref="D60:E60"/>
    <mergeCell ref="D100:E10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  <mergeCell ref="D48:E4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1"/>
  <dimension ref="A1:O104"/>
  <sheetViews>
    <sheetView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1262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1263</v>
      </c>
      <c r="C3" s="263"/>
      <c r="D3" s="260"/>
      <c r="E3" s="266" t="s">
        <v>11</v>
      </c>
      <c r="F3" s="263"/>
      <c r="G3" s="260"/>
      <c r="H3" s="268" t="s">
        <v>1059</v>
      </c>
      <c r="I3" s="269"/>
      <c r="J3" s="19" t="str">
        <f>B3</f>
        <v>Nargin 5mg</v>
      </c>
      <c r="K3" s="34"/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1264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1265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7">
        <v>0</v>
      </c>
      <c r="D7" s="259"/>
      <c r="E7" s="260"/>
      <c r="F7" s="261"/>
      <c r="G7" s="260"/>
      <c r="H7" s="7">
        <v>0</v>
      </c>
      <c r="I7" s="37"/>
      <c r="J7" s="12"/>
      <c r="K7" s="3"/>
      <c r="L7" s="3"/>
      <c r="M7" s="3"/>
      <c r="N7" s="3"/>
      <c r="O7" s="3"/>
    </row>
    <row r="8" spans="1:15" ht="26.7" customHeight="1">
      <c r="A8" s="25"/>
      <c r="B8" s="6"/>
      <c r="C8" s="7"/>
      <c r="D8" s="259"/>
      <c r="E8" s="260"/>
      <c r="F8" s="261"/>
      <c r="G8" s="260"/>
      <c r="H8" s="7"/>
      <c r="I8" s="26"/>
      <c r="J8" s="12"/>
      <c r="K8" s="3"/>
      <c r="L8" s="3"/>
      <c r="M8" s="3"/>
      <c r="N8" s="3"/>
      <c r="O8" s="3"/>
    </row>
    <row r="9" spans="1:15" ht="26.7" customHeight="1">
      <c r="A9" s="25"/>
      <c r="B9" s="6"/>
      <c r="C9" s="7"/>
      <c r="D9" s="259"/>
      <c r="E9" s="260"/>
      <c r="F9" s="261"/>
      <c r="G9" s="260"/>
      <c r="H9" s="7"/>
      <c r="I9" s="26"/>
      <c r="J9" s="12"/>
      <c r="K9" s="3"/>
      <c r="L9" s="3"/>
      <c r="M9" s="3"/>
      <c r="N9" s="3"/>
      <c r="O9" s="3"/>
    </row>
    <row r="10" spans="1:15" ht="26.7" customHeight="1">
      <c r="A10" s="25"/>
      <c r="B10" s="6"/>
      <c r="C10" s="7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25"/>
      <c r="B11" s="6"/>
      <c r="C11" s="7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25"/>
      <c r="B12" s="6"/>
      <c r="C12" s="7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25"/>
      <c r="B13" s="8"/>
      <c r="C13" s="7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8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29"/>
      <c r="B31" s="30"/>
      <c r="C31" s="31"/>
      <c r="D31" s="264"/>
      <c r="E31" s="265"/>
      <c r="F31" s="267"/>
      <c r="G31" s="265"/>
      <c r="H31" s="31"/>
      <c r="I31" s="32"/>
      <c r="J31" s="12"/>
    </row>
    <row r="32" spans="1:10" ht="21" customHeight="1">
      <c r="A32" s="20"/>
      <c r="B32" s="21"/>
      <c r="C32" s="22"/>
      <c r="D32" s="276"/>
      <c r="E32" s="277"/>
      <c r="F32" s="278"/>
      <c r="G32" s="277"/>
      <c r="H32" s="22"/>
      <c r="I32" s="22"/>
      <c r="J32" s="3"/>
    </row>
    <row r="33" spans="1:9" ht="21" customHeight="1">
      <c r="A33" s="13"/>
      <c r="B33" s="6"/>
      <c r="C33" s="7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16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16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13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13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2"/>
  <dimension ref="A1:O93"/>
  <sheetViews>
    <sheetView workbookViewId="0">
      <pane ySplit="6" topLeftCell="A7" activePane="bottomLeft" state="frozen"/>
      <selection pane="bottomLeft"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1266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82" t="s">
        <v>1267</v>
      </c>
      <c r="C3" s="263"/>
      <c r="D3" s="260"/>
      <c r="E3" s="266" t="s">
        <v>11</v>
      </c>
      <c r="F3" s="263"/>
      <c r="G3" s="260"/>
      <c r="H3" s="268" t="s">
        <v>379</v>
      </c>
      <c r="I3" s="269"/>
      <c r="J3" s="19" t="str">
        <f>B3</f>
        <v>Esomin 2mg</v>
      </c>
      <c r="K3" s="34"/>
      <c r="L3" s="5">
        <f>H7</f>
        <v>4</v>
      </c>
      <c r="M3" s="3">
        <f>SUM(C$8:C$1048576)</f>
        <v>0</v>
      </c>
      <c r="N3" s="3">
        <f>SUM(F:F)</f>
        <v>0</v>
      </c>
      <c r="O3" s="3">
        <f>L3+M3-N3</f>
        <v>4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316" t="s">
        <v>1268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1269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30.45" customHeight="1">
      <c r="A7" s="196" t="s">
        <v>29</v>
      </c>
      <c r="B7" s="155" t="s">
        <v>5</v>
      </c>
      <c r="C7" s="155">
        <v>4</v>
      </c>
      <c r="D7" s="280"/>
      <c r="E7" s="260"/>
      <c r="F7" s="328"/>
      <c r="G7" s="260"/>
      <c r="H7" s="155">
        <v>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38"/>
      <c r="D8" s="279"/>
      <c r="E8" s="260"/>
      <c r="F8" s="279"/>
      <c r="G8" s="260"/>
      <c r="H8" s="38"/>
      <c r="I8" s="26"/>
      <c r="J8" s="12"/>
    </row>
    <row r="9" spans="1:15" ht="26.7" customHeight="1">
      <c r="A9" s="39"/>
      <c r="B9" s="38"/>
      <c r="C9" s="38"/>
      <c r="D9" s="279"/>
      <c r="E9" s="260"/>
      <c r="F9" s="279"/>
      <c r="G9" s="260"/>
      <c r="H9" s="38"/>
      <c r="I9" s="26"/>
      <c r="J9" s="12"/>
    </row>
    <row r="10" spans="1:15" ht="26.7" customHeight="1">
      <c r="A10" s="39"/>
      <c r="B10" s="38"/>
      <c r="C10" s="38"/>
      <c r="D10" s="279"/>
      <c r="E10" s="260"/>
      <c r="F10" s="279"/>
      <c r="G10" s="260"/>
      <c r="H10" s="38"/>
      <c r="I10" s="26"/>
      <c r="J10" s="12"/>
    </row>
    <row r="11" spans="1:15" ht="26.7" customHeight="1">
      <c r="A11" s="39"/>
      <c r="B11" s="38"/>
      <c r="C11" s="38"/>
      <c r="D11" s="279"/>
      <c r="E11" s="260"/>
      <c r="F11" s="279"/>
      <c r="G11" s="260"/>
      <c r="H11" s="38"/>
      <c r="I11" s="26"/>
      <c r="J11" s="12"/>
    </row>
    <row r="12" spans="1:15" ht="26.7" customHeight="1">
      <c r="A12" s="39"/>
      <c r="B12" s="38"/>
      <c r="C12" s="38"/>
      <c r="D12" s="279"/>
      <c r="E12" s="260"/>
      <c r="F12" s="279"/>
      <c r="G12" s="260"/>
      <c r="H12" s="38"/>
      <c r="I12" s="26"/>
      <c r="J12" s="12"/>
    </row>
    <row r="13" spans="1:15" ht="26.7" customHeight="1">
      <c r="A13" s="39"/>
      <c r="B13" s="38"/>
      <c r="C13" s="38"/>
      <c r="D13" s="279"/>
      <c r="E13" s="260"/>
      <c r="F13" s="279"/>
      <c r="G13" s="260"/>
      <c r="H13" s="38"/>
      <c r="I13" s="26"/>
      <c r="J13" s="12"/>
    </row>
    <row r="14" spans="1:15" ht="26.7" customHeight="1">
      <c r="A14" s="39"/>
      <c r="B14" s="38"/>
      <c r="C14" s="38"/>
      <c r="D14" s="279"/>
      <c r="E14" s="260"/>
      <c r="F14" s="279"/>
      <c r="G14" s="260"/>
      <c r="H14" s="38"/>
      <c r="I14" s="28"/>
      <c r="J14" s="12"/>
    </row>
    <row r="15" spans="1:15" ht="26.7" customHeight="1">
      <c r="A15" s="39"/>
      <c r="B15" s="38"/>
      <c r="C15" s="38"/>
      <c r="D15" s="279"/>
      <c r="E15" s="260"/>
      <c r="F15" s="279"/>
      <c r="G15" s="260"/>
      <c r="H15" s="38"/>
      <c r="I15" s="26"/>
      <c r="J15" s="12"/>
    </row>
    <row r="16" spans="1:15" ht="26.7" customHeight="1">
      <c r="A16" s="39"/>
      <c r="B16" s="38"/>
      <c r="C16" s="38"/>
      <c r="D16" s="279"/>
      <c r="E16" s="260"/>
      <c r="F16" s="279"/>
      <c r="G16" s="260"/>
      <c r="H16" s="38"/>
      <c r="I16" s="26"/>
      <c r="J16" s="12"/>
    </row>
    <row r="17" spans="1:10" ht="26.7" customHeight="1">
      <c r="A17" s="39"/>
      <c r="B17" s="38"/>
      <c r="C17" s="7"/>
      <c r="D17" s="259"/>
      <c r="E17" s="260"/>
      <c r="F17" s="279"/>
      <c r="G17" s="260"/>
      <c r="H17" s="38"/>
      <c r="I17" s="26"/>
      <c r="J17" s="12"/>
    </row>
    <row r="18" spans="1:10" ht="26.7" customHeight="1">
      <c r="A18" s="39"/>
      <c r="B18" s="38"/>
      <c r="C18" s="7"/>
      <c r="D18" s="259"/>
      <c r="E18" s="260"/>
      <c r="F18" s="279"/>
      <c r="G18" s="260"/>
      <c r="H18" s="38"/>
      <c r="I18" s="26"/>
      <c r="J18" s="12"/>
    </row>
    <row r="19" spans="1:10" ht="26.7" customHeight="1">
      <c r="A19" s="39"/>
      <c r="B19" s="38"/>
      <c r="C19" s="7"/>
      <c r="D19" s="259"/>
      <c r="E19" s="260"/>
      <c r="F19" s="279"/>
      <c r="G19" s="260"/>
      <c r="H19" s="38"/>
      <c r="I19" s="26"/>
      <c r="J19" s="12"/>
    </row>
    <row r="20" spans="1:10" ht="26.7" customHeight="1" thickBot="1">
      <c r="A20" s="39"/>
      <c r="B20" s="38"/>
      <c r="C20" s="31"/>
      <c r="D20" s="264"/>
      <c r="E20" s="265"/>
      <c r="F20" s="279"/>
      <c r="G20" s="260"/>
      <c r="H20" s="38"/>
      <c r="I20" s="32"/>
      <c r="J20" s="12"/>
    </row>
    <row r="21" spans="1:10" ht="21" customHeight="1">
      <c r="A21" s="39"/>
      <c r="B21" s="38"/>
      <c r="C21" s="22"/>
      <c r="D21" s="276"/>
      <c r="E21" s="277"/>
      <c r="F21" s="279"/>
      <c r="G21" s="260"/>
      <c r="H21" s="38"/>
      <c r="I21" s="22"/>
      <c r="J21" s="3"/>
    </row>
    <row r="22" spans="1:10" ht="21" customHeight="1">
      <c r="A22" s="13"/>
      <c r="B22" s="38"/>
      <c r="C22" s="7"/>
      <c r="D22" s="259"/>
      <c r="E22" s="260"/>
      <c r="F22" s="279"/>
      <c r="G22" s="260"/>
      <c r="H22" s="38"/>
      <c r="I22" s="7"/>
    </row>
    <row r="23" spans="1:10" ht="21" customHeight="1">
      <c r="A23" s="13"/>
      <c r="B23" s="38"/>
      <c r="C23" s="7"/>
      <c r="D23" s="259"/>
      <c r="E23" s="260"/>
      <c r="F23" s="279"/>
      <c r="G23" s="260"/>
      <c r="H23" s="38"/>
      <c r="I23" s="16"/>
    </row>
    <row r="24" spans="1:10" ht="21" customHeight="1">
      <c r="A24" s="13"/>
      <c r="B24" s="38"/>
      <c r="C24" s="7"/>
      <c r="D24" s="259"/>
      <c r="E24" s="260"/>
      <c r="F24" s="279"/>
      <c r="G24" s="260"/>
      <c r="H24" s="38"/>
      <c r="I24" s="7"/>
    </row>
    <row r="25" spans="1:10" ht="21" customHeight="1">
      <c r="A25" s="13"/>
      <c r="B25" s="38"/>
      <c r="C25" s="7"/>
      <c r="D25" s="259"/>
      <c r="E25" s="260"/>
      <c r="F25" s="279"/>
      <c r="G25" s="260"/>
      <c r="H25" s="38"/>
      <c r="I25" s="7"/>
    </row>
    <row r="26" spans="1:10" ht="21" customHeight="1">
      <c r="A26" s="13"/>
      <c r="B26" s="38"/>
      <c r="C26" s="3"/>
      <c r="D26" s="259"/>
      <c r="E26" s="260"/>
      <c r="F26" s="279"/>
      <c r="G26" s="260"/>
      <c r="H26" s="38"/>
      <c r="I26" s="16"/>
    </row>
    <row r="27" spans="1:10" ht="21" customHeight="1">
      <c r="A27" s="13"/>
      <c r="B27" s="38"/>
      <c r="C27" s="3"/>
      <c r="D27" s="259"/>
      <c r="E27" s="260"/>
      <c r="F27" s="279"/>
      <c r="G27" s="260"/>
      <c r="H27" s="38"/>
      <c r="I27" s="7"/>
    </row>
    <row r="28" spans="1:10" ht="21" customHeight="1">
      <c r="A28" s="13"/>
      <c r="B28" s="38"/>
      <c r="C28" s="3"/>
      <c r="D28" s="259"/>
      <c r="E28" s="260"/>
      <c r="F28" s="279"/>
      <c r="G28" s="260"/>
      <c r="H28" s="38"/>
      <c r="I28" s="7"/>
    </row>
    <row r="29" spans="1:10" ht="21" customHeight="1">
      <c r="A29" s="13"/>
      <c r="B29" s="38"/>
      <c r="C29" s="3"/>
      <c r="D29" s="259"/>
      <c r="E29" s="260"/>
      <c r="F29" s="279"/>
      <c r="G29" s="260"/>
      <c r="H29" s="38"/>
      <c r="I29" s="7"/>
    </row>
    <row r="30" spans="1:10" ht="21" customHeight="1">
      <c r="A30" s="13"/>
      <c r="B30" s="38"/>
      <c r="C30" s="3"/>
      <c r="D30" s="259"/>
      <c r="E30" s="260"/>
      <c r="F30" s="279"/>
      <c r="G30" s="260"/>
      <c r="H30" s="38"/>
      <c r="I30" s="7"/>
    </row>
    <row r="31" spans="1:10" ht="21" customHeight="1">
      <c r="A31" s="13"/>
      <c r="B31" s="38"/>
      <c r="C31" s="3"/>
      <c r="D31" s="259"/>
      <c r="E31" s="260"/>
      <c r="F31" s="279"/>
      <c r="G31" s="260"/>
      <c r="H31" s="38"/>
      <c r="I31" s="7"/>
    </row>
    <row r="32" spans="1:10" ht="21" customHeight="1">
      <c r="A32" s="13"/>
      <c r="B32" s="38"/>
      <c r="C32" s="3"/>
      <c r="D32" s="259"/>
      <c r="E32" s="260"/>
      <c r="F32" s="279"/>
      <c r="G32" s="260"/>
      <c r="H32" s="38"/>
      <c r="I32" s="7"/>
    </row>
    <row r="33" spans="1:9" ht="21" customHeight="1">
      <c r="A33" s="13"/>
      <c r="B33" s="38"/>
      <c r="C33" s="3"/>
      <c r="D33" s="259"/>
      <c r="E33" s="260"/>
      <c r="F33" s="279"/>
      <c r="G33" s="260"/>
      <c r="H33" s="38"/>
      <c r="I33" s="7"/>
    </row>
    <row r="34" spans="1:9" ht="21" customHeight="1">
      <c r="A34" s="13"/>
      <c r="B34" s="38"/>
      <c r="C34" s="3"/>
      <c r="D34" s="259"/>
      <c r="E34" s="260"/>
      <c r="F34" s="279"/>
      <c r="G34" s="260"/>
      <c r="H34" s="38"/>
      <c r="I34" s="7"/>
    </row>
    <row r="35" spans="1:9" ht="21" customHeight="1">
      <c r="A35" s="13"/>
      <c r="B35" s="38"/>
      <c r="C35" s="3"/>
      <c r="D35" s="259"/>
      <c r="E35" s="260"/>
      <c r="F35" s="279"/>
      <c r="G35" s="260"/>
      <c r="H35" s="38"/>
      <c r="I35" s="7"/>
    </row>
    <row r="36" spans="1:9" ht="21" customHeight="1">
      <c r="A36" s="13"/>
      <c r="B36" s="38"/>
      <c r="C36" s="3"/>
      <c r="D36" s="259"/>
      <c r="E36" s="260"/>
      <c r="F36" s="279"/>
      <c r="G36" s="260"/>
      <c r="H36" s="38"/>
      <c r="I36" s="7"/>
    </row>
    <row r="37" spans="1:9" ht="21" customHeight="1">
      <c r="A37" s="13"/>
      <c r="B37" s="38"/>
      <c r="C37" s="10"/>
      <c r="D37" s="259"/>
      <c r="E37" s="260"/>
      <c r="F37" s="279"/>
      <c r="G37" s="260"/>
      <c r="H37" s="38"/>
      <c r="I37" s="7"/>
    </row>
    <row r="38" spans="1:9" ht="21" customHeight="1">
      <c r="A38" s="13"/>
      <c r="B38" s="8"/>
      <c r="C38" s="10"/>
      <c r="D38" s="259"/>
      <c r="E38" s="260"/>
      <c r="F38" s="279"/>
      <c r="G38" s="260"/>
      <c r="H38" s="38"/>
      <c r="I38" s="11"/>
    </row>
    <row r="39" spans="1:9" ht="21" customHeight="1">
      <c r="A39" s="13"/>
      <c r="B39" s="6"/>
      <c r="C39" s="9"/>
      <c r="D39" s="259"/>
      <c r="E39" s="260"/>
      <c r="F39" s="279"/>
      <c r="G39" s="260"/>
      <c r="H39" s="38"/>
      <c r="I39" s="7"/>
    </row>
    <row r="40" spans="1:9" ht="21" customHeight="1">
      <c r="A40" s="14"/>
      <c r="B40" s="6"/>
      <c r="C40" s="3"/>
      <c r="D40" s="259"/>
      <c r="E40" s="260"/>
      <c r="F40" s="279"/>
      <c r="G40" s="260"/>
      <c r="H40" s="38"/>
      <c r="I40" s="7"/>
    </row>
    <row r="41" spans="1:9" ht="21" customHeight="1">
      <c r="A41" s="14"/>
      <c r="B41" s="6"/>
      <c r="C41" s="3"/>
      <c r="D41" s="259"/>
      <c r="E41" s="260"/>
      <c r="F41" s="279"/>
      <c r="G41" s="260"/>
      <c r="H41" s="38"/>
      <c r="I41" s="7"/>
    </row>
    <row r="42" spans="1:9" ht="21" customHeight="1">
      <c r="A42" s="15"/>
      <c r="B42" s="6"/>
      <c r="C42" s="3"/>
      <c r="D42" s="259"/>
      <c r="E42" s="260"/>
      <c r="F42" s="279"/>
      <c r="G42" s="260"/>
      <c r="H42" s="38"/>
      <c r="I42" s="7"/>
    </row>
    <row r="43" spans="1:9" ht="21" customHeight="1">
      <c r="A43" s="14"/>
      <c r="B43" s="6"/>
      <c r="C43" s="3"/>
      <c r="D43" s="259"/>
      <c r="E43" s="260"/>
      <c r="F43" s="279"/>
      <c r="G43" s="260"/>
      <c r="H43" s="38"/>
      <c r="I43" s="7"/>
    </row>
    <row r="44" spans="1:9" ht="21" customHeight="1">
      <c r="A44" s="14"/>
      <c r="B44" s="6"/>
      <c r="C44" s="3"/>
      <c r="D44" s="259"/>
      <c r="E44" s="260"/>
      <c r="F44" s="279"/>
      <c r="G44" s="260"/>
      <c r="H44" s="38"/>
      <c r="I44" s="7"/>
    </row>
    <row r="45" spans="1:9" ht="21" customHeight="1">
      <c r="A45" s="14"/>
      <c r="B45" s="6"/>
      <c r="C45" s="3"/>
      <c r="D45" s="259"/>
      <c r="E45" s="260"/>
      <c r="F45" s="279"/>
      <c r="G45" s="260"/>
      <c r="H45" s="38"/>
      <c r="I45" s="16"/>
    </row>
    <row r="46" spans="1:9" ht="21" customHeight="1">
      <c r="A46" s="15"/>
      <c r="B46" s="6"/>
      <c r="C46" s="3"/>
      <c r="D46" s="259"/>
      <c r="E46" s="260"/>
      <c r="F46" s="279"/>
      <c r="G46" s="260"/>
      <c r="H46" s="38"/>
      <c r="I46" s="7"/>
    </row>
    <row r="47" spans="1:9" ht="21" customHeight="1">
      <c r="A47" s="15"/>
      <c r="B47" s="6"/>
      <c r="C47" s="3"/>
      <c r="D47" s="259"/>
      <c r="E47" s="260"/>
      <c r="F47" s="279"/>
      <c r="G47" s="260"/>
      <c r="H47" s="38"/>
      <c r="I47" s="7"/>
    </row>
    <row r="48" spans="1:9" ht="21" customHeight="1">
      <c r="A48" s="15"/>
      <c r="B48" s="6"/>
      <c r="C48" s="3"/>
      <c r="D48" s="259"/>
      <c r="E48" s="260"/>
      <c r="F48" s="279"/>
      <c r="G48" s="260"/>
      <c r="H48" s="38"/>
      <c r="I48" s="7"/>
    </row>
    <row r="49" spans="1:9" ht="21" customHeight="1">
      <c r="A49" s="14"/>
      <c r="B49" s="6"/>
      <c r="C49" s="3"/>
      <c r="D49" s="259"/>
      <c r="E49" s="260"/>
      <c r="F49" s="279"/>
      <c r="G49" s="260"/>
      <c r="H49" s="38"/>
      <c r="I49" s="7"/>
    </row>
    <row r="50" spans="1:9" ht="21" customHeight="1">
      <c r="A50" s="14"/>
      <c r="B50" s="6"/>
      <c r="C50" s="9"/>
      <c r="D50" s="259"/>
      <c r="E50" s="260"/>
      <c r="F50" s="279"/>
      <c r="G50" s="260"/>
      <c r="H50" s="38"/>
      <c r="I50" s="7"/>
    </row>
    <row r="51" spans="1:9" ht="21" customHeight="1">
      <c r="A51" s="14"/>
      <c r="B51" s="6"/>
      <c r="C51" s="3"/>
      <c r="D51" s="259"/>
      <c r="E51" s="260"/>
      <c r="F51" s="279"/>
      <c r="G51" s="260"/>
      <c r="H51" s="38"/>
      <c r="I51" s="7"/>
    </row>
    <row r="52" spans="1:9" ht="21" customHeight="1">
      <c r="A52" s="15"/>
      <c r="B52" s="6"/>
      <c r="C52" s="3"/>
      <c r="D52" s="259"/>
      <c r="E52" s="260"/>
      <c r="F52" s="279"/>
      <c r="G52" s="260"/>
      <c r="H52" s="38"/>
      <c r="I52" s="7"/>
    </row>
    <row r="53" spans="1:9" ht="21" customHeight="1">
      <c r="A53" s="15"/>
      <c r="B53" s="6"/>
      <c r="C53" s="3"/>
      <c r="D53" s="259"/>
      <c r="E53" s="260"/>
      <c r="F53" s="279"/>
      <c r="G53" s="260"/>
      <c r="H53" s="38"/>
      <c r="I53" s="7"/>
    </row>
    <row r="54" spans="1:9" ht="21" customHeight="1">
      <c r="A54" s="14"/>
      <c r="B54" s="6"/>
      <c r="C54" s="3"/>
      <c r="D54" s="259"/>
      <c r="E54" s="260"/>
      <c r="F54" s="279"/>
      <c r="G54" s="260"/>
      <c r="H54" s="38"/>
      <c r="I54" s="7"/>
    </row>
    <row r="55" spans="1:9" ht="21" customHeight="1">
      <c r="A55" s="15"/>
      <c r="B55" s="6"/>
      <c r="C55" s="3"/>
      <c r="D55" s="259"/>
      <c r="E55" s="260"/>
      <c r="F55" s="279"/>
      <c r="G55" s="260"/>
      <c r="H55" s="38"/>
      <c r="I55" s="7"/>
    </row>
    <row r="56" spans="1:9" ht="21" customHeight="1">
      <c r="A56" s="15"/>
      <c r="B56" s="6"/>
      <c r="C56" s="3"/>
      <c r="D56" s="259"/>
      <c r="E56" s="260"/>
      <c r="F56" s="279"/>
      <c r="G56" s="260"/>
      <c r="H56" s="38"/>
      <c r="I56" s="7"/>
    </row>
    <row r="57" spans="1:9" ht="21" customHeight="1">
      <c r="A57" s="14"/>
      <c r="B57" s="6"/>
      <c r="C57" s="3"/>
      <c r="D57" s="259"/>
      <c r="E57" s="260"/>
      <c r="F57" s="279"/>
      <c r="G57" s="260"/>
      <c r="H57" s="38"/>
      <c r="I57" s="7"/>
    </row>
    <row r="58" spans="1:9" ht="21" customHeight="1">
      <c r="A58" s="15"/>
      <c r="B58" s="6"/>
      <c r="C58" s="3"/>
      <c r="D58" s="259"/>
      <c r="E58" s="260"/>
      <c r="F58" s="279"/>
      <c r="G58" s="260"/>
      <c r="H58" s="38"/>
      <c r="I58" s="7"/>
    </row>
    <row r="59" spans="1:9" ht="21" customHeight="1">
      <c r="A59" s="15"/>
      <c r="B59" s="6"/>
      <c r="C59" s="3"/>
      <c r="D59" s="259"/>
      <c r="E59" s="260"/>
      <c r="F59" s="279"/>
      <c r="G59" s="260"/>
      <c r="H59" s="38"/>
      <c r="I59" s="7"/>
    </row>
    <row r="60" spans="1:9" ht="21" customHeight="1">
      <c r="A60" s="15"/>
      <c r="B60" s="6"/>
      <c r="C60" s="3"/>
      <c r="D60" s="259"/>
      <c r="E60" s="260"/>
      <c r="F60" s="279"/>
      <c r="G60" s="260"/>
      <c r="H60" s="38"/>
      <c r="I60" s="7"/>
    </row>
    <row r="61" spans="1:9" ht="21" customHeight="1">
      <c r="A61" s="14"/>
      <c r="B61" s="6"/>
      <c r="C61" s="3"/>
      <c r="D61" s="259"/>
      <c r="E61" s="260"/>
      <c r="F61" s="279"/>
      <c r="G61" s="260"/>
      <c r="H61" s="38"/>
      <c r="I61" s="7"/>
    </row>
    <row r="62" spans="1:9" ht="21" customHeight="1">
      <c r="A62" s="14"/>
      <c r="B62" s="6"/>
      <c r="C62" s="3"/>
      <c r="D62" s="259"/>
      <c r="E62" s="260"/>
      <c r="F62" s="279"/>
      <c r="G62" s="260"/>
      <c r="H62" s="38"/>
      <c r="I62" s="7"/>
    </row>
    <row r="63" spans="1:9" ht="21" customHeight="1">
      <c r="A63" s="14"/>
      <c r="B63" s="6"/>
      <c r="C63" s="3"/>
      <c r="D63" s="259"/>
      <c r="E63" s="260"/>
      <c r="F63" s="279"/>
      <c r="G63" s="260"/>
      <c r="H63" s="38"/>
      <c r="I63" s="7"/>
    </row>
    <row r="64" spans="1:9" ht="21" customHeight="1">
      <c r="A64" s="15"/>
      <c r="B64" s="6"/>
      <c r="C64" s="3"/>
      <c r="D64" s="259"/>
      <c r="E64" s="260"/>
      <c r="F64" s="279"/>
      <c r="G64" s="260"/>
      <c r="H64" s="38"/>
      <c r="I64" s="7"/>
    </row>
    <row r="65" spans="1:9" ht="21" customHeight="1">
      <c r="A65" s="15"/>
      <c r="B65" s="6"/>
      <c r="C65" s="3"/>
      <c r="D65" s="259"/>
      <c r="E65" s="260"/>
      <c r="F65" s="279"/>
      <c r="G65" s="260"/>
      <c r="H65" s="38"/>
      <c r="I65" s="7"/>
    </row>
    <row r="66" spans="1:9" ht="21" customHeight="1">
      <c r="A66" s="15"/>
      <c r="B66" s="6"/>
      <c r="C66" s="3"/>
      <c r="D66" s="259"/>
      <c r="E66" s="260"/>
      <c r="F66" s="279"/>
      <c r="G66" s="260"/>
      <c r="H66" s="38"/>
      <c r="I66" s="7"/>
    </row>
    <row r="67" spans="1:9" ht="21" customHeight="1">
      <c r="A67" s="14"/>
      <c r="B67" s="6"/>
      <c r="C67" s="3"/>
      <c r="D67" s="259"/>
      <c r="E67" s="260"/>
      <c r="F67" s="279"/>
      <c r="G67" s="260"/>
      <c r="H67" s="38"/>
      <c r="I67" s="7"/>
    </row>
    <row r="68" spans="1:9" ht="21" customHeight="1">
      <c r="A68" s="15"/>
      <c r="B68" s="6"/>
      <c r="C68" s="3"/>
      <c r="D68" s="259"/>
      <c r="E68" s="260"/>
      <c r="F68" s="279"/>
      <c r="G68" s="260"/>
      <c r="H68" s="38"/>
      <c r="I68" s="7"/>
    </row>
    <row r="69" spans="1:9" ht="21" customHeight="1">
      <c r="A69" s="14"/>
      <c r="B69" s="6"/>
      <c r="C69" s="3"/>
      <c r="D69" s="259"/>
      <c r="E69" s="260"/>
      <c r="F69" s="279"/>
      <c r="G69" s="260"/>
      <c r="H69" s="38"/>
      <c r="I69" s="7"/>
    </row>
    <row r="70" spans="1:9" ht="21" customHeight="1">
      <c r="A70" s="14"/>
      <c r="B70" s="6"/>
      <c r="C70" s="3"/>
      <c r="D70" s="259"/>
      <c r="E70" s="260"/>
      <c r="F70" s="279"/>
      <c r="G70" s="260"/>
      <c r="H70" s="38"/>
      <c r="I70" s="7"/>
    </row>
    <row r="71" spans="1:9" ht="21" customHeight="1">
      <c r="A71" s="14"/>
      <c r="B71" s="8"/>
      <c r="C71" s="9"/>
      <c r="D71" s="259"/>
      <c r="E71" s="260"/>
      <c r="F71" s="279"/>
      <c r="G71" s="260"/>
      <c r="H71" s="38"/>
      <c r="I71" s="7"/>
    </row>
    <row r="72" spans="1:9" ht="21" customHeight="1">
      <c r="A72" s="14"/>
      <c r="B72" s="6"/>
      <c r="C72" s="3"/>
      <c r="D72" s="259"/>
      <c r="E72" s="260"/>
      <c r="F72" s="279"/>
      <c r="G72" s="260"/>
      <c r="H72" s="38"/>
      <c r="I72" s="7"/>
    </row>
    <row r="73" spans="1:9" ht="21" customHeight="1">
      <c r="A73" s="15"/>
      <c r="B73" s="8"/>
      <c r="C73" s="9"/>
      <c r="D73" s="259"/>
      <c r="E73" s="260"/>
      <c r="F73" s="279"/>
      <c r="G73" s="260"/>
      <c r="H73" s="38"/>
      <c r="I73" s="11"/>
    </row>
    <row r="74" spans="1:9" ht="21" customHeight="1">
      <c r="A74" s="15"/>
      <c r="B74" s="6"/>
      <c r="C74" s="3"/>
      <c r="D74" s="259"/>
      <c r="E74" s="260"/>
      <c r="F74" s="261"/>
      <c r="G74" s="260"/>
      <c r="H74" s="38"/>
      <c r="I74" s="7"/>
    </row>
    <row r="75" spans="1:9" ht="21" customHeight="1">
      <c r="A75" s="15"/>
      <c r="B75" s="6"/>
      <c r="C75" s="9"/>
      <c r="D75" s="259"/>
      <c r="E75" s="260"/>
      <c r="F75" s="261"/>
      <c r="G75" s="260"/>
      <c r="H75" s="38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38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38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38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38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38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38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38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38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38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38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38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38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38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38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38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38"/>
      <c r="I91" s="7"/>
    </row>
    <row r="92" spans="1:9" ht="21" customHeight="1">
      <c r="A92" s="14"/>
      <c r="B92" s="6"/>
      <c r="C92" s="9"/>
      <c r="D92" s="259"/>
      <c r="E92" s="260"/>
      <c r="F92" s="261"/>
      <c r="G92" s="260"/>
      <c r="H92" s="38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38"/>
      <c r="I93" s="7"/>
    </row>
  </sheetData>
  <mergeCells count="186">
    <mergeCell ref="F90:G90"/>
    <mergeCell ref="D43:E43"/>
    <mergeCell ref="E3:G3"/>
    <mergeCell ref="D58:E58"/>
    <mergeCell ref="D18:E18"/>
    <mergeCell ref="F58:G58"/>
    <mergeCell ref="F27:G27"/>
    <mergeCell ref="F52:G52"/>
    <mergeCell ref="F67:G67"/>
    <mergeCell ref="D8:E8"/>
    <mergeCell ref="F37:G37"/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F26:G26"/>
    <mergeCell ref="F41:G41"/>
    <mergeCell ref="F35:G35"/>
    <mergeCell ref="D16:E16"/>
    <mergeCell ref="F38:G38"/>
    <mergeCell ref="D91:E91"/>
    <mergeCell ref="F8:G8"/>
    <mergeCell ref="F91:G91"/>
    <mergeCell ref="A5:B5"/>
    <mergeCell ref="D28:E28"/>
    <mergeCell ref="D93:E93"/>
    <mergeCell ref="F22:G22"/>
    <mergeCell ref="F93:G93"/>
    <mergeCell ref="D12:E12"/>
    <mergeCell ref="D25:E25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69:E69"/>
    <mergeCell ref="F69:G69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8:G78"/>
    <mergeCell ref="F65:G65"/>
    <mergeCell ref="D80:E80"/>
    <mergeCell ref="D87:E87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E4:G4"/>
    <mergeCell ref="F11:G11"/>
    <mergeCell ref="D46:E46"/>
    <mergeCell ref="H4:I4"/>
    <mergeCell ref="D40:E40"/>
    <mergeCell ref="D90:E90"/>
    <mergeCell ref="F19:G19"/>
    <mergeCell ref="F34:G34"/>
    <mergeCell ref="F63:G63"/>
    <mergeCell ref="F6:G6"/>
    <mergeCell ref="F74:G74"/>
    <mergeCell ref="F83:G83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D66:E66"/>
    <mergeCell ref="F66:G66"/>
    <mergeCell ref="D75:E75"/>
    <mergeCell ref="F17:G17"/>
    <mergeCell ref="D53:E53"/>
    <mergeCell ref="F75:G75"/>
    <mergeCell ref="D47:E47"/>
    <mergeCell ref="D88:E88"/>
    <mergeCell ref="D26:E26"/>
    <mergeCell ref="F88:G88"/>
    <mergeCell ref="F57:G57"/>
    <mergeCell ref="D35:E35"/>
    <mergeCell ref="D10:E10"/>
    <mergeCell ref="F54:G54"/>
    <mergeCell ref="F10:G10"/>
    <mergeCell ref="D19:E19"/>
    <mergeCell ref="D34:E34"/>
    <mergeCell ref="F47:G47"/>
    <mergeCell ref="F62:G62"/>
    <mergeCell ref="D37:E37"/>
    <mergeCell ref="F31:G31"/>
    <mergeCell ref="F46:G46"/>
    <mergeCell ref="F28:G28"/>
    <mergeCell ref="F40:G40"/>
    <mergeCell ref="D21:E21"/>
    <mergeCell ref="F59:G59"/>
    <mergeCell ref="F55:G55"/>
    <mergeCell ref="F12:G12"/>
    <mergeCell ref="F24:G24"/>
    <mergeCell ref="D57:E57"/>
    <mergeCell ref="B4:D4"/>
    <mergeCell ref="D62:E62"/>
    <mergeCell ref="F13:G13"/>
    <mergeCell ref="D56:E56"/>
    <mergeCell ref="D71:E71"/>
    <mergeCell ref="F56:G56"/>
    <mergeCell ref="F71:G71"/>
    <mergeCell ref="F43:G43"/>
    <mergeCell ref="D24:E24"/>
    <mergeCell ref="D64:E64"/>
    <mergeCell ref="D33:E33"/>
    <mergeCell ref="D51:E51"/>
    <mergeCell ref="D9:E9"/>
    <mergeCell ref="F9:G9"/>
    <mergeCell ref="D86:E86"/>
    <mergeCell ref="F15:G15"/>
    <mergeCell ref="F86:G86"/>
    <mergeCell ref="D13:E13"/>
    <mergeCell ref="F80:G80"/>
    <mergeCell ref="D61:E61"/>
    <mergeCell ref="D70:E70"/>
    <mergeCell ref="D48:E48"/>
    <mergeCell ref="F79:G79"/>
    <mergeCell ref="F70:G70"/>
    <mergeCell ref="D72:E72"/>
    <mergeCell ref="D78:E78"/>
    <mergeCell ref="F72:G72"/>
    <mergeCell ref="F23:G23"/>
    <mergeCell ref="F81:G81"/>
    <mergeCell ref="D73:E73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3">
    <tabColor theme="2" tint="-0.499984740745262"/>
  </sheetPr>
  <dimension ref="A1:O104"/>
  <sheetViews>
    <sheetView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1270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23" t="s">
        <v>9</v>
      </c>
      <c r="B3" s="266" t="s">
        <v>1271</v>
      </c>
      <c r="C3" s="263"/>
      <c r="D3" s="260"/>
      <c r="E3" s="266" t="s">
        <v>11</v>
      </c>
      <c r="F3" s="263"/>
      <c r="G3" s="260"/>
      <c r="H3" s="268" t="s">
        <v>1272</v>
      </c>
      <c r="I3" s="269"/>
      <c r="J3" s="19" t="str">
        <f>B3</f>
        <v>Sonaplon 2mg</v>
      </c>
      <c r="K3" s="34" t="s">
        <v>1273</v>
      </c>
      <c r="L3" s="5">
        <f>H7</f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1274</v>
      </c>
      <c r="I4" s="269"/>
      <c r="J4" s="12"/>
      <c r="K4" s="3"/>
      <c r="L4" s="3"/>
      <c r="M4" s="3"/>
      <c r="N4" s="3"/>
      <c r="O4" s="3"/>
    </row>
    <row r="5" spans="1:15" ht="24.75" customHeight="1">
      <c r="A5" s="272" t="s">
        <v>18</v>
      </c>
      <c r="B5" s="260"/>
      <c r="C5" s="262" t="s">
        <v>1275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ht="24.75" customHeight="1">
      <c r="A6" s="23" t="s">
        <v>22</v>
      </c>
      <c r="B6" s="17" t="s">
        <v>23</v>
      </c>
      <c r="C6" s="17" t="s">
        <v>24</v>
      </c>
      <c r="D6" s="266" t="s">
        <v>25</v>
      </c>
      <c r="E6" s="260"/>
      <c r="F6" s="266" t="s">
        <v>26</v>
      </c>
      <c r="G6" s="260"/>
      <c r="H6" s="17" t="s">
        <v>27</v>
      </c>
      <c r="I6" s="24" t="s">
        <v>28</v>
      </c>
      <c r="J6" s="12"/>
      <c r="K6" s="3"/>
      <c r="L6" s="3"/>
      <c r="M6" s="3"/>
      <c r="N6" s="3"/>
      <c r="O6" s="3"/>
    </row>
    <row r="7" spans="1:15" ht="28.95" customHeight="1">
      <c r="A7" s="39" t="s">
        <v>29</v>
      </c>
      <c r="B7" s="38" t="s">
        <v>5</v>
      </c>
      <c r="C7" s="38">
        <v>0</v>
      </c>
      <c r="D7" s="279"/>
      <c r="E7" s="260"/>
      <c r="F7" s="279"/>
      <c r="G7" s="260"/>
      <c r="H7" s="38">
        <v>0</v>
      </c>
      <c r="I7" s="37" t="s">
        <v>706</v>
      </c>
      <c r="J7" s="12"/>
      <c r="K7" s="3"/>
      <c r="L7" s="3"/>
      <c r="M7" s="3"/>
      <c r="N7" s="3"/>
      <c r="O7" s="3"/>
    </row>
    <row r="8" spans="1:15" s="106" customFormat="1" ht="26.7" customHeight="1">
      <c r="A8" s="42"/>
      <c r="B8" s="42"/>
      <c r="C8" s="38"/>
      <c r="D8" s="279"/>
      <c r="E8" s="260"/>
      <c r="F8" s="279"/>
      <c r="G8" s="260"/>
      <c r="H8" s="38"/>
      <c r="I8" s="35"/>
      <c r="J8" s="105"/>
      <c r="K8" s="56"/>
      <c r="L8" s="56"/>
      <c r="M8" s="56"/>
      <c r="N8" s="56"/>
      <c r="O8" s="56"/>
    </row>
    <row r="9" spans="1:15" ht="26.7" customHeight="1">
      <c r="A9" s="42"/>
      <c r="B9" s="42"/>
      <c r="C9" s="38"/>
      <c r="D9" s="259"/>
      <c r="E9" s="260"/>
      <c r="F9" s="279"/>
      <c r="G9" s="260"/>
      <c r="H9" s="38"/>
      <c r="I9" s="26"/>
      <c r="J9" s="12"/>
      <c r="K9" s="3"/>
      <c r="L9" s="3"/>
      <c r="M9" s="3"/>
      <c r="N9" s="3"/>
      <c r="O9" s="3"/>
    </row>
    <row r="10" spans="1:15" ht="26.7" customHeight="1">
      <c r="A10" s="42"/>
      <c r="B10" s="42"/>
      <c r="C10" s="38"/>
      <c r="D10" s="259"/>
      <c r="E10" s="260"/>
      <c r="F10" s="261"/>
      <c r="G10" s="260"/>
      <c r="H10" s="7"/>
      <c r="I10" s="26"/>
      <c r="J10" s="12"/>
      <c r="K10" s="3"/>
      <c r="L10" s="3"/>
      <c r="M10" s="3"/>
      <c r="N10" s="3"/>
      <c r="O10" s="3"/>
    </row>
    <row r="11" spans="1:15" ht="26.7" customHeight="1">
      <c r="A11" s="42"/>
      <c r="B11" s="42"/>
      <c r="C11" s="38"/>
      <c r="D11" s="259"/>
      <c r="E11" s="260"/>
      <c r="F11" s="261"/>
      <c r="G11" s="260"/>
      <c r="H11" s="7"/>
      <c r="I11" s="27"/>
      <c r="J11" s="12"/>
      <c r="K11" s="3"/>
      <c r="L11" s="3"/>
      <c r="M11" s="3"/>
      <c r="N11" s="3"/>
      <c r="O11" s="3"/>
    </row>
    <row r="12" spans="1:15" ht="26.7" customHeight="1">
      <c r="A12" s="42"/>
      <c r="B12" s="42"/>
      <c r="C12" s="38"/>
      <c r="D12" s="259"/>
      <c r="E12" s="260"/>
      <c r="F12" s="261"/>
      <c r="G12" s="260"/>
      <c r="H12" s="7"/>
      <c r="I12" s="26"/>
      <c r="J12" s="12"/>
      <c r="K12" s="3"/>
      <c r="L12" s="3"/>
      <c r="M12" s="3"/>
      <c r="N12" s="3"/>
      <c r="O12" s="3"/>
    </row>
    <row r="13" spans="1:15" ht="26.7" customHeight="1">
      <c r="A13" s="42"/>
      <c r="B13" s="42"/>
      <c r="C13" s="38"/>
      <c r="D13" s="259"/>
      <c r="E13" s="260"/>
      <c r="F13" s="261"/>
      <c r="G13" s="260"/>
      <c r="H13" s="7"/>
      <c r="I13" s="26"/>
      <c r="J13" s="12"/>
      <c r="K13" s="3"/>
      <c r="L13" s="3"/>
      <c r="M13" s="3"/>
      <c r="N13" s="3"/>
      <c r="O13" s="3"/>
    </row>
    <row r="14" spans="1:15" ht="26.7" customHeight="1">
      <c r="A14" s="42"/>
      <c r="B14" s="42"/>
      <c r="C14" s="38"/>
      <c r="D14" s="259"/>
      <c r="E14" s="260"/>
      <c r="F14" s="261"/>
      <c r="G14" s="260"/>
      <c r="H14" s="7"/>
      <c r="I14" s="26"/>
      <c r="J14" s="12"/>
      <c r="K14" s="3"/>
      <c r="L14" s="3"/>
      <c r="M14" s="3"/>
      <c r="N14" s="3"/>
      <c r="O14" s="3"/>
    </row>
    <row r="15" spans="1:15" ht="26.7" customHeight="1">
      <c r="A15" s="42"/>
      <c r="B15" s="42"/>
      <c r="C15" s="38"/>
      <c r="D15" s="259"/>
      <c r="E15" s="260"/>
      <c r="F15" s="261"/>
      <c r="G15" s="260"/>
      <c r="H15" s="7"/>
      <c r="I15" s="26"/>
      <c r="J15" s="12"/>
      <c r="K15" s="3"/>
      <c r="L15" s="3"/>
      <c r="M15" s="3"/>
      <c r="N15" s="3"/>
      <c r="O15" s="3"/>
    </row>
    <row r="16" spans="1:15" ht="26.7" customHeight="1">
      <c r="A16" s="42"/>
      <c r="B16" s="42"/>
      <c r="C16" s="38"/>
      <c r="D16" s="259"/>
      <c r="E16" s="260"/>
      <c r="F16" s="261"/>
      <c r="G16" s="260"/>
      <c r="H16" s="7"/>
      <c r="I16" s="26"/>
      <c r="J16" s="12"/>
      <c r="K16" s="3"/>
      <c r="L16" s="3"/>
      <c r="M16" s="3"/>
      <c r="N16" s="3"/>
      <c r="O16" s="3"/>
    </row>
    <row r="17" spans="1:10" ht="26.7" customHeight="1">
      <c r="A17" s="42"/>
      <c r="B17" s="6"/>
      <c r="C17" s="38"/>
      <c r="D17" s="259"/>
      <c r="E17" s="260"/>
      <c r="F17" s="261"/>
      <c r="G17" s="260"/>
      <c r="H17" s="7"/>
      <c r="I17" s="26"/>
      <c r="J17" s="12"/>
    </row>
    <row r="18" spans="1:10" ht="26.7" customHeight="1">
      <c r="A18" s="42"/>
      <c r="B18" s="6"/>
      <c r="C18" s="38"/>
      <c r="D18" s="259"/>
      <c r="E18" s="260"/>
      <c r="F18" s="261"/>
      <c r="G18" s="260"/>
      <c r="H18" s="7"/>
      <c r="I18" s="26"/>
      <c r="J18" s="12"/>
    </row>
    <row r="19" spans="1:10" ht="26.7" customHeight="1">
      <c r="A19" s="42"/>
      <c r="B19" s="6"/>
      <c r="C19" s="38"/>
      <c r="D19" s="259"/>
      <c r="E19" s="260"/>
      <c r="F19" s="261"/>
      <c r="G19" s="260"/>
      <c r="H19" s="7"/>
      <c r="I19" s="26"/>
      <c r="J19" s="12"/>
    </row>
    <row r="20" spans="1:10" ht="26.7" customHeight="1">
      <c r="A20" s="42"/>
      <c r="B20" s="6"/>
      <c r="C20" s="38"/>
      <c r="D20" s="259"/>
      <c r="E20" s="260"/>
      <c r="F20" s="261"/>
      <c r="G20" s="260"/>
      <c r="H20" s="7"/>
      <c r="I20" s="26"/>
      <c r="J20" s="12"/>
    </row>
    <row r="21" spans="1:10" ht="26.7" customHeight="1">
      <c r="A21" s="42"/>
      <c r="B21" s="6"/>
      <c r="C21" s="38"/>
      <c r="D21" s="259"/>
      <c r="E21" s="260"/>
      <c r="F21" s="261"/>
      <c r="G21" s="260"/>
      <c r="H21" s="7"/>
      <c r="I21" s="26"/>
      <c r="J21" s="12"/>
    </row>
    <row r="22" spans="1:10" ht="26.7" customHeight="1">
      <c r="A22" s="42"/>
      <c r="B22" s="6"/>
      <c r="C22" s="38"/>
      <c r="D22" s="259"/>
      <c r="E22" s="260"/>
      <c r="F22" s="261"/>
      <c r="G22" s="260"/>
      <c r="H22" s="7"/>
      <c r="I22" s="26"/>
      <c r="J22" s="12"/>
    </row>
    <row r="23" spans="1:10" ht="26.7" customHeight="1">
      <c r="A23" s="42"/>
      <c r="B23" s="6"/>
      <c r="C23" s="38"/>
      <c r="D23" s="259"/>
      <c r="E23" s="260"/>
      <c r="F23" s="261"/>
      <c r="G23" s="260"/>
      <c r="H23" s="7"/>
      <c r="I23" s="26"/>
      <c r="J23" s="12"/>
    </row>
    <row r="24" spans="1:10" ht="26.7" customHeight="1">
      <c r="A24" s="42"/>
      <c r="B24" s="6"/>
      <c r="C24" s="38"/>
      <c r="D24" s="259"/>
      <c r="E24" s="260"/>
      <c r="F24" s="261"/>
      <c r="G24" s="260"/>
      <c r="H24" s="7"/>
      <c r="I24" s="26"/>
      <c r="J24" s="12"/>
    </row>
    <row r="25" spans="1:10" ht="26.7" customHeight="1">
      <c r="A25" s="42"/>
      <c r="B25" s="6"/>
      <c r="C25" s="38"/>
      <c r="D25" s="259"/>
      <c r="E25" s="260"/>
      <c r="F25" s="261"/>
      <c r="G25" s="260"/>
      <c r="H25" s="7"/>
      <c r="I25" s="28"/>
      <c r="J25" s="12"/>
    </row>
    <row r="26" spans="1:10" ht="26.7" customHeight="1">
      <c r="A26" s="42"/>
      <c r="B26" s="6"/>
      <c r="C26" s="38"/>
      <c r="D26" s="259"/>
      <c r="E26" s="260"/>
      <c r="F26" s="261"/>
      <c r="G26" s="260"/>
      <c r="H26" s="7"/>
      <c r="I26" s="26"/>
      <c r="J26" s="12"/>
    </row>
    <row r="27" spans="1:10" ht="26.7" customHeight="1">
      <c r="A27" s="42"/>
      <c r="B27" s="6"/>
      <c r="C27" s="38"/>
      <c r="D27" s="259"/>
      <c r="E27" s="260"/>
      <c r="F27" s="261"/>
      <c r="G27" s="260"/>
      <c r="H27" s="7"/>
      <c r="I27" s="26"/>
      <c r="J27" s="12"/>
    </row>
    <row r="28" spans="1:10" ht="26.7" customHeight="1">
      <c r="A28" s="42"/>
      <c r="B28" s="6"/>
      <c r="C28" s="38"/>
      <c r="D28" s="259"/>
      <c r="E28" s="260"/>
      <c r="F28" s="261"/>
      <c r="G28" s="260"/>
      <c r="H28" s="7"/>
      <c r="I28" s="26"/>
      <c r="J28" s="12"/>
    </row>
    <row r="29" spans="1:10" ht="26.7" customHeight="1">
      <c r="A29" s="42"/>
      <c r="B29" s="6"/>
      <c r="C29" s="38"/>
      <c r="D29" s="259"/>
      <c r="E29" s="260"/>
      <c r="F29" s="261"/>
      <c r="G29" s="260"/>
      <c r="H29" s="7"/>
      <c r="I29" s="26"/>
      <c r="J29" s="12"/>
    </row>
    <row r="30" spans="1:10" ht="26.7" customHeight="1">
      <c r="A30" s="42"/>
      <c r="B30" s="6"/>
      <c r="C30" s="38"/>
      <c r="D30" s="259"/>
      <c r="E30" s="260"/>
      <c r="F30" s="261"/>
      <c r="G30" s="260"/>
      <c r="H30" s="7"/>
      <c r="I30" s="26"/>
      <c r="J30" s="12"/>
    </row>
    <row r="31" spans="1:10" ht="26.7" customHeight="1" thickBot="1">
      <c r="A31" s="42"/>
      <c r="B31" s="30"/>
      <c r="C31" s="38"/>
      <c r="D31" s="264"/>
      <c r="E31" s="265"/>
      <c r="F31" s="267"/>
      <c r="G31" s="265"/>
      <c r="H31" s="31"/>
      <c r="I31" s="32"/>
      <c r="J31" s="12"/>
    </row>
    <row r="32" spans="1:10" ht="21" customHeight="1">
      <c r="A32" s="42"/>
      <c r="B32" s="21"/>
      <c r="C32" s="38"/>
      <c r="D32" s="276"/>
      <c r="E32" s="277"/>
      <c r="F32" s="278"/>
      <c r="G32" s="277"/>
      <c r="H32" s="22"/>
      <c r="I32" s="22"/>
      <c r="J32" s="3"/>
    </row>
    <row r="33" spans="1:9" ht="21" customHeight="1">
      <c r="A33" s="42"/>
      <c r="B33" s="6"/>
      <c r="C33" s="38"/>
      <c r="D33" s="259"/>
      <c r="E33" s="260"/>
      <c r="F33" s="261"/>
      <c r="G33" s="260"/>
      <c r="H33" s="7"/>
      <c r="I33" s="7"/>
    </row>
    <row r="34" spans="1:9" ht="21" customHeight="1">
      <c r="A34" s="42"/>
      <c r="B34" s="6"/>
      <c r="C34" s="38"/>
      <c r="D34" s="259"/>
      <c r="E34" s="260"/>
      <c r="F34" s="261"/>
      <c r="G34" s="260"/>
      <c r="H34" s="7"/>
      <c r="I34" s="16"/>
    </row>
    <row r="35" spans="1:9" ht="21" customHeight="1">
      <c r="A35" s="42"/>
      <c r="B35" s="6"/>
      <c r="C35" s="38"/>
      <c r="D35" s="259"/>
      <c r="E35" s="260"/>
      <c r="F35" s="261"/>
      <c r="G35" s="260"/>
      <c r="H35" s="7"/>
      <c r="I35" s="7"/>
    </row>
    <row r="36" spans="1:9" ht="21" customHeight="1">
      <c r="A36" s="42"/>
      <c r="B36" s="6"/>
      <c r="C36" s="38"/>
      <c r="D36" s="259"/>
      <c r="E36" s="260"/>
      <c r="F36" s="261"/>
      <c r="G36" s="260"/>
      <c r="H36" s="7"/>
      <c r="I36" s="7"/>
    </row>
    <row r="37" spans="1:9" ht="21" customHeight="1">
      <c r="A37" s="42"/>
      <c r="B37" s="6"/>
      <c r="C37" s="38"/>
      <c r="D37" s="259"/>
      <c r="E37" s="260"/>
      <c r="F37" s="261"/>
      <c r="G37" s="260"/>
      <c r="H37" s="7"/>
      <c r="I37" s="16"/>
    </row>
    <row r="38" spans="1:9" ht="21" customHeight="1">
      <c r="A38" s="42"/>
      <c r="B38" s="6"/>
      <c r="C38" s="38"/>
      <c r="D38" s="259"/>
      <c r="E38" s="260"/>
      <c r="F38" s="261"/>
      <c r="G38" s="260"/>
      <c r="H38" s="7"/>
      <c r="I38" s="7"/>
    </row>
    <row r="39" spans="1:9" ht="21" customHeight="1">
      <c r="A39" s="42"/>
      <c r="B39" s="6"/>
      <c r="C39" s="38"/>
      <c r="D39" s="259"/>
      <c r="E39" s="260"/>
      <c r="F39" s="261"/>
      <c r="G39" s="260"/>
      <c r="H39" s="7"/>
      <c r="I39" s="7"/>
    </row>
    <row r="40" spans="1:9" ht="21" customHeight="1">
      <c r="A40" s="42"/>
      <c r="B40" s="6"/>
      <c r="C40" s="38"/>
      <c r="D40" s="259"/>
      <c r="E40" s="260"/>
      <c r="F40" s="261"/>
      <c r="G40" s="260"/>
      <c r="H40" s="7"/>
      <c r="I40" s="7"/>
    </row>
    <row r="41" spans="1:9" ht="21" customHeight="1">
      <c r="A41" s="42"/>
      <c r="B41" s="6"/>
      <c r="C41" s="38"/>
      <c r="D41" s="259"/>
      <c r="E41" s="260"/>
      <c r="F41" s="261"/>
      <c r="G41" s="260"/>
      <c r="H41" s="7"/>
      <c r="I41" s="7"/>
    </row>
    <row r="42" spans="1:9" ht="21" customHeight="1">
      <c r="A42" s="42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42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42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42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42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42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42"/>
      <c r="B48" s="6"/>
      <c r="C48" s="10"/>
      <c r="D48" s="259"/>
      <c r="E48" s="260"/>
      <c r="F48" s="261"/>
      <c r="G48" s="260"/>
      <c r="H48" s="7"/>
      <c r="I48" s="7"/>
    </row>
    <row r="49" spans="1:9" ht="21" customHeight="1">
      <c r="A49" s="42"/>
      <c r="B49" s="8"/>
      <c r="C49" s="10"/>
      <c r="D49" s="259"/>
      <c r="E49" s="260"/>
      <c r="F49" s="261"/>
      <c r="G49" s="260"/>
      <c r="H49" s="7"/>
      <c r="I49" s="11"/>
    </row>
    <row r="50" spans="1:9" ht="21" customHeight="1">
      <c r="A50" s="42"/>
      <c r="B50" s="6"/>
      <c r="C50" s="9"/>
      <c r="D50" s="259"/>
      <c r="E50" s="260"/>
      <c r="F50" s="261"/>
      <c r="G50" s="260"/>
      <c r="H50" s="7"/>
      <c r="I50" s="7"/>
    </row>
    <row r="51" spans="1:9" ht="21" customHeight="1">
      <c r="A51" s="42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42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42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42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42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42"/>
      <c r="B56" s="6"/>
      <c r="C56" s="3"/>
      <c r="D56" s="259"/>
      <c r="E56" s="260"/>
      <c r="F56" s="261"/>
      <c r="G56" s="260"/>
      <c r="H56" s="7"/>
      <c r="I56" s="16"/>
    </row>
    <row r="57" spans="1:9" ht="21" customHeight="1">
      <c r="A57" s="42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42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42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42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42"/>
      <c r="B61" s="6"/>
      <c r="C61" s="9"/>
      <c r="D61" s="259"/>
      <c r="E61" s="260"/>
      <c r="F61" s="261"/>
      <c r="G61" s="260"/>
      <c r="H61" s="7"/>
      <c r="I61" s="7"/>
    </row>
    <row r="62" spans="1:9" ht="21" customHeight="1">
      <c r="A62" s="42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42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42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4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4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8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8"/>
      <c r="C84" s="9"/>
      <c r="D84" s="259"/>
      <c r="E84" s="260"/>
      <c r="F84" s="261"/>
      <c r="G84" s="260"/>
      <c r="H84" s="7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7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4"/>
  <dimension ref="A1:O104"/>
  <sheetViews>
    <sheetView workbookViewId="0">
      <selection activeCell="A2" sqref="A2"/>
    </sheetView>
  </sheetViews>
  <sheetFormatPr defaultColWidth="8.77734375" defaultRowHeight="16.2"/>
  <cols>
    <col min="1" max="1" width="12.44140625" style="246" bestFit="1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6" max="6" width="6.109375" style="246" customWidth="1"/>
    <col min="7" max="7" width="6.33203125" style="246" customWidth="1"/>
    <col min="8" max="8" width="11.77734375" style="246" customWidth="1"/>
    <col min="9" max="9" width="20.44140625" style="246" customWidth="1"/>
    <col min="10" max="10" width="16" style="246" bestFit="1" customWidth="1"/>
  </cols>
  <sheetData>
    <row r="1" spans="1:15" ht="30.75" customHeight="1" thickBot="1">
      <c r="A1" s="270" t="s">
        <v>0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33" t="s">
        <v>1276</v>
      </c>
      <c r="B2" s="273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23" t="s">
        <v>9</v>
      </c>
      <c r="B3" s="266" t="s">
        <v>257</v>
      </c>
      <c r="C3" s="263"/>
      <c r="D3" s="260"/>
      <c r="E3" s="266" t="s">
        <v>11</v>
      </c>
      <c r="F3" s="263"/>
      <c r="G3" s="260"/>
      <c r="H3" s="268" t="s">
        <v>556</v>
      </c>
      <c r="I3" s="269"/>
      <c r="J3" s="19" t="str">
        <f>B3</f>
        <v>Zodem 10mg</v>
      </c>
      <c r="K3" s="34"/>
      <c r="L3" s="5">
        <f>H7</f>
        <v>4</v>
      </c>
      <c r="M3" s="3">
        <f>SUM(C$8:C$1048576)</f>
        <v>0</v>
      </c>
      <c r="N3" s="3">
        <f>SUM(F:F)</f>
        <v>0</v>
      </c>
      <c r="O3" s="3">
        <f>L3+M3-N3</f>
        <v>4</v>
      </c>
    </row>
    <row r="4" spans="1:15" ht="19.5" customHeight="1">
      <c r="A4" s="23" t="s">
        <v>14</v>
      </c>
      <c r="B4" s="266" t="s">
        <v>15</v>
      </c>
      <c r="C4" s="263"/>
      <c r="D4" s="260"/>
      <c r="E4" s="266" t="s">
        <v>16</v>
      </c>
      <c r="F4" s="263"/>
      <c r="G4" s="260"/>
      <c r="H4" s="268" t="s">
        <v>1151</v>
      </c>
      <c r="I4" s="269"/>
      <c r="J4" s="12"/>
      <c r="K4" s="3"/>
      <c r="L4" s="3"/>
      <c r="M4" s="3"/>
      <c r="N4" s="3"/>
      <c r="O4" s="3"/>
    </row>
    <row r="5" spans="1:15" ht="19.5" customHeight="1">
      <c r="A5" s="272" t="s">
        <v>18</v>
      </c>
      <c r="B5" s="260"/>
      <c r="C5" s="262" t="s">
        <v>1277</v>
      </c>
      <c r="D5" s="263"/>
      <c r="E5" s="263"/>
      <c r="F5" s="263"/>
      <c r="G5" s="260"/>
      <c r="H5" s="17" t="s">
        <v>20</v>
      </c>
      <c r="I5" s="24" t="s">
        <v>21</v>
      </c>
      <c r="J5" s="12"/>
      <c r="K5" s="3"/>
      <c r="L5" s="3"/>
      <c r="M5" s="3"/>
      <c r="N5" s="3"/>
      <c r="O5" s="3"/>
    </row>
    <row r="6" spans="1:15" s="88" customFormat="1">
      <c r="A6" s="39" t="s">
        <v>22</v>
      </c>
      <c r="B6" s="38" t="s">
        <v>23</v>
      </c>
      <c r="C6" s="38" t="s">
        <v>24</v>
      </c>
      <c r="D6" s="279" t="s">
        <v>25</v>
      </c>
      <c r="E6" s="260"/>
      <c r="F6" s="279" t="s">
        <v>26</v>
      </c>
      <c r="G6" s="260"/>
      <c r="H6" s="38" t="s">
        <v>27</v>
      </c>
      <c r="I6" s="35" t="s">
        <v>28</v>
      </c>
      <c r="J6" s="12"/>
      <c r="K6" s="3"/>
      <c r="L6" s="3"/>
      <c r="M6" s="3"/>
      <c r="N6" s="3"/>
      <c r="O6" s="3"/>
    </row>
    <row r="7" spans="1:15" ht="28.2" customHeight="1">
      <c r="A7" s="196" t="s">
        <v>29</v>
      </c>
      <c r="B7" s="155" t="s">
        <v>5</v>
      </c>
      <c r="C7" s="155">
        <v>4</v>
      </c>
      <c r="D7" s="280"/>
      <c r="E7" s="260"/>
      <c r="F7" s="280"/>
      <c r="G7" s="260"/>
      <c r="H7" s="155">
        <v>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42"/>
      <c r="C8" s="38"/>
      <c r="D8" s="279"/>
      <c r="E8" s="260"/>
      <c r="F8" s="279"/>
      <c r="G8" s="260"/>
      <c r="H8" s="38"/>
      <c r="I8" s="38"/>
      <c r="J8" s="12"/>
      <c r="K8" s="3"/>
      <c r="L8" s="3"/>
      <c r="M8" s="3"/>
      <c r="N8" s="3"/>
      <c r="O8" s="3"/>
    </row>
    <row r="9" spans="1:15" ht="26.7" customHeight="1">
      <c r="A9" s="39"/>
      <c r="B9" s="42"/>
      <c r="C9" s="38"/>
      <c r="D9" s="279"/>
      <c r="E9" s="260"/>
      <c r="F9" s="329"/>
      <c r="G9" s="260"/>
      <c r="H9" s="38"/>
      <c r="I9" s="37"/>
      <c r="J9" s="12"/>
      <c r="K9" s="3"/>
      <c r="L9" s="3"/>
      <c r="M9" s="3"/>
      <c r="N9" s="3"/>
      <c r="O9" s="3"/>
    </row>
    <row r="10" spans="1:15" ht="26.7" customHeight="1">
      <c r="A10" s="39"/>
      <c r="B10" s="42"/>
      <c r="C10" s="38"/>
      <c r="D10" s="279"/>
      <c r="E10" s="260"/>
      <c r="F10" s="279"/>
      <c r="G10" s="260"/>
      <c r="H10" s="38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42"/>
      <c r="C11" s="38"/>
      <c r="D11" s="279"/>
      <c r="E11" s="260"/>
      <c r="F11" s="279"/>
      <c r="G11" s="260"/>
      <c r="H11" s="38"/>
      <c r="I11" s="27"/>
      <c r="J11" s="12"/>
      <c r="K11" s="3"/>
      <c r="L11" s="3"/>
      <c r="M11" s="3"/>
      <c r="N11" s="3"/>
      <c r="O11" s="3"/>
    </row>
    <row r="12" spans="1:15" ht="26.7" customHeight="1">
      <c r="A12" s="39"/>
      <c r="B12" s="42"/>
      <c r="C12" s="38"/>
      <c r="D12" s="279"/>
      <c r="E12" s="260"/>
      <c r="F12" s="279"/>
      <c r="G12" s="260"/>
      <c r="H12" s="38"/>
      <c r="I12" s="26"/>
      <c r="J12" s="12"/>
      <c r="K12" s="3"/>
      <c r="L12" s="3"/>
      <c r="M12" s="3"/>
      <c r="N12" s="3"/>
      <c r="O12" s="3"/>
    </row>
    <row r="13" spans="1:15" ht="26.7" customHeight="1">
      <c r="A13" s="39"/>
      <c r="B13" s="42"/>
      <c r="C13" s="38"/>
      <c r="D13" s="279"/>
      <c r="E13" s="260"/>
      <c r="F13" s="279"/>
      <c r="G13" s="260"/>
      <c r="H13" s="38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42"/>
      <c r="C14" s="38"/>
      <c r="D14" s="279"/>
      <c r="E14" s="260"/>
      <c r="F14" s="279"/>
      <c r="G14" s="260"/>
      <c r="H14" s="38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42"/>
      <c r="C15" s="38"/>
      <c r="D15" s="279"/>
      <c r="E15" s="260"/>
      <c r="F15" s="279"/>
      <c r="G15" s="260"/>
      <c r="H15" s="38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42"/>
      <c r="C16" s="38"/>
      <c r="D16" s="279"/>
      <c r="E16" s="260"/>
      <c r="F16" s="279"/>
      <c r="G16" s="260"/>
      <c r="H16" s="38"/>
      <c r="I16" s="26"/>
      <c r="J16" s="12"/>
      <c r="K16" s="3"/>
      <c r="L16" s="3"/>
      <c r="M16" s="3"/>
      <c r="N16" s="3"/>
      <c r="O16" s="3"/>
    </row>
    <row r="17" spans="1:10" ht="26.7" customHeight="1">
      <c r="A17" s="39"/>
      <c r="B17" s="42"/>
      <c r="C17" s="38"/>
      <c r="D17" s="279"/>
      <c r="E17" s="260"/>
      <c r="F17" s="279"/>
      <c r="G17" s="260"/>
      <c r="H17" s="38"/>
      <c r="I17" s="26"/>
      <c r="J17" s="12"/>
    </row>
    <row r="18" spans="1:10" ht="26.7" customHeight="1">
      <c r="A18" s="39"/>
      <c r="B18" s="42"/>
      <c r="C18" s="38"/>
      <c r="D18" s="279"/>
      <c r="E18" s="260"/>
      <c r="F18" s="279"/>
      <c r="G18" s="260"/>
      <c r="H18" s="38"/>
      <c r="I18" s="26"/>
      <c r="J18" s="12"/>
    </row>
    <row r="19" spans="1:10" ht="26.7" customHeight="1">
      <c r="A19" s="39"/>
      <c r="B19" s="42"/>
      <c r="C19" s="38"/>
      <c r="D19" s="279"/>
      <c r="E19" s="260"/>
      <c r="F19" s="279"/>
      <c r="G19" s="260"/>
      <c r="H19" s="38"/>
      <c r="I19" s="26"/>
      <c r="J19" s="12"/>
    </row>
    <row r="20" spans="1:10" ht="26.7" customHeight="1">
      <c r="A20" s="39"/>
      <c r="B20" s="42"/>
      <c r="C20" s="38"/>
      <c r="D20" s="279"/>
      <c r="E20" s="260"/>
      <c r="F20" s="279"/>
      <c r="G20" s="260"/>
      <c r="H20" s="38"/>
      <c r="I20" s="26"/>
      <c r="J20" s="12"/>
    </row>
    <row r="21" spans="1:10" ht="26.7" customHeight="1">
      <c r="A21" s="39"/>
      <c r="B21" s="42"/>
      <c r="C21" s="38"/>
      <c r="D21" s="279"/>
      <c r="E21" s="260"/>
      <c r="F21" s="279"/>
      <c r="G21" s="260"/>
      <c r="H21" s="38"/>
      <c r="I21" s="26"/>
      <c r="J21" s="12"/>
    </row>
    <row r="22" spans="1:10" ht="26.7" customHeight="1">
      <c r="A22" s="39"/>
      <c r="B22" s="42"/>
      <c r="C22" s="38"/>
      <c r="D22" s="279"/>
      <c r="E22" s="260"/>
      <c r="F22" s="279"/>
      <c r="G22" s="260"/>
      <c r="H22" s="38"/>
      <c r="I22" s="26"/>
      <c r="J22" s="12"/>
    </row>
    <row r="23" spans="1:10" ht="26.7" customHeight="1">
      <c r="A23" s="39"/>
      <c r="B23" s="42"/>
      <c r="C23" s="38"/>
      <c r="D23" s="279"/>
      <c r="E23" s="260"/>
      <c r="F23" s="279"/>
      <c r="G23" s="260"/>
      <c r="H23" s="38"/>
      <c r="I23" s="26"/>
      <c r="J23" s="12"/>
    </row>
    <row r="24" spans="1:10" ht="26.7" customHeight="1">
      <c r="A24" s="39"/>
      <c r="B24" s="42"/>
      <c r="C24" s="38"/>
      <c r="D24" s="279"/>
      <c r="E24" s="260"/>
      <c r="F24" s="279"/>
      <c r="G24" s="260"/>
      <c r="H24" s="38"/>
      <c r="I24" s="26"/>
      <c r="J24" s="12"/>
    </row>
    <row r="25" spans="1:10" ht="26.7" customHeight="1">
      <c r="A25" s="39"/>
      <c r="B25" s="42"/>
      <c r="C25" s="38"/>
      <c r="D25" s="279"/>
      <c r="E25" s="260"/>
      <c r="F25" s="279"/>
      <c r="G25" s="260"/>
      <c r="H25" s="38"/>
      <c r="I25" s="28"/>
      <c r="J25" s="12"/>
    </row>
    <row r="26" spans="1:10" ht="26.7" customHeight="1">
      <c r="A26" s="39"/>
      <c r="B26" s="42"/>
      <c r="C26" s="38"/>
      <c r="D26" s="279"/>
      <c r="E26" s="260"/>
      <c r="F26" s="279"/>
      <c r="G26" s="260"/>
      <c r="H26" s="38"/>
      <c r="I26" s="26"/>
      <c r="J26" s="12"/>
    </row>
    <row r="27" spans="1:10" ht="26.7" customHeight="1">
      <c r="A27" s="39"/>
      <c r="B27" s="42"/>
      <c r="C27" s="38"/>
      <c r="D27" s="279"/>
      <c r="E27" s="260"/>
      <c r="F27" s="279"/>
      <c r="G27" s="260"/>
      <c r="H27" s="38"/>
      <c r="I27" s="26"/>
      <c r="J27" s="12"/>
    </row>
    <row r="28" spans="1:10" ht="26.7" customHeight="1">
      <c r="A28" s="39"/>
      <c r="B28" s="42"/>
      <c r="C28" s="38"/>
      <c r="D28" s="279"/>
      <c r="E28" s="260"/>
      <c r="F28" s="279"/>
      <c r="G28" s="260"/>
      <c r="H28" s="38"/>
      <c r="I28" s="26"/>
      <c r="J28" s="12"/>
    </row>
    <row r="29" spans="1:10" ht="26.7" customHeight="1">
      <c r="A29" s="39"/>
      <c r="B29" s="42"/>
      <c r="C29" s="38"/>
      <c r="D29" s="279"/>
      <c r="E29" s="260"/>
      <c r="F29" s="279"/>
      <c r="G29" s="260"/>
      <c r="H29" s="38"/>
      <c r="I29" s="26"/>
      <c r="J29" s="12"/>
    </row>
    <row r="30" spans="1:10" ht="26.7" customHeight="1">
      <c r="A30" s="39"/>
      <c r="B30" s="42"/>
      <c r="C30" s="38"/>
      <c r="D30" s="279"/>
      <c r="E30" s="260"/>
      <c r="F30" s="279"/>
      <c r="G30" s="260"/>
      <c r="H30" s="38"/>
      <c r="I30" s="26"/>
      <c r="J30" s="12"/>
    </row>
    <row r="31" spans="1:10" ht="26.7" customHeight="1" thickBot="1">
      <c r="A31" s="39"/>
      <c r="B31" s="42"/>
      <c r="C31" s="38"/>
      <c r="D31" s="279"/>
      <c r="E31" s="260"/>
      <c r="F31" s="279"/>
      <c r="G31" s="260"/>
      <c r="H31" s="38"/>
      <c r="I31" s="32"/>
      <c r="J31" s="12"/>
    </row>
    <row r="32" spans="1:10" ht="21" customHeight="1">
      <c r="A32" s="39"/>
      <c r="B32" s="42"/>
      <c r="C32" s="38"/>
      <c r="D32" s="279"/>
      <c r="E32" s="260"/>
      <c r="F32" s="279"/>
      <c r="G32" s="260"/>
      <c r="H32" s="38"/>
      <c r="I32" s="22"/>
      <c r="J32" s="3"/>
    </row>
    <row r="33" spans="1:9" ht="21" customHeight="1">
      <c r="A33" s="39"/>
      <c r="B33" s="42"/>
      <c r="C33" s="38"/>
      <c r="D33" s="279"/>
      <c r="E33" s="260"/>
      <c r="F33" s="279"/>
      <c r="G33" s="260"/>
      <c r="H33" s="38"/>
      <c r="I33" s="7"/>
    </row>
    <row r="34" spans="1:9" ht="21" customHeight="1">
      <c r="A34" s="39"/>
      <c r="B34" s="42"/>
      <c r="C34" s="38"/>
      <c r="D34" s="279"/>
      <c r="E34" s="260"/>
      <c r="F34" s="279"/>
      <c r="G34" s="260"/>
      <c r="H34" s="38"/>
      <c r="I34" s="16"/>
    </row>
    <row r="35" spans="1:9" ht="21" customHeight="1">
      <c r="A35" s="39"/>
      <c r="B35" s="42"/>
      <c r="C35" s="38"/>
      <c r="D35" s="279"/>
      <c r="E35" s="260"/>
      <c r="F35" s="279"/>
      <c r="G35" s="260"/>
      <c r="H35" s="38"/>
      <c r="I35" s="7"/>
    </row>
    <row r="36" spans="1:9" ht="21" customHeight="1">
      <c r="A36" s="13"/>
      <c r="B36" s="42"/>
      <c r="C36" s="38"/>
      <c r="D36" s="279"/>
      <c r="E36" s="260"/>
      <c r="F36" s="279"/>
      <c r="G36" s="260"/>
      <c r="H36" s="38"/>
      <c r="I36" s="7"/>
    </row>
    <row r="37" spans="1:9" ht="21" customHeight="1">
      <c r="A37" s="13"/>
      <c r="B37" s="42"/>
      <c r="C37" s="38"/>
      <c r="D37" s="279"/>
      <c r="E37" s="260"/>
      <c r="F37" s="279"/>
      <c r="G37" s="260"/>
      <c r="H37" s="38"/>
      <c r="I37" s="16"/>
    </row>
    <row r="38" spans="1:9" ht="21" customHeight="1">
      <c r="A38" s="13"/>
      <c r="B38" s="6"/>
      <c r="C38" s="38"/>
      <c r="D38" s="279"/>
      <c r="E38" s="260"/>
      <c r="F38" s="279"/>
      <c r="G38" s="260"/>
      <c r="H38" s="38"/>
      <c r="I38" s="7"/>
    </row>
    <row r="39" spans="1:9" ht="21" customHeight="1">
      <c r="A39" s="13"/>
      <c r="B39" s="6"/>
      <c r="C39" s="38"/>
      <c r="D39" s="279"/>
      <c r="E39" s="260"/>
      <c r="F39" s="279"/>
      <c r="G39" s="260"/>
      <c r="H39" s="38"/>
      <c r="I39" s="7"/>
    </row>
    <row r="40" spans="1:9" ht="21" customHeight="1">
      <c r="A40" s="13"/>
      <c r="B40" s="6"/>
      <c r="C40" s="38"/>
      <c r="D40" s="279"/>
      <c r="E40" s="260"/>
      <c r="F40" s="279"/>
      <c r="G40" s="260"/>
      <c r="H40" s="38"/>
      <c r="I40" s="7"/>
    </row>
    <row r="41" spans="1:9" ht="21" customHeight="1">
      <c r="A41" s="13"/>
      <c r="B41" s="6"/>
      <c r="C41" s="38"/>
      <c r="D41" s="279"/>
      <c r="E41" s="260"/>
      <c r="F41" s="279"/>
      <c r="G41" s="260"/>
      <c r="H41" s="38"/>
      <c r="I41" s="7"/>
    </row>
    <row r="42" spans="1:9" ht="21" customHeight="1">
      <c r="A42" s="13"/>
      <c r="B42" s="6"/>
      <c r="C42" s="38"/>
      <c r="D42" s="279"/>
      <c r="E42" s="260"/>
      <c r="F42" s="279"/>
      <c r="G42" s="260"/>
      <c r="H42" s="38"/>
      <c r="I42" s="7"/>
    </row>
    <row r="43" spans="1:9" ht="21" customHeight="1">
      <c r="A43" s="13"/>
      <c r="B43" s="6"/>
      <c r="C43" s="38"/>
      <c r="D43" s="279"/>
      <c r="E43" s="260"/>
      <c r="F43" s="279"/>
      <c r="G43" s="260"/>
      <c r="H43" s="38"/>
      <c r="I43" s="7"/>
    </row>
    <row r="44" spans="1:9" ht="21" customHeight="1">
      <c r="A44" s="13"/>
      <c r="B44" s="6"/>
      <c r="C44" s="38"/>
      <c r="D44" s="279"/>
      <c r="E44" s="260"/>
      <c r="F44" s="279"/>
      <c r="G44" s="260"/>
      <c r="H44" s="38"/>
      <c r="I44" s="7"/>
    </row>
    <row r="45" spans="1:9" ht="21" customHeight="1">
      <c r="A45" s="13"/>
      <c r="B45" s="6"/>
      <c r="C45" s="38"/>
      <c r="D45" s="279"/>
      <c r="E45" s="260"/>
      <c r="F45" s="279"/>
      <c r="G45" s="260"/>
      <c r="H45" s="38"/>
      <c r="I45" s="7"/>
    </row>
    <row r="46" spans="1:9" ht="21" customHeight="1">
      <c r="A46" s="13"/>
      <c r="B46" s="6"/>
      <c r="C46" s="38"/>
      <c r="D46" s="279"/>
      <c r="E46" s="260"/>
      <c r="F46" s="279"/>
      <c r="G46" s="260"/>
      <c r="H46" s="38"/>
      <c r="I46" s="7"/>
    </row>
    <row r="47" spans="1:9" ht="21" customHeight="1">
      <c r="A47" s="13"/>
      <c r="B47" s="6"/>
      <c r="C47" s="38"/>
      <c r="D47" s="279"/>
      <c r="E47" s="260"/>
      <c r="F47" s="279"/>
      <c r="G47" s="260"/>
      <c r="H47" s="38"/>
      <c r="I47" s="7"/>
    </row>
    <row r="48" spans="1:9" ht="21" customHeight="1">
      <c r="A48" s="13"/>
      <c r="B48" s="6"/>
      <c r="C48" s="38"/>
      <c r="D48" s="279"/>
      <c r="E48" s="260"/>
      <c r="F48" s="279"/>
      <c r="G48" s="260"/>
      <c r="H48" s="38"/>
      <c r="I48" s="7"/>
    </row>
    <row r="49" spans="1:9" ht="21" customHeight="1">
      <c r="A49" s="13"/>
      <c r="B49" s="8"/>
      <c r="C49" s="38"/>
      <c r="D49" s="259"/>
      <c r="E49" s="260"/>
      <c r="F49" s="279"/>
      <c r="G49" s="260"/>
      <c r="H49" s="38"/>
      <c r="I49" s="11"/>
    </row>
    <row r="50" spans="1:9" ht="21" customHeight="1">
      <c r="A50" s="13"/>
      <c r="B50" s="6"/>
      <c r="C50" s="38"/>
      <c r="D50" s="259"/>
      <c r="E50" s="260"/>
      <c r="F50" s="279"/>
      <c r="G50" s="260"/>
      <c r="H50" s="38"/>
      <c r="I50" s="7"/>
    </row>
    <row r="51" spans="1:9" ht="21" customHeight="1">
      <c r="A51" s="14"/>
      <c r="B51" s="6"/>
      <c r="C51" s="38"/>
      <c r="D51" s="259"/>
      <c r="E51" s="260"/>
      <c r="F51" s="279"/>
      <c r="G51" s="260"/>
      <c r="H51" s="38"/>
      <c r="I51" s="7"/>
    </row>
    <row r="52" spans="1:9" ht="21" customHeight="1">
      <c r="A52" s="14"/>
      <c r="B52" s="6"/>
      <c r="C52" s="38"/>
      <c r="D52" s="259"/>
      <c r="E52" s="260"/>
      <c r="F52" s="279"/>
      <c r="G52" s="260"/>
      <c r="H52" s="38"/>
      <c r="I52" s="7"/>
    </row>
    <row r="53" spans="1:9" ht="21" customHeight="1">
      <c r="A53" s="15"/>
      <c r="B53" s="6"/>
      <c r="C53" s="38"/>
      <c r="D53" s="259"/>
      <c r="E53" s="260"/>
      <c r="F53" s="279"/>
      <c r="G53" s="260"/>
      <c r="H53" s="38"/>
      <c r="I53" s="7"/>
    </row>
    <row r="54" spans="1:9" ht="21" customHeight="1">
      <c r="A54" s="14"/>
      <c r="B54" s="6"/>
      <c r="C54" s="38"/>
      <c r="D54" s="259"/>
      <c r="E54" s="260"/>
      <c r="F54" s="279"/>
      <c r="G54" s="260"/>
      <c r="H54" s="38"/>
      <c r="I54" s="7"/>
    </row>
    <row r="55" spans="1:9" ht="21" customHeight="1">
      <c r="A55" s="14"/>
      <c r="B55" s="6"/>
      <c r="C55" s="38"/>
      <c r="D55" s="259"/>
      <c r="E55" s="260"/>
      <c r="F55" s="279"/>
      <c r="G55" s="260"/>
      <c r="H55" s="38"/>
      <c r="I55" s="7"/>
    </row>
    <row r="56" spans="1:9" ht="21" customHeight="1">
      <c r="A56" s="14"/>
      <c r="B56" s="6"/>
      <c r="C56" s="38"/>
      <c r="D56" s="259"/>
      <c r="E56" s="260"/>
      <c r="F56" s="279"/>
      <c r="G56" s="260"/>
      <c r="H56" s="38"/>
      <c r="I56" s="16"/>
    </row>
    <row r="57" spans="1:9" ht="21" customHeight="1">
      <c r="A57" s="15"/>
      <c r="B57" s="6"/>
      <c r="C57" s="38"/>
      <c r="D57" s="259"/>
      <c r="E57" s="260"/>
      <c r="F57" s="279"/>
      <c r="G57" s="260"/>
      <c r="H57" s="38"/>
      <c r="I57" s="7"/>
    </row>
    <row r="58" spans="1:9" ht="21" customHeight="1">
      <c r="A58" s="15"/>
      <c r="B58" s="6"/>
      <c r="C58" s="38"/>
      <c r="D58" s="259"/>
      <c r="E58" s="260"/>
      <c r="F58" s="279"/>
      <c r="G58" s="260"/>
      <c r="H58" s="38"/>
      <c r="I58" s="7"/>
    </row>
    <row r="59" spans="1:9" ht="21" customHeight="1">
      <c r="A59" s="15"/>
      <c r="B59" s="6"/>
      <c r="C59" s="38"/>
      <c r="D59" s="259"/>
      <c r="E59" s="260"/>
      <c r="F59" s="279"/>
      <c r="G59" s="260"/>
      <c r="H59" s="38"/>
      <c r="I59" s="7"/>
    </row>
    <row r="60" spans="1:9" ht="21" customHeight="1">
      <c r="A60" s="14"/>
      <c r="B60" s="6"/>
      <c r="C60" s="38"/>
      <c r="D60" s="259"/>
      <c r="E60" s="260"/>
      <c r="F60" s="279"/>
      <c r="G60" s="260"/>
      <c r="H60" s="38"/>
      <c r="I60" s="7"/>
    </row>
    <row r="61" spans="1:9" ht="21" customHeight="1">
      <c r="A61" s="14"/>
      <c r="B61" s="6"/>
      <c r="C61" s="38"/>
      <c r="D61" s="259"/>
      <c r="E61" s="260"/>
      <c r="F61" s="279"/>
      <c r="G61" s="260"/>
      <c r="H61" s="38"/>
      <c r="I61" s="7"/>
    </row>
    <row r="62" spans="1:9" ht="21" customHeight="1">
      <c r="A62" s="14"/>
      <c r="B62" s="6"/>
      <c r="C62" s="38"/>
      <c r="D62" s="259"/>
      <c r="E62" s="260"/>
      <c r="F62" s="279"/>
      <c r="G62" s="260"/>
      <c r="H62" s="38"/>
      <c r="I62" s="7"/>
    </row>
    <row r="63" spans="1:9" ht="21" customHeight="1">
      <c r="A63" s="15"/>
      <c r="B63" s="6"/>
      <c r="C63" s="38"/>
      <c r="D63" s="259"/>
      <c r="E63" s="260"/>
      <c r="F63" s="279"/>
      <c r="G63" s="260"/>
      <c r="H63" s="38"/>
      <c r="I63" s="7"/>
    </row>
    <row r="64" spans="1:9" ht="21" customHeight="1">
      <c r="A64" s="15"/>
      <c r="B64" s="6"/>
      <c r="C64" s="38"/>
      <c r="D64" s="259"/>
      <c r="E64" s="260"/>
      <c r="F64" s="279"/>
      <c r="G64" s="260"/>
      <c r="H64" s="38"/>
      <c r="I64" s="7"/>
    </row>
    <row r="65" spans="1:9" ht="21" customHeight="1">
      <c r="A65" s="14"/>
      <c r="B65" s="6"/>
      <c r="C65" s="38"/>
      <c r="D65" s="259"/>
      <c r="E65" s="260"/>
      <c r="F65" s="279"/>
      <c r="G65" s="260"/>
      <c r="H65" s="38"/>
      <c r="I65" s="7"/>
    </row>
    <row r="66" spans="1:9" ht="21" customHeight="1">
      <c r="A66" s="15"/>
      <c r="B66" s="6"/>
      <c r="C66" s="38"/>
      <c r="D66" s="259"/>
      <c r="E66" s="260"/>
      <c r="F66" s="279"/>
      <c r="G66" s="260"/>
      <c r="H66" s="38"/>
      <c r="I66" s="7"/>
    </row>
    <row r="67" spans="1:9" ht="21" customHeight="1">
      <c r="A67" s="15"/>
      <c r="B67" s="6"/>
      <c r="C67" s="3"/>
      <c r="D67" s="259"/>
      <c r="E67" s="260"/>
      <c r="F67" s="279"/>
      <c r="G67" s="260"/>
      <c r="H67" s="38"/>
      <c r="I67" s="7"/>
    </row>
    <row r="68" spans="1:9" ht="21" customHeight="1">
      <c r="A68" s="14"/>
      <c r="B68" s="6"/>
      <c r="C68" s="3"/>
      <c r="D68" s="259"/>
      <c r="E68" s="260"/>
      <c r="F68" s="279"/>
      <c r="G68" s="260"/>
      <c r="H68" s="38"/>
      <c r="I68" s="7"/>
    </row>
    <row r="69" spans="1:9" ht="21" customHeight="1">
      <c r="A69" s="15"/>
      <c r="B69" s="6"/>
      <c r="C69" s="3"/>
      <c r="D69" s="259"/>
      <c r="E69" s="260"/>
      <c r="F69" s="279"/>
      <c r="G69" s="260"/>
      <c r="H69" s="38"/>
      <c r="I69" s="7"/>
    </row>
    <row r="70" spans="1:9" ht="21" customHeight="1">
      <c r="A70" s="15"/>
      <c r="B70" s="6"/>
      <c r="C70" s="3"/>
      <c r="D70" s="259"/>
      <c r="E70" s="260"/>
      <c r="F70" s="279"/>
      <c r="G70" s="260"/>
      <c r="H70" s="38"/>
      <c r="I70" s="7"/>
    </row>
    <row r="71" spans="1:9" ht="21" customHeight="1">
      <c r="A71" s="15"/>
      <c r="B71" s="6"/>
      <c r="C71" s="3"/>
      <c r="D71" s="259"/>
      <c r="E71" s="260"/>
      <c r="F71" s="279"/>
      <c r="G71" s="260"/>
      <c r="H71" s="38"/>
      <c r="I71" s="7"/>
    </row>
    <row r="72" spans="1:9" ht="21" customHeight="1">
      <c r="A72" s="14"/>
      <c r="B72" s="6"/>
      <c r="C72" s="3"/>
      <c r="D72" s="259"/>
      <c r="E72" s="260"/>
      <c r="F72" s="279"/>
      <c r="G72" s="260"/>
      <c r="H72" s="38"/>
      <c r="I72" s="7"/>
    </row>
    <row r="73" spans="1:9" ht="21" customHeight="1">
      <c r="A73" s="14"/>
      <c r="B73" s="6"/>
      <c r="C73" s="3"/>
      <c r="D73" s="259"/>
      <c r="E73" s="260"/>
      <c r="F73" s="279"/>
      <c r="G73" s="260"/>
      <c r="H73" s="38"/>
      <c r="I73" s="7"/>
    </row>
    <row r="74" spans="1:9" ht="21" customHeight="1">
      <c r="A74" s="14"/>
      <c r="B74" s="6"/>
      <c r="C74" s="3"/>
      <c r="D74" s="259"/>
      <c r="E74" s="260"/>
      <c r="F74" s="279"/>
      <c r="G74" s="260"/>
      <c r="H74" s="38"/>
      <c r="I74" s="7"/>
    </row>
    <row r="75" spans="1:9" ht="21" customHeight="1">
      <c r="A75" s="15"/>
      <c r="B75" s="6"/>
      <c r="C75" s="3"/>
      <c r="D75" s="259"/>
      <c r="E75" s="260"/>
      <c r="F75" s="279"/>
      <c r="G75" s="260"/>
      <c r="H75" s="38"/>
      <c r="I75" s="7"/>
    </row>
    <row r="76" spans="1:9" ht="21" customHeight="1">
      <c r="A76" s="15"/>
      <c r="B76" s="6"/>
      <c r="C76" s="3"/>
      <c r="D76" s="259"/>
      <c r="E76" s="260"/>
      <c r="F76" s="279"/>
      <c r="G76" s="260"/>
      <c r="H76" s="38"/>
      <c r="I76" s="7"/>
    </row>
    <row r="77" spans="1:9" ht="21" customHeight="1">
      <c r="A77" s="15"/>
      <c r="B77" s="6"/>
      <c r="C77" s="3"/>
      <c r="D77" s="259"/>
      <c r="E77" s="260"/>
      <c r="F77" s="279"/>
      <c r="G77" s="260"/>
      <c r="H77" s="38"/>
      <c r="I77" s="7"/>
    </row>
    <row r="78" spans="1:9" ht="21" customHeight="1">
      <c r="A78" s="14"/>
      <c r="B78" s="6"/>
      <c r="C78" s="3"/>
      <c r="D78" s="259"/>
      <c r="E78" s="260"/>
      <c r="F78" s="279"/>
      <c r="G78" s="260"/>
      <c r="H78" s="38"/>
      <c r="I78" s="7"/>
    </row>
    <row r="79" spans="1:9" ht="21" customHeight="1">
      <c r="A79" s="15"/>
      <c r="B79" s="6"/>
      <c r="C79" s="3"/>
      <c r="D79" s="259"/>
      <c r="E79" s="260"/>
      <c r="F79" s="279"/>
      <c r="G79" s="260"/>
      <c r="H79" s="38"/>
      <c r="I79" s="7"/>
    </row>
    <row r="80" spans="1:9" ht="21" customHeight="1">
      <c r="A80" s="14"/>
      <c r="B80" s="6"/>
      <c r="C80" s="3"/>
      <c r="D80" s="259"/>
      <c r="E80" s="260"/>
      <c r="F80" s="279"/>
      <c r="G80" s="260"/>
      <c r="H80" s="38"/>
      <c r="I80" s="7"/>
    </row>
    <row r="81" spans="1:9" ht="21" customHeight="1">
      <c r="A81" s="14"/>
      <c r="B81" s="6"/>
      <c r="C81" s="3"/>
      <c r="D81" s="259"/>
      <c r="E81" s="260"/>
      <c r="F81" s="279"/>
      <c r="G81" s="260"/>
      <c r="H81" s="38"/>
      <c r="I81" s="7"/>
    </row>
    <row r="82" spans="1:9" ht="21" customHeight="1">
      <c r="A82" s="14"/>
      <c r="B82" s="8"/>
      <c r="C82" s="9"/>
      <c r="D82" s="259"/>
      <c r="E82" s="260"/>
      <c r="F82" s="279"/>
      <c r="G82" s="260"/>
      <c r="H82" s="38"/>
      <c r="I82" s="7"/>
    </row>
    <row r="83" spans="1:9" ht="21" customHeight="1">
      <c r="A83" s="14"/>
      <c r="B83" s="6"/>
      <c r="C83" s="3"/>
      <c r="D83" s="259"/>
      <c r="E83" s="260"/>
      <c r="F83" s="279"/>
      <c r="G83" s="260"/>
      <c r="H83" s="38"/>
      <c r="I83" s="7"/>
    </row>
    <row r="84" spans="1:9" ht="21" customHeight="1">
      <c r="A84" s="15"/>
      <c r="B84" s="8"/>
      <c r="C84" s="9"/>
      <c r="D84" s="259"/>
      <c r="E84" s="260"/>
      <c r="F84" s="279"/>
      <c r="G84" s="260"/>
      <c r="H84" s="38"/>
      <c r="I84" s="11"/>
    </row>
    <row r="85" spans="1:9" ht="21" customHeight="1">
      <c r="A85" s="15"/>
      <c r="B85" s="6"/>
      <c r="C85" s="3"/>
      <c r="D85" s="259"/>
      <c r="E85" s="260"/>
      <c r="F85" s="261"/>
      <c r="G85" s="260"/>
      <c r="H85" s="38"/>
      <c r="I85" s="7"/>
    </row>
    <row r="86" spans="1:9" ht="21" customHeight="1">
      <c r="A86" s="15"/>
      <c r="B86" s="6"/>
      <c r="C86" s="9"/>
      <c r="D86" s="259"/>
      <c r="E86" s="260"/>
      <c r="F86" s="261"/>
      <c r="G86" s="260"/>
      <c r="H86" s="38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38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38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38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38"/>
      <c r="I90" s="7"/>
    </row>
    <row r="91" spans="1:9" ht="21" customHeight="1">
      <c r="A91" s="15"/>
      <c r="B91" s="6"/>
      <c r="C91" s="3"/>
      <c r="D91" s="259"/>
      <c r="E91" s="260"/>
      <c r="F91" s="261"/>
      <c r="G91" s="260"/>
      <c r="H91" s="38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38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38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38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38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38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38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38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38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38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38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38"/>
      <c r="I102" s="7"/>
    </row>
    <row r="103" spans="1:9" ht="21" customHeight="1">
      <c r="A103" s="14"/>
      <c r="B103" s="6"/>
      <c r="C103" s="9"/>
      <c r="D103" s="259"/>
      <c r="E103" s="260"/>
      <c r="F103" s="261"/>
      <c r="G103" s="260"/>
      <c r="H103" s="38"/>
      <c r="I103" s="7"/>
    </row>
    <row r="104" spans="1:9" ht="21" customHeight="1">
      <c r="A104" s="14"/>
      <c r="B104" s="6"/>
      <c r="C104" s="3"/>
      <c r="D104" s="259"/>
      <c r="E104" s="260"/>
      <c r="F104" s="261"/>
      <c r="G104" s="260"/>
      <c r="H104" s="38"/>
      <c r="I104" s="7"/>
    </row>
  </sheetData>
  <mergeCells count="208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53:G53"/>
    <mergeCell ref="D95:E95"/>
    <mergeCell ref="F12:G12"/>
    <mergeCell ref="F24:G24"/>
    <mergeCell ref="F95:G95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18:E18"/>
    <mergeCell ref="D94:E94"/>
    <mergeCell ref="D69:E69"/>
    <mergeCell ref="F11:G11"/>
    <mergeCell ref="F69:G69"/>
    <mergeCell ref="F78:G78"/>
    <mergeCell ref="F65:G65"/>
    <mergeCell ref="D46:E46"/>
    <mergeCell ref="H4:I4"/>
    <mergeCell ref="D40:E40"/>
    <mergeCell ref="D80:E80"/>
    <mergeCell ref="F40:G40"/>
    <mergeCell ref="D21:E21"/>
    <mergeCell ref="F59:G59"/>
    <mergeCell ref="F55:G55"/>
    <mergeCell ref="D58:E58"/>
    <mergeCell ref="F58:G58"/>
    <mergeCell ref="F27:G27"/>
    <mergeCell ref="F52:G52"/>
    <mergeCell ref="F67:G67"/>
    <mergeCell ref="D8:E8"/>
    <mergeCell ref="F37:G37"/>
    <mergeCell ref="D83:E83"/>
    <mergeCell ref="F77:G77"/>
    <mergeCell ref="D92:E92"/>
    <mergeCell ref="D55:E55"/>
    <mergeCell ref="D30:E30"/>
    <mergeCell ref="F92:G92"/>
    <mergeCell ref="D67:E67"/>
    <mergeCell ref="F49:G49"/>
    <mergeCell ref="D14:E14"/>
    <mergeCell ref="F14:G14"/>
    <mergeCell ref="D85:E85"/>
    <mergeCell ref="D54:E54"/>
    <mergeCell ref="A1:I1"/>
    <mergeCell ref="D38:E38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101:G101"/>
    <mergeCell ref="D91:E91"/>
    <mergeCell ref="F91:G91"/>
    <mergeCell ref="F100:G100"/>
    <mergeCell ref="D93:E93"/>
    <mergeCell ref="F93:G93"/>
    <mergeCell ref="D102:E102"/>
    <mergeCell ref="F102:G102"/>
    <mergeCell ref="D99:E99"/>
    <mergeCell ref="F63:G63"/>
    <mergeCell ref="F6:G6"/>
    <mergeCell ref="F99:G99"/>
    <mergeCell ref="F74:G74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F96:G96"/>
    <mergeCell ref="F71:G71"/>
    <mergeCell ref="F56:G56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F34:G34"/>
    <mergeCell ref="D90:E90"/>
    <mergeCell ref="D47:E47"/>
    <mergeCell ref="F47:G47"/>
    <mergeCell ref="F62:G62"/>
    <mergeCell ref="D25:E25"/>
    <mergeCell ref="D48:E48"/>
    <mergeCell ref="F70:G70"/>
    <mergeCell ref="F79:G79"/>
    <mergeCell ref="D7:E7"/>
    <mergeCell ref="D72:E72"/>
    <mergeCell ref="D78:E78"/>
    <mergeCell ref="F72:G72"/>
    <mergeCell ref="F81:G81"/>
    <mergeCell ref="B4:D4"/>
    <mergeCell ref="F23:G23"/>
    <mergeCell ref="D62:E62"/>
    <mergeCell ref="F13:G13"/>
    <mergeCell ref="D56:E56"/>
    <mergeCell ref="D71:E71"/>
    <mergeCell ref="D10:E10"/>
    <mergeCell ref="F10:G10"/>
    <mergeCell ref="D19:E19"/>
    <mergeCell ref="F19:G19"/>
    <mergeCell ref="D12:E12"/>
    <mergeCell ref="E4:G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5">
    <tabColor rgb="FF00B050"/>
    <outlinePr showOutlineSymbols="0"/>
    <pageSetUpPr fitToPage="1"/>
  </sheetPr>
  <dimension ref="A1:O360"/>
  <sheetViews>
    <sheetView showOutlineSymbols="0" zoomScale="90" zoomScaleNormal="90" workbookViewId="0">
      <pane ySplit="3" topLeftCell="A60" activePane="bottomLeft" state="frozen"/>
      <selection activeCell="A99" sqref="A99"/>
      <selection pane="bottomLeft" activeCell="H71" sqref="H71"/>
    </sheetView>
  </sheetViews>
  <sheetFormatPr defaultColWidth="8.77734375" defaultRowHeight="16.2" outlineLevelRow="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335" t="s">
        <v>0</v>
      </c>
      <c r="B1" s="271"/>
      <c r="C1" s="271"/>
      <c r="D1" s="271"/>
      <c r="E1" s="271"/>
      <c r="F1" s="271"/>
      <c r="G1" s="271"/>
      <c r="H1" s="271"/>
      <c r="I1" s="271"/>
      <c r="J1" s="188" t="s">
        <v>1278</v>
      </c>
      <c r="K1" s="38" t="s">
        <v>323</v>
      </c>
      <c r="L1" s="1"/>
      <c r="M1" s="1"/>
      <c r="N1" s="1"/>
      <c r="O1" s="1"/>
    </row>
    <row r="2" spans="1:15" ht="28.95" customHeight="1">
      <c r="A2" s="100" t="s">
        <v>1279</v>
      </c>
      <c r="B2" s="337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2.95" customHeight="1">
      <c r="A3" s="99" t="s">
        <v>9</v>
      </c>
      <c r="B3" s="333" t="s">
        <v>123</v>
      </c>
      <c r="C3" s="263"/>
      <c r="D3" s="260"/>
      <c r="E3" s="330" t="s">
        <v>11</v>
      </c>
      <c r="F3" s="263"/>
      <c r="G3" s="260"/>
      <c r="H3" s="334" t="s">
        <v>1280</v>
      </c>
      <c r="I3" s="269"/>
      <c r="J3" s="19" t="str">
        <f>B3</f>
        <v>WEISUFU</v>
      </c>
      <c r="K3" s="34" t="s">
        <v>1281</v>
      </c>
      <c r="L3" s="5">
        <f>H7</f>
        <v>3052</v>
      </c>
      <c r="M3" s="3">
        <f>SUM(C$8:C$1048576)</f>
        <v>3000</v>
      </c>
      <c r="N3" s="3">
        <f>SUM(F:F)</f>
        <v>1134</v>
      </c>
      <c r="O3" s="3">
        <f>L3+M3-N3</f>
        <v>4918</v>
      </c>
    </row>
    <row r="4" spans="1:15" ht="21" customHeight="1">
      <c r="A4" s="99" t="s">
        <v>14</v>
      </c>
      <c r="B4" s="330" t="s">
        <v>15</v>
      </c>
      <c r="C4" s="263"/>
      <c r="D4" s="260"/>
      <c r="E4" s="330" t="s">
        <v>16</v>
      </c>
      <c r="F4" s="263"/>
      <c r="G4" s="260"/>
      <c r="H4" s="332" t="s">
        <v>1282</v>
      </c>
      <c r="I4" s="269"/>
      <c r="J4" s="12"/>
      <c r="K4" s="3"/>
      <c r="L4" s="3"/>
      <c r="M4" s="3"/>
      <c r="N4" s="3"/>
      <c r="O4" s="3"/>
    </row>
    <row r="5" spans="1:15" ht="16.95" customHeight="1">
      <c r="A5" s="331" t="s">
        <v>18</v>
      </c>
      <c r="B5" s="260"/>
      <c r="C5" s="262" t="s">
        <v>1283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24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41.4" customHeight="1">
      <c r="A7" s="196" t="s">
        <v>29</v>
      </c>
      <c r="B7" s="155" t="s">
        <v>5</v>
      </c>
      <c r="C7" s="155">
        <v>3052</v>
      </c>
      <c r="D7" s="280"/>
      <c r="E7" s="260"/>
      <c r="F7" s="336"/>
      <c r="G7" s="260"/>
      <c r="H7" s="212">
        <f>C7</f>
        <v>3052</v>
      </c>
      <c r="I7" s="210" t="s">
        <v>571</v>
      </c>
      <c r="J7" s="12"/>
      <c r="K7" s="3"/>
      <c r="L7" s="3"/>
      <c r="M7" s="3"/>
      <c r="N7" s="3"/>
      <c r="O7" s="3"/>
    </row>
    <row r="8" spans="1:15" ht="22.95" customHeight="1">
      <c r="A8" s="39" t="s">
        <v>333</v>
      </c>
      <c r="B8" s="38" t="s">
        <v>323</v>
      </c>
      <c r="C8" s="17"/>
      <c r="D8" s="266"/>
      <c r="E8" s="260"/>
      <c r="F8" s="266">
        <v>9</v>
      </c>
      <c r="G8" s="260"/>
      <c r="H8" s="17">
        <f t="shared" ref="H8:H39" si="0">H7-F8</f>
        <v>3043</v>
      </c>
      <c r="I8" s="26"/>
      <c r="J8" s="12"/>
      <c r="K8" s="3"/>
      <c r="L8" s="3"/>
      <c r="M8" s="3"/>
      <c r="N8" s="3"/>
      <c r="O8" s="3"/>
    </row>
    <row r="9" spans="1:15" ht="22.95" customHeight="1" outlineLevel="1">
      <c r="A9" s="39" t="s">
        <v>432</v>
      </c>
      <c r="B9" s="38" t="s">
        <v>323</v>
      </c>
      <c r="C9" s="17"/>
      <c r="D9" s="266"/>
      <c r="E9" s="260"/>
      <c r="F9" s="266">
        <v>18</v>
      </c>
      <c r="G9" s="260"/>
      <c r="H9" s="17">
        <f t="shared" si="0"/>
        <v>3025</v>
      </c>
      <c r="I9" s="26"/>
      <c r="J9" s="12"/>
      <c r="K9" s="3"/>
      <c r="L9" s="3"/>
      <c r="M9" s="3"/>
      <c r="N9" s="3"/>
      <c r="O9" s="3"/>
    </row>
    <row r="10" spans="1:15" ht="22.95" customHeight="1" outlineLevel="1">
      <c r="A10" s="39" t="s">
        <v>523</v>
      </c>
      <c r="B10" s="38" t="s">
        <v>323</v>
      </c>
      <c r="C10" s="17"/>
      <c r="D10" s="266"/>
      <c r="E10" s="260"/>
      <c r="F10" s="266">
        <v>9</v>
      </c>
      <c r="G10" s="260"/>
      <c r="H10" s="17">
        <f t="shared" si="0"/>
        <v>3016</v>
      </c>
      <c r="I10" s="26"/>
      <c r="J10" s="12"/>
      <c r="K10" s="3"/>
      <c r="L10" s="3"/>
      <c r="M10" s="3"/>
      <c r="N10" s="3"/>
      <c r="O10" s="3"/>
    </row>
    <row r="11" spans="1:15" ht="22.95" customHeight="1" outlineLevel="1">
      <c r="A11" s="39" t="s">
        <v>464</v>
      </c>
      <c r="B11" s="38" t="s">
        <v>323</v>
      </c>
      <c r="C11" s="17"/>
      <c r="D11" s="266"/>
      <c r="E11" s="260"/>
      <c r="F11" s="266">
        <v>9</v>
      </c>
      <c r="G11" s="260"/>
      <c r="H11" s="17">
        <f t="shared" si="0"/>
        <v>3007</v>
      </c>
      <c r="I11" s="27"/>
      <c r="J11" s="12"/>
      <c r="K11" s="3"/>
      <c r="L11" s="3"/>
      <c r="M11" s="3"/>
      <c r="N11" s="3"/>
      <c r="O11" s="3"/>
    </row>
    <row r="12" spans="1:15" ht="22.95" customHeight="1" outlineLevel="1">
      <c r="A12" s="39" t="s">
        <v>433</v>
      </c>
      <c r="B12" s="38" t="s">
        <v>323</v>
      </c>
      <c r="C12" s="17"/>
      <c r="D12" s="266"/>
      <c r="E12" s="260"/>
      <c r="F12" s="266">
        <v>18</v>
      </c>
      <c r="G12" s="260"/>
      <c r="H12" s="17">
        <f t="shared" si="0"/>
        <v>2989</v>
      </c>
      <c r="I12" s="26"/>
      <c r="J12" s="12"/>
      <c r="K12" s="3"/>
      <c r="L12" s="3"/>
      <c r="M12" s="3"/>
      <c r="N12" s="3"/>
      <c r="O12" s="3"/>
    </row>
    <row r="13" spans="1:15" ht="22.95" customHeight="1" outlineLevel="1">
      <c r="A13" s="39" t="s">
        <v>469</v>
      </c>
      <c r="B13" s="38" t="s">
        <v>323</v>
      </c>
      <c r="C13" s="17"/>
      <c r="D13" s="266"/>
      <c r="E13" s="260"/>
      <c r="F13" s="266">
        <v>9</v>
      </c>
      <c r="G13" s="260"/>
      <c r="H13" s="17">
        <f t="shared" si="0"/>
        <v>2980</v>
      </c>
      <c r="I13" s="26"/>
      <c r="J13" s="12"/>
      <c r="K13" s="3"/>
      <c r="L13" s="3"/>
      <c r="M13" s="3"/>
      <c r="N13" s="3"/>
      <c r="O13" s="3"/>
    </row>
    <row r="14" spans="1:15" ht="22.95" customHeight="1" outlineLevel="1">
      <c r="A14" s="39" t="s">
        <v>762</v>
      </c>
      <c r="B14" s="38" t="s">
        <v>323</v>
      </c>
      <c r="C14" s="17"/>
      <c r="D14" s="266"/>
      <c r="E14" s="260"/>
      <c r="F14" s="266">
        <v>9</v>
      </c>
      <c r="G14" s="260"/>
      <c r="H14" s="17">
        <f t="shared" si="0"/>
        <v>2971</v>
      </c>
      <c r="I14" s="26"/>
      <c r="J14" s="12"/>
      <c r="K14" s="3"/>
      <c r="L14" s="3"/>
      <c r="M14" s="3"/>
      <c r="N14" s="3"/>
      <c r="O14" s="3"/>
    </row>
    <row r="15" spans="1:15" ht="22.95" customHeight="1" outlineLevel="1">
      <c r="A15" s="39" t="s">
        <v>470</v>
      </c>
      <c r="B15" s="38" t="s">
        <v>323</v>
      </c>
      <c r="C15" s="17"/>
      <c r="D15" s="266"/>
      <c r="E15" s="260"/>
      <c r="F15" s="266">
        <v>99</v>
      </c>
      <c r="G15" s="260"/>
      <c r="H15" s="17">
        <f t="shared" si="0"/>
        <v>2872</v>
      </c>
      <c r="I15" s="108"/>
      <c r="J15" s="12"/>
      <c r="K15" s="3"/>
      <c r="L15" s="3"/>
      <c r="M15" s="3"/>
      <c r="N15" s="3"/>
      <c r="O15" s="3"/>
    </row>
    <row r="16" spans="1:15" ht="22.95" customHeight="1" outlineLevel="1">
      <c r="A16" s="39" t="s">
        <v>337</v>
      </c>
      <c r="B16" s="38" t="s">
        <v>323</v>
      </c>
      <c r="C16" s="17"/>
      <c r="D16" s="266"/>
      <c r="E16" s="260"/>
      <c r="F16" s="266">
        <v>9</v>
      </c>
      <c r="G16" s="260"/>
      <c r="H16" s="17">
        <f t="shared" si="0"/>
        <v>2863</v>
      </c>
      <c r="I16" s="26"/>
      <c r="J16" s="12"/>
      <c r="K16" s="3"/>
      <c r="L16" s="3"/>
      <c r="M16" s="3"/>
      <c r="N16" s="3"/>
      <c r="O16" s="3"/>
    </row>
    <row r="17" spans="1:10" ht="22.95" customHeight="1" outlineLevel="1">
      <c r="A17" s="39" t="s">
        <v>338</v>
      </c>
      <c r="B17" s="38" t="s">
        <v>323</v>
      </c>
      <c r="C17" s="17"/>
      <c r="D17" s="266"/>
      <c r="E17" s="260"/>
      <c r="F17" s="266">
        <v>9</v>
      </c>
      <c r="G17" s="260"/>
      <c r="H17" s="17">
        <f t="shared" si="0"/>
        <v>2854</v>
      </c>
      <c r="I17" s="26"/>
      <c r="J17" s="12"/>
    </row>
    <row r="18" spans="1:10" ht="22.95" customHeight="1" outlineLevel="1">
      <c r="A18" s="39" t="s">
        <v>383</v>
      </c>
      <c r="B18" s="38" t="s">
        <v>323</v>
      </c>
      <c r="C18" s="17"/>
      <c r="D18" s="266"/>
      <c r="E18" s="260"/>
      <c r="F18" s="266">
        <v>9</v>
      </c>
      <c r="G18" s="260"/>
      <c r="H18" s="17">
        <f t="shared" si="0"/>
        <v>2845</v>
      </c>
      <c r="I18" s="26"/>
      <c r="J18" s="12"/>
    </row>
    <row r="19" spans="1:10" ht="22.95" customHeight="1" outlineLevel="1">
      <c r="A19" s="39" t="s">
        <v>473</v>
      </c>
      <c r="B19" s="38" t="s">
        <v>323</v>
      </c>
      <c r="C19" s="17"/>
      <c r="D19" s="266"/>
      <c r="E19" s="260"/>
      <c r="F19" s="266">
        <v>18</v>
      </c>
      <c r="G19" s="260"/>
      <c r="H19" s="17">
        <f t="shared" si="0"/>
        <v>2827</v>
      </c>
      <c r="I19" s="26"/>
      <c r="J19" s="12"/>
    </row>
    <row r="20" spans="1:10" ht="22.95" customHeight="1" outlineLevel="1">
      <c r="A20" s="39" t="s">
        <v>435</v>
      </c>
      <c r="B20" s="38" t="s">
        <v>323</v>
      </c>
      <c r="C20" s="17"/>
      <c r="D20" s="266"/>
      <c r="E20" s="260"/>
      <c r="F20" s="266">
        <v>24</v>
      </c>
      <c r="G20" s="260"/>
      <c r="H20" s="17">
        <f t="shared" si="0"/>
        <v>2803</v>
      </c>
      <c r="I20" s="26"/>
      <c r="J20" s="12"/>
    </row>
    <row r="21" spans="1:10" ht="22.95" customHeight="1" outlineLevel="1">
      <c r="A21" s="39" t="s">
        <v>525</v>
      </c>
      <c r="B21" s="38" t="s">
        <v>323</v>
      </c>
      <c r="C21" s="17"/>
      <c r="D21" s="266"/>
      <c r="E21" s="260"/>
      <c r="F21" s="266">
        <v>9</v>
      </c>
      <c r="G21" s="260"/>
      <c r="H21" s="17">
        <f t="shared" si="0"/>
        <v>2794</v>
      </c>
      <c r="I21" s="108"/>
      <c r="J21" s="12"/>
    </row>
    <row r="22" spans="1:10" ht="22.95" customHeight="1" outlineLevel="1">
      <c r="A22" s="39" t="s">
        <v>384</v>
      </c>
      <c r="B22" s="38" t="s">
        <v>323</v>
      </c>
      <c r="C22" s="17"/>
      <c r="D22" s="266"/>
      <c r="E22" s="260"/>
      <c r="F22" s="266">
        <v>18</v>
      </c>
      <c r="G22" s="260"/>
      <c r="H22" s="17">
        <f t="shared" si="0"/>
        <v>2776</v>
      </c>
      <c r="I22" s="26"/>
      <c r="J22" s="12"/>
    </row>
    <row r="23" spans="1:10" ht="22.95" customHeight="1" outlineLevel="1">
      <c r="A23" s="39" t="s">
        <v>385</v>
      </c>
      <c r="B23" s="38" t="s">
        <v>323</v>
      </c>
      <c r="C23" s="17"/>
      <c r="D23" s="266"/>
      <c r="E23" s="260"/>
      <c r="F23" s="266">
        <v>9</v>
      </c>
      <c r="G23" s="260"/>
      <c r="H23" s="17">
        <f t="shared" si="0"/>
        <v>2767</v>
      </c>
      <c r="I23" s="26"/>
      <c r="J23" s="12"/>
    </row>
    <row r="24" spans="1:10" ht="22.95" customHeight="1" outlineLevel="1">
      <c r="A24" s="39" t="s">
        <v>578</v>
      </c>
      <c r="B24" s="38" t="s">
        <v>323</v>
      </c>
      <c r="C24" s="17"/>
      <c r="D24" s="266"/>
      <c r="E24" s="260"/>
      <c r="F24" s="266">
        <v>9</v>
      </c>
      <c r="G24" s="260"/>
      <c r="H24" s="17">
        <f t="shared" si="0"/>
        <v>2758</v>
      </c>
      <c r="I24" s="26"/>
      <c r="J24" s="12"/>
    </row>
    <row r="25" spans="1:10" ht="22.95" customHeight="1" outlineLevel="1">
      <c r="A25" s="39" t="s">
        <v>342</v>
      </c>
      <c r="B25" s="38" t="s">
        <v>323</v>
      </c>
      <c r="C25" s="17"/>
      <c r="D25" s="266"/>
      <c r="E25" s="260"/>
      <c r="F25" s="266">
        <v>9</v>
      </c>
      <c r="G25" s="260"/>
      <c r="H25" s="17">
        <f t="shared" si="0"/>
        <v>2749</v>
      </c>
      <c r="I25" s="28"/>
      <c r="J25" s="12"/>
    </row>
    <row r="26" spans="1:10" ht="22.95" customHeight="1" outlineLevel="1">
      <c r="A26" s="39" t="s">
        <v>343</v>
      </c>
      <c r="B26" s="38" t="s">
        <v>323</v>
      </c>
      <c r="C26" s="17"/>
      <c r="D26" s="266"/>
      <c r="E26" s="260"/>
      <c r="F26" s="266">
        <v>18</v>
      </c>
      <c r="G26" s="260"/>
      <c r="H26" s="17">
        <f t="shared" si="0"/>
        <v>2731</v>
      </c>
      <c r="I26" s="26"/>
      <c r="J26" s="12"/>
    </row>
    <row r="27" spans="1:10" ht="22.95" customHeight="1" outlineLevel="1">
      <c r="A27" s="39" t="s">
        <v>478</v>
      </c>
      <c r="B27" s="38" t="s">
        <v>323</v>
      </c>
      <c r="C27" s="17"/>
      <c r="D27" s="266"/>
      <c r="E27" s="260"/>
      <c r="F27" s="266">
        <v>9</v>
      </c>
      <c r="G27" s="260"/>
      <c r="H27" s="17">
        <f t="shared" si="0"/>
        <v>2722</v>
      </c>
      <c r="I27" s="26"/>
      <c r="J27" s="12"/>
    </row>
    <row r="28" spans="1:10" ht="22.95" customHeight="1" outlineLevel="1">
      <c r="A28" s="39" t="s">
        <v>346</v>
      </c>
      <c r="B28" s="38" t="s">
        <v>323</v>
      </c>
      <c r="C28" s="17"/>
      <c r="D28" s="266"/>
      <c r="E28" s="260"/>
      <c r="F28" s="266">
        <v>18</v>
      </c>
      <c r="G28" s="260"/>
      <c r="H28" s="17">
        <f t="shared" si="0"/>
        <v>2704</v>
      </c>
      <c r="I28" s="26"/>
      <c r="J28" s="12"/>
    </row>
    <row r="29" spans="1:10" ht="22.95" customHeight="1" outlineLevel="1">
      <c r="A29" s="39" t="s">
        <v>479</v>
      </c>
      <c r="B29" s="38" t="s">
        <v>323</v>
      </c>
      <c r="C29" s="17"/>
      <c r="D29" s="266"/>
      <c r="E29" s="260"/>
      <c r="F29" s="266">
        <v>9</v>
      </c>
      <c r="G29" s="260"/>
      <c r="H29" s="17">
        <f t="shared" si="0"/>
        <v>2695</v>
      </c>
      <c r="I29" s="26"/>
      <c r="J29" s="12"/>
    </row>
    <row r="30" spans="1:10" ht="22.95" customHeight="1" outlineLevel="1">
      <c r="A30" s="39" t="s">
        <v>480</v>
      </c>
      <c r="B30" s="38" t="s">
        <v>323</v>
      </c>
      <c r="C30" s="17"/>
      <c r="D30" s="266"/>
      <c r="E30" s="260"/>
      <c r="F30" s="266">
        <v>18</v>
      </c>
      <c r="G30" s="260"/>
      <c r="H30" s="17">
        <f t="shared" si="0"/>
        <v>2677</v>
      </c>
      <c r="I30" s="26"/>
      <c r="J30" s="12"/>
    </row>
    <row r="31" spans="1:10" ht="22.95" customHeight="1" outlineLevel="1" thickBot="1">
      <c r="A31" s="39" t="s">
        <v>387</v>
      </c>
      <c r="B31" s="38" t="s">
        <v>323</v>
      </c>
      <c r="C31" s="17"/>
      <c r="D31" s="266"/>
      <c r="E31" s="260"/>
      <c r="F31" s="266">
        <v>27</v>
      </c>
      <c r="G31" s="260"/>
      <c r="H31" s="17">
        <f t="shared" si="0"/>
        <v>2650</v>
      </c>
      <c r="I31" s="32"/>
      <c r="J31" s="12"/>
    </row>
    <row r="32" spans="1:10" ht="21" customHeight="1" outlineLevel="1">
      <c r="A32" s="39" t="s">
        <v>481</v>
      </c>
      <c r="B32" s="38" t="s">
        <v>323</v>
      </c>
      <c r="C32" s="17"/>
      <c r="D32" s="266"/>
      <c r="E32" s="260"/>
      <c r="F32" s="266">
        <v>9</v>
      </c>
      <c r="G32" s="260"/>
      <c r="H32" s="17">
        <f t="shared" si="0"/>
        <v>2641</v>
      </c>
      <c r="I32" s="22"/>
      <c r="J32" s="3"/>
    </row>
    <row r="33" spans="1:9" ht="19.5" customHeight="1" outlineLevel="1">
      <c r="A33" s="39" t="s">
        <v>438</v>
      </c>
      <c r="B33" s="38" t="s">
        <v>323</v>
      </c>
      <c r="C33" s="17"/>
      <c r="D33" s="266"/>
      <c r="E33" s="260"/>
      <c r="F33" s="266">
        <v>9</v>
      </c>
      <c r="G33" s="260"/>
      <c r="H33" s="17">
        <f t="shared" si="0"/>
        <v>2632</v>
      </c>
      <c r="I33" s="142"/>
    </row>
    <row r="34" spans="1:9" ht="21" customHeight="1" outlineLevel="1">
      <c r="A34" s="39" t="s">
        <v>528</v>
      </c>
      <c r="B34" s="38" t="s">
        <v>323</v>
      </c>
      <c r="C34" s="17"/>
      <c r="D34" s="266"/>
      <c r="E34" s="260"/>
      <c r="F34" s="266">
        <v>9</v>
      </c>
      <c r="G34" s="260"/>
      <c r="H34" s="17">
        <f t="shared" si="0"/>
        <v>2623</v>
      </c>
      <c r="I34" s="16"/>
    </row>
    <row r="35" spans="1:9" ht="21" customHeight="1" outlineLevel="1">
      <c r="A35" s="39" t="s">
        <v>634</v>
      </c>
      <c r="B35" s="38" t="s">
        <v>323</v>
      </c>
      <c r="C35" s="17"/>
      <c r="D35" s="266"/>
      <c r="E35" s="260"/>
      <c r="F35" s="266">
        <v>9</v>
      </c>
      <c r="G35" s="260"/>
      <c r="H35" s="17">
        <f t="shared" si="0"/>
        <v>2614</v>
      </c>
      <c r="I35" s="7"/>
    </row>
    <row r="36" spans="1:9" ht="21" customHeight="1" outlineLevel="1">
      <c r="A36" s="39" t="s">
        <v>529</v>
      </c>
      <c r="B36" s="38" t="s">
        <v>323</v>
      </c>
      <c r="C36" s="17"/>
      <c r="D36" s="266"/>
      <c r="E36" s="260"/>
      <c r="F36" s="266">
        <v>18</v>
      </c>
      <c r="G36" s="260"/>
      <c r="H36" s="17">
        <f t="shared" si="0"/>
        <v>2596</v>
      </c>
      <c r="I36" s="7"/>
    </row>
    <row r="37" spans="1:9" ht="21" customHeight="1" outlineLevel="1">
      <c r="A37" s="41" t="s">
        <v>530</v>
      </c>
      <c r="B37" s="38" t="s">
        <v>323</v>
      </c>
      <c r="C37" s="17"/>
      <c r="D37" s="266"/>
      <c r="E37" s="260"/>
      <c r="F37" s="266">
        <v>18</v>
      </c>
      <c r="G37" s="260"/>
      <c r="H37" s="17">
        <f t="shared" si="0"/>
        <v>2578</v>
      </c>
      <c r="I37" s="16"/>
    </row>
    <row r="38" spans="1:9" ht="23.4" customHeight="1" outlineLevel="1" collapsed="1">
      <c r="A38" s="39" t="s">
        <v>348</v>
      </c>
      <c r="B38" s="38" t="s">
        <v>323</v>
      </c>
      <c r="C38" s="17"/>
      <c r="D38" s="266"/>
      <c r="E38" s="260"/>
      <c r="F38" s="266">
        <v>36</v>
      </c>
      <c r="G38" s="260"/>
      <c r="H38" s="17">
        <f t="shared" si="0"/>
        <v>2542</v>
      </c>
      <c r="I38" s="7"/>
    </row>
    <row r="39" spans="1:9" ht="22.95" customHeight="1" outlineLevel="2">
      <c r="A39" s="39" t="s">
        <v>349</v>
      </c>
      <c r="B39" s="38" t="s">
        <v>323</v>
      </c>
      <c r="C39" s="17"/>
      <c r="D39" s="266"/>
      <c r="E39" s="260"/>
      <c r="F39" s="266">
        <v>18</v>
      </c>
      <c r="G39" s="260"/>
      <c r="H39" s="17">
        <f t="shared" si="0"/>
        <v>2524</v>
      </c>
      <c r="I39" s="7"/>
    </row>
    <row r="40" spans="1:9" ht="24.6" customHeight="1" outlineLevel="2">
      <c r="A40" s="39" t="s">
        <v>531</v>
      </c>
      <c r="B40" s="38" t="s">
        <v>323</v>
      </c>
      <c r="C40" s="17"/>
      <c r="D40" s="266"/>
      <c r="E40" s="260"/>
      <c r="F40" s="266">
        <v>21</v>
      </c>
      <c r="G40" s="260"/>
      <c r="H40" s="17">
        <f t="shared" ref="H40:H67" si="1">H39-F40</f>
        <v>2503</v>
      </c>
      <c r="I40" s="7"/>
    </row>
    <row r="41" spans="1:9" ht="20.399999999999999" customHeight="1" outlineLevel="2">
      <c r="A41" s="39" t="s">
        <v>533</v>
      </c>
      <c r="B41" s="38" t="s">
        <v>323</v>
      </c>
      <c r="C41" s="17"/>
      <c r="D41" s="266"/>
      <c r="E41" s="260"/>
      <c r="F41" s="266">
        <v>45</v>
      </c>
      <c r="G41" s="260"/>
      <c r="H41" s="17">
        <f t="shared" si="1"/>
        <v>2458</v>
      </c>
      <c r="I41" s="7"/>
    </row>
    <row r="42" spans="1:9" ht="16.95" customHeight="1" outlineLevel="2">
      <c r="A42" s="39" t="s">
        <v>482</v>
      </c>
      <c r="B42" s="38" t="s">
        <v>323</v>
      </c>
      <c r="C42" s="17"/>
      <c r="D42" s="266"/>
      <c r="E42" s="260"/>
      <c r="F42" s="266">
        <v>18</v>
      </c>
      <c r="G42" s="260"/>
      <c r="H42" s="17">
        <f t="shared" si="1"/>
        <v>2440</v>
      </c>
      <c r="I42" s="7"/>
    </row>
    <row r="43" spans="1:9" ht="18.600000000000001" customHeight="1" outlineLevel="2">
      <c r="A43" s="39" t="s">
        <v>535</v>
      </c>
      <c r="B43" s="38" t="s">
        <v>323</v>
      </c>
      <c r="C43" s="17"/>
      <c r="D43" s="266"/>
      <c r="E43" s="260"/>
      <c r="F43" s="266">
        <v>36</v>
      </c>
      <c r="G43" s="260"/>
      <c r="H43" s="17">
        <f t="shared" si="1"/>
        <v>2404</v>
      </c>
      <c r="I43" s="7"/>
    </row>
    <row r="44" spans="1:9" ht="16.95" customHeight="1" outlineLevel="2">
      <c r="A44" s="39" t="s">
        <v>483</v>
      </c>
      <c r="B44" s="38" t="s">
        <v>323</v>
      </c>
      <c r="C44" s="17"/>
      <c r="D44" s="266"/>
      <c r="E44" s="260"/>
      <c r="F44" s="266">
        <v>9</v>
      </c>
      <c r="G44" s="260"/>
      <c r="H44" s="17">
        <f t="shared" si="1"/>
        <v>2395</v>
      </c>
      <c r="I44" s="7"/>
    </row>
    <row r="45" spans="1:9" ht="15" customHeight="1" outlineLevel="2">
      <c r="A45" s="39" t="s">
        <v>537</v>
      </c>
      <c r="B45" s="38" t="s">
        <v>323</v>
      </c>
      <c r="C45" s="17"/>
      <c r="D45" s="266"/>
      <c r="E45" s="260"/>
      <c r="F45" s="266">
        <v>18</v>
      </c>
      <c r="G45" s="260"/>
      <c r="H45" s="17">
        <f t="shared" si="1"/>
        <v>2377</v>
      </c>
      <c r="I45" s="7"/>
    </row>
    <row r="46" spans="1:9" ht="16.95" customHeight="1" outlineLevel="2">
      <c r="A46" s="39" t="s">
        <v>351</v>
      </c>
      <c r="B46" s="38" t="s">
        <v>323</v>
      </c>
      <c r="C46" s="17"/>
      <c r="D46" s="266"/>
      <c r="E46" s="260"/>
      <c r="F46" s="266">
        <v>27</v>
      </c>
      <c r="G46" s="260"/>
      <c r="H46" s="17">
        <f t="shared" si="1"/>
        <v>2350</v>
      </c>
      <c r="I46" s="7"/>
    </row>
    <row r="47" spans="1:9" ht="18" customHeight="1" outlineLevel="2">
      <c r="A47" s="39" t="s">
        <v>390</v>
      </c>
      <c r="B47" s="38" t="s">
        <v>323</v>
      </c>
      <c r="C47" s="17"/>
      <c r="D47" s="266"/>
      <c r="E47" s="260"/>
      <c r="F47" s="266">
        <v>9</v>
      </c>
      <c r="G47" s="260"/>
      <c r="H47" s="17">
        <f t="shared" si="1"/>
        <v>2341</v>
      </c>
      <c r="I47" s="7"/>
    </row>
    <row r="48" spans="1:9" ht="18" customHeight="1" outlineLevel="2">
      <c r="A48" s="39" t="s">
        <v>440</v>
      </c>
      <c r="B48" s="38" t="s">
        <v>323</v>
      </c>
      <c r="C48" s="17"/>
      <c r="D48" s="266"/>
      <c r="E48" s="260"/>
      <c r="F48" s="266">
        <v>18</v>
      </c>
      <c r="G48" s="260"/>
      <c r="H48" s="17">
        <f t="shared" si="1"/>
        <v>2323</v>
      </c>
      <c r="I48" s="7"/>
    </row>
    <row r="49" spans="1:9" ht="19.95" customHeight="1" outlineLevel="2">
      <c r="A49" s="39" t="s">
        <v>579</v>
      </c>
      <c r="B49" s="38" t="s">
        <v>323</v>
      </c>
      <c r="C49" s="17"/>
      <c r="D49" s="266"/>
      <c r="E49" s="260"/>
      <c r="F49" s="266">
        <v>9</v>
      </c>
      <c r="G49" s="260"/>
      <c r="H49" s="17">
        <f t="shared" si="1"/>
        <v>2314</v>
      </c>
      <c r="I49" s="7"/>
    </row>
    <row r="50" spans="1:9" ht="24" customHeight="1" outlineLevel="2">
      <c r="A50" s="39" t="s">
        <v>485</v>
      </c>
      <c r="B50" s="38" t="s">
        <v>323</v>
      </c>
      <c r="C50" s="17"/>
      <c r="D50" s="266"/>
      <c r="E50" s="260"/>
      <c r="F50" s="266">
        <v>27</v>
      </c>
      <c r="G50" s="260"/>
      <c r="H50" s="17">
        <f t="shared" si="1"/>
        <v>2287</v>
      </c>
      <c r="I50" s="7"/>
    </row>
    <row r="51" spans="1:9" ht="13.95" customHeight="1" outlineLevel="2">
      <c r="A51" s="39" t="s">
        <v>486</v>
      </c>
      <c r="B51" s="38" t="s">
        <v>323</v>
      </c>
      <c r="C51" s="17"/>
      <c r="D51" s="266"/>
      <c r="E51" s="260"/>
      <c r="F51" s="266">
        <v>27</v>
      </c>
      <c r="G51" s="260"/>
      <c r="H51" s="17">
        <f t="shared" si="1"/>
        <v>2260</v>
      </c>
      <c r="I51" s="7"/>
    </row>
    <row r="52" spans="1:9" ht="24.6" customHeight="1" outlineLevel="2">
      <c r="A52" s="39" t="s">
        <v>415</v>
      </c>
      <c r="B52" s="38" t="s">
        <v>323</v>
      </c>
      <c r="C52" s="17"/>
      <c r="D52" s="266"/>
      <c r="E52" s="260"/>
      <c r="F52" s="266">
        <v>9</v>
      </c>
      <c r="G52" s="260"/>
      <c r="H52" s="17">
        <f t="shared" si="1"/>
        <v>2251</v>
      </c>
      <c r="I52" s="7"/>
    </row>
    <row r="53" spans="1:9" ht="13.95" customHeight="1" outlineLevel="2">
      <c r="A53" s="39" t="s">
        <v>488</v>
      </c>
      <c r="B53" s="38" t="s">
        <v>323</v>
      </c>
      <c r="C53" s="17"/>
      <c r="D53" s="266"/>
      <c r="E53" s="260"/>
      <c r="F53" s="266">
        <v>18</v>
      </c>
      <c r="G53" s="260"/>
      <c r="H53" s="17">
        <f t="shared" si="1"/>
        <v>2233</v>
      </c>
      <c r="I53" s="7"/>
    </row>
    <row r="54" spans="1:9" ht="24.6" customHeight="1" outlineLevel="2">
      <c r="A54" s="39" t="s">
        <v>352</v>
      </c>
      <c r="B54" s="38" t="s">
        <v>323</v>
      </c>
      <c r="C54" s="17"/>
      <c r="D54" s="266"/>
      <c r="E54" s="260"/>
      <c r="F54" s="266">
        <v>9</v>
      </c>
      <c r="G54" s="260"/>
      <c r="H54" s="17">
        <f t="shared" si="1"/>
        <v>2224</v>
      </c>
      <c r="I54" s="7"/>
    </row>
    <row r="55" spans="1:9" ht="19.95" customHeight="1" outlineLevel="2">
      <c r="A55" s="39" t="s">
        <v>489</v>
      </c>
      <c r="B55" s="38" t="s">
        <v>323</v>
      </c>
      <c r="C55" s="17"/>
      <c r="D55" s="266"/>
      <c r="E55" s="260"/>
      <c r="F55" s="266">
        <v>9</v>
      </c>
      <c r="G55" s="260"/>
      <c r="H55" s="17">
        <f t="shared" si="1"/>
        <v>2215</v>
      </c>
      <c r="I55" s="7"/>
    </row>
    <row r="56" spans="1:9" ht="12.6" customHeight="1" outlineLevel="2">
      <c r="A56" s="39" t="s">
        <v>391</v>
      </c>
      <c r="B56" s="38" t="s">
        <v>323</v>
      </c>
      <c r="C56" s="17"/>
      <c r="D56" s="266"/>
      <c r="E56" s="260"/>
      <c r="F56" s="266">
        <v>18</v>
      </c>
      <c r="G56" s="260"/>
      <c r="H56" s="17">
        <f t="shared" si="1"/>
        <v>2197</v>
      </c>
      <c r="I56" s="16"/>
    </row>
    <row r="57" spans="1:9" ht="17.399999999999999" customHeight="1" outlineLevel="2">
      <c r="A57" s="39" t="s">
        <v>542</v>
      </c>
      <c r="B57" s="38" t="s">
        <v>323</v>
      </c>
      <c r="C57" s="17"/>
      <c r="D57" s="266"/>
      <c r="E57" s="260"/>
      <c r="F57" s="266">
        <v>15</v>
      </c>
      <c r="G57" s="260"/>
      <c r="H57" s="17">
        <f t="shared" si="1"/>
        <v>2182</v>
      </c>
      <c r="I57" s="7"/>
    </row>
    <row r="58" spans="1:9" ht="20.399999999999999" customHeight="1" outlineLevel="2">
      <c r="A58" s="39" t="s">
        <v>418</v>
      </c>
      <c r="B58" s="38" t="s">
        <v>323</v>
      </c>
      <c r="C58" s="17"/>
      <c r="D58" s="266"/>
      <c r="E58" s="260"/>
      <c r="F58" s="266">
        <v>9</v>
      </c>
      <c r="G58" s="260"/>
      <c r="H58" s="17">
        <f t="shared" si="1"/>
        <v>2173</v>
      </c>
      <c r="I58" s="7"/>
    </row>
    <row r="59" spans="1:9" ht="18" customHeight="1" outlineLevel="2">
      <c r="A59" s="39" t="s">
        <v>492</v>
      </c>
      <c r="B59" s="38" t="s">
        <v>323</v>
      </c>
      <c r="C59" s="17"/>
      <c r="D59" s="266"/>
      <c r="E59" s="260"/>
      <c r="F59" s="266">
        <v>18</v>
      </c>
      <c r="G59" s="260"/>
      <c r="H59" s="17">
        <f t="shared" si="1"/>
        <v>2155</v>
      </c>
      <c r="I59" s="7"/>
    </row>
    <row r="60" spans="1:9" ht="22.2" customHeight="1" outlineLevel="2">
      <c r="A60" s="39" t="s">
        <v>444</v>
      </c>
      <c r="B60" s="38" t="s">
        <v>323</v>
      </c>
      <c r="C60" s="17"/>
      <c r="D60" s="266"/>
      <c r="E60" s="260"/>
      <c r="F60" s="266">
        <v>9</v>
      </c>
      <c r="G60" s="260"/>
      <c r="H60" s="17">
        <f t="shared" si="1"/>
        <v>2146</v>
      </c>
      <c r="I60" s="7"/>
    </row>
    <row r="61" spans="1:9" ht="24" customHeight="1" outlineLevel="2">
      <c r="A61" s="39" t="s">
        <v>357</v>
      </c>
      <c r="B61" s="38" t="s">
        <v>323</v>
      </c>
      <c r="C61" s="17"/>
      <c r="D61" s="266"/>
      <c r="E61" s="260"/>
      <c r="F61" s="266">
        <v>24</v>
      </c>
      <c r="G61" s="260"/>
      <c r="H61" s="17">
        <f t="shared" si="1"/>
        <v>2122</v>
      </c>
      <c r="I61" s="7"/>
    </row>
    <row r="62" spans="1:9" ht="22.95" customHeight="1" outlineLevel="2">
      <c r="A62" s="39" t="s">
        <v>358</v>
      </c>
      <c r="B62" s="38" t="s">
        <v>323</v>
      </c>
      <c r="C62" s="17"/>
      <c r="D62" s="266"/>
      <c r="E62" s="260"/>
      <c r="F62" s="266">
        <v>15</v>
      </c>
      <c r="G62" s="260"/>
      <c r="H62" s="17">
        <f t="shared" si="1"/>
        <v>2107</v>
      </c>
      <c r="I62" s="7"/>
    </row>
    <row r="63" spans="1:9" ht="16.2" customHeight="1" outlineLevel="2">
      <c r="A63" s="39" t="s">
        <v>547</v>
      </c>
      <c r="B63" s="38" t="s">
        <v>323</v>
      </c>
      <c r="C63" s="17"/>
      <c r="D63" s="266"/>
      <c r="E63" s="260"/>
      <c r="F63" s="266">
        <v>9</v>
      </c>
      <c r="G63" s="260"/>
      <c r="H63" s="17">
        <f t="shared" si="1"/>
        <v>2098</v>
      </c>
      <c r="I63" s="7"/>
    </row>
    <row r="64" spans="1:9" ht="21" customHeight="1" outlineLevel="1">
      <c r="A64" s="39" t="s">
        <v>359</v>
      </c>
      <c r="B64" s="38" t="s">
        <v>323</v>
      </c>
      <c r="C64" s="17"/>
      <c r="D64" s="266"/>
      <c r="E64" s="260"/>
      <c r="F64" s="266">
        <v>9</v>
      </c>
      <c r="G64" s="260"/>
      <c r="H64" s="17">
        <f t="shared" si="1"/>
        <v>2089</v>
      </c>
      <c r="I64" s="7"/>
    </row>
    <row r="65" spans="1:9" ht="21" customHeight="1" outlineLevel="1">
      <c r="A65" s="39" t="s">
        <v>360</v>
      </c>
      <c r="B65" s="38" t="s">
        <v>323</v>
      </c>
      <c r="C65" s="17"/>
      <c r="D65" s="266"/>
      <c r="E65" s="260"/>
      <c r="F65" s="266">
        <v>9</v>
      </c>
      <c r="G65" s="260"/>
      <c r="H65" s="17">
        <f t="shared" si="1"/>
        <v>2080</v>
      </c>
      <c r="I65" s="7"/>
    </row>
    <row r="66" spans="1:9" ht="21" customHeight="1" outlineLevel="1">
      <c r="A66" s="39" t="s">
        <v>397</v>
      </c>
      <c r="B66" s="38" t="s">
        <v>323</v>
      </c>
      <c r="C66" s="17"/>
      <c r="D66" s="266"/>
      <c r="E66" s="260"/>
      <c r="F66" s="266">
        <v>9</v>
      </c>
      <c r="G66" s="260"/>
      <c r="H66" s="17">
        <f t="shared" si="1"/>
        <v>2071</v>
      </c>
      <c r="I66" s="7"/>
    </row>
    <row r="67" spans="1:9" ht="21" customHeight="1" outlineLevel="1">
      <c r="A67" s="39" t="s">
        <v>550</v>
      </c>
      <c r="B67" s="38" t="s">
        <v>323</v>
      </c>
      <c r="C67" s="17"/>
      <c r="D67" s="266"/>
      <c r="E67" s="260"/>
      <c r="F67" s="266">
        <v>9</v>
      </c>
      <c r="G67" s="260"/>
      <c r="H67" s="17">
        <f t="shared" si="1"/>
        <v>2062</v>
      </c>
      <c r="I67" s="7"/>
    </row>
    <row r="68" spans="1:9" ht="21" customHeight="1" outlineLevel="1">
      <c r="A68" s="39" t="s">
        <v>362</v>
      </c>
      <c r="B68" s="38" t="s">
        <v>324</v>
      </c>
      <c r="C68" s="17">
        <v>3000</v>
      </c>
      <c r="D68" s="266" t="s">
        <v>1284</v>
      </c>
      <c r="E68" s="260"/>
      <c r="F68" s="266"/>
      <c r="G68" s="260"/>
      <c r="H68" s="17">
        <v>5062</v>
      </c>
      <c r="I68" s="7" t="s">
        <v>1285</v>
      </c>
    </row>
    <row r="69" spans="1:9" ht="21" customHeight="1" outlineLevel="1">
      <c r="A69" s="39" t="s">
        <v>552</v>
      </c>
      <c r="B69" s="38" t="s">
        <v>323</v>
      </c>
      <c r="C69" s="17"/>
      <c r="D69" s="266"/>
      <c r="E69" s="260"/>
      <c r="F69" s="266">
        <v>27</v>
      </c>
      <c r="G69" s="260"/>
      <c r="H69" s="17">
        <f t="shared" ref="H69:H79" si="2">H68-F69</f>
        <v>5035</v>
      </c>
      <c r="I69" s="7"/>
    </row>
    <row r="70" spans="1:9" ht="21" customHeight="1" outlineLevel="1">
      <c r="A70" s="39" t="s">
        <v>420</v>
      </c>
      <c r="B70" s="38" t="s">
        <v>323</v>
      </c>
      <c r="C70" s="17"/>
      <c r="D70" s="266"/>
      <c r="E70" s="260"/>
      <c r="F70" s="266">
        <v>9</v>
      </c>
      <c r="G70" s="260"/>
      <c r="H70" s="17">
        <f t="shared" si="2"/>
        <v>5026</v>
      </c>
      <c r="I70" s="7"/>
    </row>
    <row r="71" spans="1:9" ht="21" customHeight="1" outlineLevel="1">
      <c r="A71" s="39" t="s">
        <v>399</v>
      </c>
      <c r="B71" s="38" t="s">
        <v>323</v>
      </c>
      <c r="C71" s="17"/>
      <c r="D71" s="266"/>
      <c r="E71" s="260"/>
      <c r="F71" s="266">
        <v>9</v>
      </c>
      <c r="G71" s="260"/>
      <c r="H71" s="17">
        <f t="shared" si="2"/>
        <v>5017</v>
      </c>
      <c r="I71" s="7"/>
    </row>
    <row r="72" spans="1:9" ht="21" customHeight="1" outlineLevel="1">
      <c r="A72" s="39" t="s">
        <v>507</v>
      </c>
      <c r="B72" s="38" t="s">
        <v>323</v>
      </c>
      <c r="C72" s="17"/>
      <c r="D72" s="266"/>
      <c r="E72" s="260"/>
      <c r="F72" s="266">
        <v>9</v>
      </c>
      <c r="G72" s="260"/>
      <c r="H72" s="17">
        <f t="shared" si="2"/>
        <v>5008</v>
      </c>
      <c r="I72" s="7"/>
    </row>
    <row r="73" spans="1:9" ht="21" customHeight="1" outlineLevel="1">
      <c r="A73" s="39" t="s">
        <v>508</v>
      </c>
      <c r="B73" s="38" t="s">
        <v>323</v>
      </c>
      <c r="C73" s="17"/>
      <c r="D73" s="266"/>
      <c r="E73" s="260"/>
      <c r="F73" s="266">
        <v>18</v>
      </c>
      <c r="G73" s="260"/>
      <c r="H73" s="17">
        <f t="shared" si="2"/>
        <v>4990</v>
      </c>
      <c r="I73" s="7"/>
    </row>
    <row r="74" spans="1:9" ht="21" customHeight="1" outlineLevel="1">
      <c r="A74" s="39" t="s">
        <v>588</v>
      </c>
      <c r="B74" s="38" t="s">
        <v>323</v>
      </c>
      <c r="C74" s="17"/>
      <c r="D74" s="266"/>
      <c r="E74" s="260"/>
      <c r="F74" s="266">
        <v>18</v>
      </c>
      <c r="G74" s="260"/>
      <c r="H74" s="17">
        <f t="shared" si="2"/>
        <v>4972</v>
      </c>
      <c r="I74" s="7"/>
    </row>
    <row r="75" spans="1:9" ht="21" customHeight="1" outlineLevel="1">
      <c r="A75" s="39" t="s">
        <v>366</v>
      </c>
      <c r="B75" s="38" t="s">
        <v>323</v>
      </c>
      <c r="C75" s="17"/>
      <c r="D75" s="266"/>
      <c r="E75" s="260"/>
      <c r="F75" s="266">
        <v>9</v>
      </c>
      <c r="G75" s="260"/>
      <c r="H75" s="17">
        <f t="shared" si="2"/>
        <v>4963</v>
      </c>
      <c r="I75" s="7"/>
    </row>
    <row r="76" spans="1:9" ht="21" customHeight="1" outlineLevel="1">
      <c r="A76" s="39" t="s">
        <v>512</v>
      </c>
      <c r="B76" s="38" t="s">
        <v>323</v>
      </c>
      <c r="C76" s="17"/>
      <c r="D76" s="266"/>
      <c r="E76" s="260"/>
      <c r="F76" s="266">
        <v>9</v>
      </c>
      <c r="G76" s="260"/>
      <c r="H76" s="17">
        <f t="shared" si="2"/>
        <v>4954</v>
      </c>
      <c r="I76" s="7"/>
    </row>
    <row r="77" spans="1:9" ht="21" customHeight="1" outlineLevel="1">
      <c r="A77" s="39" t="s">
        <v>626</v>
      </c>
      <c r="B77" s="38" t="s">
        <v>323</v>
      </c>
      <c r="C77" s="17"/>
      <c r="D77" s="266"/>
      <c r="E77" s="260"/>
      <c r="F77" s="266">
        <v>9</v>
      </c>
      <c r="G77" s="260"/>
      <c r="H77" s="17">
        <f t="shared" si="2"/>
        <v>4945</v>
      </c>
      <c r="I77" s="7"/>
    </row>
    <row r="78" spans="1:9" ht="21" customHeight="1" outlineLevel="1">
      <c r="A78" s="39" t="s">
        <v>369</v>
      </c>
      <c r="B78" s="38" t="s">
        <v>323</v>
      </c>
      <c r="C78" s="17"/>
      <c r="D78" s="266"/>
      <c r="E78" s="260"/>
      <c r="F78" s="266">
        <v>18</v>
      </c>
      <c r="G78" s="260"/>
      <c r="H78" s="17">
        <f t="shared" si="2"/>
        <v>4927</v>
      </c>
      <c r="I78" s="7"/>
    </row>
    <row r="79" spans="1:9" ht="21" customHeight="1" outlineLevel="1">
      <c r="A79" s="39" t="s">
        <v>370</v>
      </c>
      <c r="B79" s="38" t="s">
        <v>323</v>
      </c>
      <c r="C79" s="17"/>
      <c r="D79" s="266"/>
      <c r="E79" s="260"/>
      <c r="F79" s="266">
        <v>9</v>
      </c>
      <c r="G79" s="260"/>
      <c r="H79" s="17">
        <f t="shared" si="2"/>
        <v>4918</v>
      </c>
      <c r="I79" s="7"/>
    </row>
    <row r="80" spans="1:9" ht="21" customHeight="1" outlineLevel="1">
      <c r="A80" s="39"/>
      <c r="B80" s="38"/>
      <c r="C80" s="17"/>
      <c r="D80" s="266"/>
      <c r="E80" s="260"/>
      <c r="F80" s="266"/>
      <c r="G80" s="260"/>
      <c r="H80" s="17"/>
      <c r="I80" s="7"/>
    </row>
    <row r="81" spans="1:9" ht="21" customHeight="1" outlineLevel="1">
      <c r="A81" s="39"/>
      <c r="B81" s="148"/>
      <c r="C81" s="17"/>
      <c r="D81" s="266"/>
      <c r="E81" s="260"/>
      <c r="F81" s="266"/>
      <c r="G81" s="260"/>
      <c r="H81" s="17"/>
      <c r="I81" s="7"/>
    </row>
    <row r="82" spans="1:9" ht="21" customHeight="1" outlineLevel="1">
      <c r="A82" s="39"/>
      <c r="B82" s="38"/>
      <c r="C82" s="17"/>
      <c r="D82" s="266"/>
      <c r="E82" s="260"/>
      <c r="F82" s="266"/>
      <c r="G82" s="260"/>
      <c r="H82" s="17"/>
      <c r="I82" s="7"/>
    </row>
    <row r="83" spans="1:9" ht="21" customHeight="1" outlineLevel="1">
      <c r="A83" s="39"/>
      <c r="B83" s="38"/>
      <c r="C83" s="17"/>
      <c r="D83" s="266"/>
      <c r="E83" s="260"/>
      <c r="F83" s="266"/>
      <c r="G83" s="260"/>
      <c r="H83" s="17"/>
      <c r="I83" s="7"/>
    </row>
    <row r="84" spans="1:9" ht="21" customHeight="1" outlineLevel="1">
      <c r="A84" s="39"/>
      <c r="B84" s="38"/>
      <c r="C84" s="17"/>
      <c r="D84" s="266"/>
      <c r="E84" s="260"/>
      <c r="F84" s="266"/>
      <c r="G84" s="260"/>
      <c r="H84" s="17"/>
      <c r="I84" s="11"/>
    </row>
    <row r="85" spans="1:9" ht="21" customHeight="1" outlineLevel="1">
      <c r="A85" s="39"/>
      <c r="B85" s="38"/>
      <c r="C85" s="17"/>
      <c r="D85" s="266"/>
      <c r="E85" s="260"/>
      <c r="F85" s="266"/>
      <c r="G85" s="260"/>
      <c r="H85" s="17"/>
      <c r="I85" s="7"/>
    </row>
    <row r="86" spans="1:9" ht="21" customHeight="1" outlineLevel="1">
      <c r="A86" s="107"/>
      <c r="B86" s="110"/>
      <c r="C86" s="17"/>
      <c r="D86" s="266"/>
      <c r="E86" s="260"/>
      <c r="F86" s="266"/>
      <c r="G86" s="260"/>
      <c r="H86" s="17"/>
      <c r="I86" s="7"/>
    </row>
    <row r="87" spans="1:9" ht="21" customHeight="1" outlineLevel="1">
      <c r="A87" s="39"/>
      <c r="B87" s="38"/>
      <c r="C87" s="17"/>
      <c r="D87" s="266"/>
      <c r="E87" s="260"/>
      <c r="F87" s="266"/>
      <c r="G87" s="260"/>
      <c r="H87" s="17"/>
      <c r="I87" s="7"/>
    </row>
    <row r="88" spans="1:9" ht="21" customHeight="1" outlineLevel="1">
      <c r="A88" s="39"/>
      <c r="B88" s="38"/>
      <c r="C88" s="17"/>
      <c r="D88" s="266"/>
      <c r="E88" s="260"/>
      <c r="F88" s="266"/>
      <c r="G88" s="260"/>
      <c r="H88" s="17"/>
      <c r="I88" s="7"/>
    </row>
    <row r="89" spans="1:9" ht="21" customHeight="1" outlineLevel="1">
      <c r="A89" s="39"/>
      <c r="B89" s="38"/>
      <c r="C89" s="17"/>
      <c r="D89" s="266"/>
      <c r="E89" s="260"/>
      <c r="F89" s="266"/>
      <c r="G89" s="260"/>
      <c r="H89" s="17"/>
      <c r="I89" s="7"/>
    </row>
    <row r="90" spans="1:9" ht="21" customHeight="1" outlineLevel="1">
      <c r="A90" s="39"/>
      <c r="B90" s="38"/>
      <c r="C90" s="17"/>
      <c r="D90" s="266"/>
      <c r="E90" s="260"/>
      <c r="F90" s="266"/>
      <c r="G90" s="260"/>
      <c r="H90" s="17"/>
      <c r="I90" s="7"/>
    </row>
    <row r="91" spans="1:9" ht="21" customHeight="1" outlineLevel="1">
      <c r="A91" s="39"/>
      <c r="B91" s="38"/>
      <c r="C91" s="17"/>
      <c r="D91" s="266"/>
      <c r="E91" s="260"/>
      <c r="F91" s="266"/>
      <c r="G91" s="260"/>
      <c r="H91" s="17"/>
      <c r="I91" s="7"/>
    </row>
    <row r="92" spans="1:9" ht="21" customHeight="1" outlineLevel="1">
      <c r="A92" s="39"/>
      <c r="B92" s="38"/>
      <c r="C92" s="17"/>
      <c r="D92" s="266"/>
      <c r="E92" s="260"/>
      <c r="F92" s="266"/>
      <c r="G92" s="260"/>
      <c r="H92" s="17"/>
      <c r="I92" s="7"/>
    </row>
    <row r="93" spans="1:9" ht="19.5" customHeight="1" outlineLevel="1">
      <c r="A93" s="39"/>
      <c r="B93" s="38"/>
      <c r="C93" s="17"/>
      <c r="D93" s="266"/>
      <c r="E93" s="260"/>
      <c r="F93" s="266"/>
      <c r="G93" s="260"/>
      <c r="H93" s="17"/>
      <c r="I93" s="145"/>
    </row>
    <row r="94" spans="1:9" ht="21" customHeight="1">
      <c r="A94" s="39"/>
      <c r="B94" s="38"/>
      <c r="C94" s="17"/>
      <c r="D94" s="266"/>
      <c r="E94" s="260"/>
      <c r="F94" s="266"/>
      <c r="G94" s="260"/>
      <c r="H94" s="17"/>
      <c r="I94" s="7"/>
    </row>
    <row r="95" spans="1:9" ht="21" customHeight="1">
      <c r="A95" s="39"/>
      <c r="B95" s="38"/>
      <c r="C95" s="17"/>
      <c r="D95" s="266"/>
      <c r="E95" s="260"/>
      <c r="F95" s="266"/>
      <c r="G95" s="260"/>
      <c r="H95" s="17"/>
      <c r="I95" s="7"/>
    </row>
    <row r="96" spans="1:9">
      <c r="A96" s="39"/>
      <c r="B96" s="38"/>
      <c r="C96" s="95"/>
      <c r="D96" s="306"/>
      <c r="E96" s="260"/>
      <c r="F96" s="306"/>
      <c r="G96" s="260"/>
      <c r="H96" s="95"/>
      <c r="I96" s="157"/>
    </row>
    <row r="97" spans="1:9" ht="21" customHeight="1">
      <c r="A97" s="39"/>
      <c r="B97" s="38"/>
      <c r="C97" s="17"/>
      <c r="D97" s="266"/>
      <c r="E97" s="260"/>
      <c r="F97" s="266"/>
      <c r="G97" s="260"/>
      <c r="H97" s="17"/>
      <c r="I97" s="7"/>
    </row>
    <row r="98" spans="1:9" ht="21" customHeight="1">
      <c r="A98" s="39"/>
      <c r="B98" s="38"/>
      <c r="C98" s="17"/>
      <c r="D98" s="266"/>
      <c r="E98" s="260"/>
      <c r="F98" s="266"/>
      <c r="G98" s="260"/>
      <c r="H98" s="17"/>
      <c r="I98" s="7"/>
    </row>
    <row r="99" spans="1:9" ht="21" customHeight="1">
      <c r="A99" s="39"/>
      <c r="B99" s="38"/>
      <c r="C99" s="17"/>
      <c r="D99" s="266"/>
      <c r="E99" s="260"/>
      <c r="F99" s="266"/>
      <c r="G99" s="260"/>
      <c r="H99" s="17"/>
      <c r="I99" s="7"/>
    </row>
    <row r="100" spans="1:9" ht="21" customHeight="1">
      <c r="A100" s="39"/>
      <c r="B100" s="38"/>
      <c r="C100" s="17"/>
      <c r="D100" s="266"/>
      <c r="E100" s="260"/>
      <c r="F100" s="266"/>
      <c r="G100" s="260"/>
      <c r="H100" s="17"/>
      <c r="I100" s="7"/>
    </row>
    <row r="101" spans="1:9" ht="21" customHeight="1">
      <c r="A101" s="39"/>
      <c r="B101" s="38"/>
      <c r="C101" s="17"/>
      <c r="D101" s="266"/>
      <c r="E101" s="260"/>
      <c r="F101" s="266"/>
      <c r="G101" s="260"/>
      <c r="H101" s="17"/>
      <c r="I101" s="7"/>
    </row>
    <row r="102" spans="1:9" ht="21" customHeight="1">
      <c r="A102" s="39"/>
      <c r="B102" s="38"/>
      <c r="C102" s="17"/>
      <c r="D102" s="266"/>
      <c r="E102" s="260"/>
      <c r="F102" s="266"/>
      <c r="G102" s="260"/>
      <c r="H102" s="17"/>
      <c r="I102" s="7"/>
    </row>
    <row r="103" spans="1:9" ht="21" customHeight="1">
      <c r="A103" s="39"/>
      <c r="B103" s="38"/>
      <c r="C103" s="17"/>
      <c r="D103" s="266"/>
      <c r="E103" s="260"/>
      <c r="F103" s="266"/>
      <c r="G103" s="260"/>
      <c r="H103" s="17"/>
      <c r="I103" s="7"/>
    </row>
    <row r="104" spans="1:9" ht="21" customHeight="1">
      <c r="A104" s="39"/>
      <c r="B104" s="38"/>
      <c r="C104" s="17"/>
      <c r="D104" s="266"/>
      <c r="E104" s="260"/>
      <c r="F104" s="266"/>
      <c r="G104" s="260"/>
      <c r="H104" s="17"/>
      <c r="I104" s="7"/>
    </row>
    <row r="105" spans="1:9" ht="21" customHeight="1">
      <c r="A105" s="39"/>
      <c r="B105" s="38"/>
      <c r="C105" s="17"/>
      <c r="D105" s="266"/>
      <c r="E105" s="260"/>
      <c r="F105" s="266"/>
      <c r="G105" s="260"/>
      <c r="H105" s="17"/>
      <c r="I105" s="7"/>
    </row>
    <row r="106" spans="1:9" ht="21" customHeight="1">
      <c r="A106" s="39"/>
      <c r="B106" s="38"/>
      <c r="C106" s="17"/>
      <c r="D106" s="266"/>
      <c r="E106" s="260"/>
      <c r="F106" s="266"/>
      <c r="G106" s="260"/>
      <c r="H106" s="17"/>
      <c r="I106" s="7"/>
    </row>
    <row r="107" spans="1:9" ht="21" customHeight="1">
      <c r="A107" s="39"/>
      <c r="B107" s="38"/>
      <c r="C107" s="17"/>
      <c r="D107" s="266"/>
      <c r="E107" s="260"/>
      <c r="F107" s="266"/>
      <c r="G107" s="260"/>
      <c r="H107" s="17"/>
      <c r="I107" s="7"/>
    </row>
    <row r="108" spans="1:9" ht="21" customHeight="1">
      <c r="A108" s="39"/>
      <c r="B108" s="38"/>
      <c r="C108" s="17"/>
      <c r="D108" s="266"/>
      <c r="E108" s="260"/>
      <c r="F108" s="266"/>
      <c r="G108" s="260"/>
      <c r="H108" s="17"/>
      <c r="I108" s="7"/>
    </row>
    <row r="109" spans="1:9" ht="21" customHeight="1">
      <c r="A109" s="39"/>
      <c r="B109" s="38"/>
      <c r="C109" s="17"/>
      <c r="D109" s="266"/>
      <c r="E109" s="260"/>
      <c r="F109" s="266"/>
      <c r="G109" s="260"/>
      <c r="H109" s="17"/>
      <c r="I109" s="7"/>
    </row>
    <row r="110" spans="1:9" ht="21" customHeight="1">
      <c r="A110" s="39"/>
      <c r="B110" s="38"/>
      <c r="C110" s="17"/>
      <c r="D110" s="266"/>
      <c r="E110" s="260"/>
      <c r="F110" s="266"/>
      <c r="G110" s="260"/>
      <c r="H110" s="17"/>
      <c r="I110" s="7"/>
    </row>
    <row r="111" spans="1:9" ht="21" customHeight="1">
      <c r="A111" s="39"/>
      <c r="B111" s="38"/>
      <c r="C111" s="17"/>
      <c r="D111" s="266"/>
      <c r="E111" s="260"/>
      <c r="F111" s="266"/>
      <c r="G111" s="260"/>
      <c r="H111" s="17"/>
      <c r="I111" s="7"/>
    </row>
    <row r="112" spans="1:9" ht="21" customHeight="1">
      <c r="A112" s="39"/>
      <c r="B112" s="38"/>
      <c r="C112" s="17"/>
      <c r="D112" s="266"/>
      <c r="E112" s="260"/>
      <c r="F112" s="266"/>
      <c r="G112" s="260"/>
      <c r="H112" s="17"/>
      <c r="I112" s="7"/>
    </row>
    <row r="113" spans="1:9" ht="21" customHeight="1">
      <c r="A113" s="39"/>
      <c r="B113" s="38"/>
      <c r="C113" s="17"/>
      <c r="D113" s="266"/>
      <c r="E113" s="260"/>
      <c r="F113" s="266"/>
      <c r="G113" s="260"/>
      <c r="H113" s="17"/>
      <c r="I113" s="7"/>
    </row>
    <row r="114" spans="1:9" ht="21" customHeight="1">
      <c r="A114" s="39"/>
      <c r="B114" s="38"/>
      <c r="C114" s="17"/>
      <c r="D114" s="266"/>
      <c r="E114" s="260"/>
      <c r="F114" s="266"/>
      <c r="G114" s="260"/>
      <c r="H114" s="17"/>
      <c r="I114" s="7"/>
    </row>
    <row r="115" spans="1:9" ht="21" customHeight="1">
      <c r="A115" s="39"/>
      <c r="B115" s="38"/>
      <c r="C115" s="17"/>
      <c r="D115" s="266"/>
      <c r="E115" s="260"/>
      <c r="F115" s="266"/>
      <c r="G115" s="260"/>
      <c r="H115" s="17"/>
      <c r="I115" s="7"/>
    </row>
    <row r="116" spans="1:9" ht="21" customHeight="1">
      <c r="A116" s="39"/>
      <c r="B116" s="38"/>
      <c r="C116" s="17"/>
      <c r="D116" s="266"/>
      <c r="E116" s="260"/>
      <c r="F116" s="266"/>
      <c r="G116" s="260"/>
      <c r="H116" s="17"/>
      <c r="I116" s="7"/>
    </row>
    <row r="117" spans="1:9" ht="21" customHeight="1">
      <c r="A117" s="39"/>
      <c r="B117" s="38"/>
      <c r="C117" s="17"/>
      <c r="D117" s="266"/>
      <c r="E117" s="260"/>
      <c r="F117" s="266"/>
      <c r="G117" s="260"/>
      <c r="H117" s="17"/>
      <c r="I117" s="7"/>
    </row>
    <row r="118" spans="1:9" ht="21" customHeight="1">
      <c r="A118" s="39"/>
      <c r="B118" s="38"/>
      <c r="C118" s="17"/>
      <c r="D118" s="266"/>
      <c r="E118" s="260"/>
      <c r="F118" s="266"/>
      <c r="G118" s="260"/>
      <c r="H118" s="17"/>
      <c r="I118" s="7"/>
    </row>
    <row r="119" spans="1:9" ht="21" customHeight="1">
      <c r="A119" s="39"/>
      <c r="B119" s="38"/>
      <c r="C119" s="17"/>
      <c r="D119" s="266"/>
      <c r="E119" s="260"/>
      <c r="F119" s="266"/>
      <c r="G119" s="260"/>
      <c r="H119" s="17"/>
      <c r="I119" s="7"/>
    </row>
    <row r="120" spans="1:9" ht="21" customHeight="1">
      <c r="A120" s="39"/>
      <c r="B120" s="38"/>
      <c r="C120" s="17"/>
      <c r="D120" s="266"/>
      <c r="E120" s="260"/>
      <c r="F120" s="266"/>
      <c r="G120" s="260"/>
      <c r="H120" s="17"/>
      <c r="I120" s="7"/>
    </row>
    <row r="121" spans="1:9" ht="21" customHeight="1">
      <c r="A121" s="39"/>
      <c r="B121" s="38"/>
      <c r="C121" s="17"/>
      <c r="D121" s="266"/>
      <c r="E121" s="260"/>
      <c r="F121" s="266"/>
      <c r="G121" s="260"/>
      <c r="H121" s="17"/>
      <c r="I121" s="7"/>
    </row>
    <row r="122" spans="1:9" ht="21" customHeight="1">
      <c r="A122" s="39"/>
      <c r="B122" s="38"/>
      <c r="C122" s="17"/>
      <c r="D122" s="266"/>
      <c r="E122" s="260"/>
      <c r="F122" s="266"/>
      <c r="G122" s="260"/>
      <c r="H122" s="17"/>
      <c r="I122" s="7"/>
    </row>
    <row r="123" spans="1:9" ht="21" customHeight="1">
      <c r="A123" s="39"/>
      <c r="B123" s="38"/>
      <c r="C123" s="17"/>
      <c r="D123" s="266"/>
      <c r="E123" s="260"/>
      <c r="F123" s="266"/>
      <c r="G123" s="260"/>
      <c r="H123" s="17"/>
      <c r="I123" s="7"/>
    </row>
    <row r="124" spans="1:9" ht="21" customHeight="1">
      <c r="A124" s="39"/>
      <c r="B124" s="38"/>
      <c r="C124" s="17"/>
      <c r="D124" s="266"/>
      <c r="E124" s="260"/>
      <c r="F124" s="266"/>
      <c r="G124" s="260"/>
      <c r="H124" s="17"/>
      <c r="I124" s="7"/>
    </row>
    <row r="125" spans="1:9" ht="21" customHeight="1">
      <c r="A125" s="39"/>
      <c r="B125" s="38"/>
      <c r="C125" s="17"/>
      <c r="D125" s="266"/>
      <c r="E125" s="260"/>
      <c r="F125" s="266"/>
      <c r="G125" s="260"/>
      <c r="H125" s="17"/>
      <c r="I125" s="7"/>
    </row>
    <row r="126" spans="1:9" ht="21" customHeight="1">
      <c r="A126" s="39"/>
      <c r="B126" s="38"/>
      <c r="C126" s="17"/>
      <c r="D126" s="266"/>
      <c r="E126" s="260"/>
      <c r="F126" s="266"/>
      <c r="G126" s="260"/>
      <c r="H126" s="17"/>
      <c r="I126" s="7"/>
    </row>
    <row r="127" spans="1:9" ht="21" customHeight="1">
      <c r="A127" s="39"/>
      <c r="B127" s="38"/>
      <c r="C127" s="17"/>
      <c r="D127" s="266"/>
      <c r="E127" s="260"/>
      <c r="F127" s="266"/>
      <c r="G127" s="260"/>
      <c r="H127" s="17"/>
      <c r="I127" s="7"/>
    </row>
    <row r="128" spans="1:9" ht="21" customHeight="1">
      <c r="A128" s="39"/>
      <c r="B128" s="38"/>
      <c r="C128" s="17"/>
      <c r="D128" s="266"/>
      <c r="E128" s="260"/>
      <c r="F128" s="266"/>
      <c r="G128" s="260"/>
      <c r="H128" s="17"/>
      <c r="I128" s="7"/>
    </row>
    <row r="129" spans="1:9" ht="21" customHeight="1">
      <c r="A129" s="39"/>
      <c r="B129" s="38"/>
      <c r="C129" s="17"/>
      <c r="D129" s="266"/>
      <c r="E129" s="260"/>
      <c r="F129" s="266"/>
      <c r="G129" s="260"/>
      <c r="H129" s="17"/>
      <c r="I129" s="7"/>
    </row>
    <row r="130" spans="1:9" ht="21" customHeight="1">
      <c r="A130" s="39"/>
      <c r="B130" s="38"/>
      <c r="C130" s="17"/>
      <c r="D130" s="266"/>
      <c r="E130" s="260"/>
      <c r="F130" s="266"/>
      <c r="G130" s="260"/>
      <c r="H130" s="17"/>
      <c r="I130" s="7"/>
    </row>
    <row r="131" spans="1:9" ht="22.95" customHeight="1">
      <c r="A131" s="39"/>
      <c r="B131" s="38"/>
      <c r="C131" s="17"/>
      <c r="D131" s="266"/>
      <c r="E131" s="260"/>
      <c r="F131" s="266"/>
      <c r="G131" s="260"/>
      <c r="H131" s="17"/>
      <c r="I131" s="7"/>
    </row>
    <row r="132" spans="1:9" ht="22.95" customHeight="1">
      <c r="A132" s="39"/>
      <c r="B132" s="38"/>
      <c r="C132" s="17"/>
      <c r="D132" s="266"/>
      <c r="E132" s="260"/>
      <c r="F132" s="266"/>
      <c r="G132" s="260"/>
      <c r="H132" s="17"/>
      <c r="I132" s="7"/>
    </row>
    <row r="133" spans="1:9" ht="22.95" customHeight="1">
      <c r="A133" s="39"/>
      <c r="B133" s="38"/>
      <c r="C133" s="17"/>
      <c r="D133" s="266"/>
      <c r="E133" s="260"/>
      <c r="F133" s="266"/>
      <c r="G133" s="260"/>
      <c r="H133" s="17"/>
      <c r="I133" s="7"/>
    </row>
    <row r="134" spans="1:9" ht="22.95" customHeight="1">
      <c r="A134" s="39"/>
      <c r="B134" s="38"/>
      <c r="C134" s="17"/>
      <c r="D134" s="266"/>
      <c r="E134" s="260"/>
      <c r="F134" s="266"/>
      <c r="G134" s="260"/>
      <c r="H134" s="17"/>
      <c r="I134" s="7"/>
    </row>
    <row r="135" spans="1:9" ht="22.95" customHeight="1">
      <c r="A135" s="39"/>
      <c r="B135" s="38"/>
      <c r="C135" s="17"/>
      <c r="D135" s="266"/>
      <c r="E135" s="260"/>
      <c r="F135" s="266"/>
      <c r="G135" s="260"/>
      <c r="H135" s="17"/>
      <c r="I135" s="7"/>
    </row>
    <row r="136" spans="1:9" ht="22.95" customHeight="1">
      <c r="A136" s="39"/>
      <c r="B136" s="38"/>
      <c r="C136" s="17"/>
      <c r="D136" s="266"/>
      <c r="E136" s="260"/>
      <c r="F136" s="266"/>
      <c r="G136" s="260"/>
      <c r="H136" s="17"/>
      <c r="I136" s="7"/>
    </row>
    <row r="137" spans="1:9" ht="22.95" customHeight="1">
      <c r="A137" s="39"/>
      <c r="B137" s="38"/>
      <c r="C137" s="17"/>
      <c r="D137" s="266"/>
      <c r="E137" s="260"/>
      <c r="F137" s="266"/>
      <c r="G137" s="260"/>
      <c r="H137" s="17"/>
      <c r="I137" s="7"/>
    </row>
    <row r="138" spans="1:9" ht="22.95" customHeight="1">
      <c r="A138" s="39"/>
      <c r="B138" s="38"/>
      <c r="C138" s="17"/>
      <c r="D138" s="266"/>
      <c r="E138" s="260"/>
      <c r="F138" s="266"/>
      <c r="G138" s="260"/>
      <c r="H138" s="17"/>
      <c r="I138" s="7"/>
    </row>
    <row r="139" spans="1:9" ht="22.95" customHeight="1">
      <c r="A139" s="39"/>
      <c r="B139" s="38"/>
      <c r="C139" s="17"/>
      <c r="D139" s="266"/>
      <c r="E139" s="260"/>
      <c r="F139" s="266"/>
      <c r="G139" s="260"/>
      <c r="H139" s="17"/>
      <c r="I139" s="7"/>
    </row>
    <row r="140" spans="1:9" ht="22.95" customHeight="1">
      <c r="A140" s="39"/>
      <c r="B140" s="38"/>
      <c r="C140" s="17"/>
      <c r="D140" s="266"/>
      <c r="E140" s="260"/>
      <c r="F140" s="266"/>
      <c r="G140" s="260"/>
      <c r="H140" s="17"/>
      <c r="I140" s="7"/>
    </row>
    <row r="141" spans="1:9" ht="22.95" customHeight="1">
      <c r="A141" s="39"/>
      <c r="B141" s="38"/>
      <c r="C141" s="17"/>
      <c r="D141" s="266"/>
      <c r="E141" s="260"/>
      <c r="F141" s="266"/>
      <c r="G141" s="260"/>
      <c r="H141" s="17"/>
      <c r="I141" s="7"/>
    </row>
    <row r="142" spans="1:9" ht="22.95" customHeight="1">
      <c r="A142" s="39"/>
      <c r="B142" s="38"/>
      <c r="C142" s="17"/>
      <c r="D142" s="266"/>
      <c r="E142" s="260"/>
      <c r="F142" s="266"/>
      <c r="G142" s="260"/>
      <c r="H142" s="17"/>
      <c r="I142" s="7"/>
    </row>
    <row r="143" spans="1:9" ht="22.95" customHeight="1">
      <c r="A143" s="39"/>
      <c r="B143" s="38"/>
      <c r="C143" s="17"/>
      <c r="D143" s="266"/>
      <c r="E143" s="260"/>
      <c r="F143" s="266"/>
      <c r="G143" s="260"/>
      <c r="H143" s="17"/>
      <c r="I143" s="7"/>
    </row>
    <row r="144" spans="1:9" ht="22.95" customHeight="1">
      <c r="A144" s="39"/>
      <c r="B144" s="38"/>
      <c r="C144" s="17"/>
      <c r="D144" s="266"/>
      <c r="E144" s="260"/>
      <c r="F144" s="266"/>
      <c r="G144" s="260"/>
      <c r="H144" s="17"/>
      <c r="I144" s="7"/>
    </row>
    <row r="145" spans="1:9" ht="22.95" customHeight="1">
      <c r="A145" s="39"/>
      <c r="B145" s="38"/>
      <c r="C145" s="17"/>
      <c r="D145" s="266"/>
      <c r="E145" s="260"/>
      <c r="F145" s="266"/>
      <c r="G145" s="260"/>
      <c r="H145" s="17"/>
      <c r="I145" s="7"/>
    </row>
    <row r="146" spans="1:9" ht="22.95" customHeight="1">
      <c r="A146" s="39"/>
      <c r="B146" s="38"/>
      <c r="C146" s="17"/>
      <c r="D146" s="266"/>
      <c r="E146" s="260"/>
      <c r="F146" s="266"/>
      <c r="G146" s="260"/>
      <c r="H146" s="17"/>
      <c r="I146" s="7"/>
    </row>
    <row r="147" spans="1:9" ht="22.95" customHeight="1">
      <c r="A147" s="39"/>
      <c r="B147" s="38"/>
      <c r="C147" s="17"/>
      <c r="D147" s="266"/>
      <c r="E147" s="260"/>
      <c r="F147" s="266"/>
      <c r="G147" s="260"/>
      <c r="H147" s="17"/>
      <c r="I147" s="7"/>
    </row>
    <row r="148" spans="1:9" ht="22.95" customHeight="1">
      <c r="A148" s="39"/>
      <c r="B148" s="38"/>
      <c r="C148" s="17"/>
      <c r="D148" s="266"/>
      <c r="E148" s="260"/>
      <c r="F148" s="266"/>
      <c r="G148" s="260"/>
      <c r="H148" s="17"/>
      <c r="I148" s="7"/>
    </row>
    <row r="149" spans="1:9" ht="22.95" customHeight="1">
      <c r="A149" s="39"/>
      <c r="B149" s="38"/>
      <c r="C149" s="17"/>
      <c r="D149" s="266"/>
      <c r="E149" s="260"/>
      <c r="F149" s="266"/>
      <c r="G149" s="260"/>
      <c r="H149" s="17"/>
      <c r="I149" s="7"/>
    </row>
    <row r="150" spans="1:9" ht="22.95" customHeight="1">
      <c r="A150" s="39"/>
      <c r="B150" s="38"/>
      <c r="C150" s="17"/>
      <c r="D150" s="266"/>
      <c r="E150" s="260"/>
      <c r="F150" s="266"/>
      <c r="G150" s="260"/>
      <c r="H150" s="17"/>
      <c r="I150" s="7"/>
    </row>
    <row r="151" spans="1:9" ht="22.95" customHeight="1">
      <c r="A151" s="39"/>
      <c r="B151" s="38"/>
      <c r="C151" s="17"/>
      <c r="D151" s="266"/>
      <c r="E151" s="260"/>
      <c r="F151" s="266"/>
      <c r="G151" s="260"/>
      <c r="H151" s="17"/>
      <c r="I151" s="7"/>
    </row>
    <row r="152" spans="1:9" ht="22.95" customHeight="1">
      <c r="A152" s="39"/>
      <c r="B152" s="38"/>
      <c r="C152" s="17"/>
      <c r="D152" s="266"/>
      <c r="E152" s="260"/>
      <c r="F152" s="266"/>
      <c r="G152" s="260"/>
      <c r="H152" s="17"/>
      <c r="I152" s="7"/>
    </row>
    <row r="153" spans="1:9" ht="22.95" customHeight="1">
      <c r="A153" s="39"/>
      <c r="B153" s="38"/>
      <c r="C153" s="17"/>
      <c r="D153" s="266"/>
      <c r="E153" s="260"/>
      <c r="F153" s="266"/>
      <c r="G153" s="260"/>
      <c r="H153" s="17"/>
      <c r="I153" s="7"/>
    </row>
    <row r="154" spans="1:9" ht="22.95" customHeight="1">
      <c r="A154" s="39"/>
      <c r="B154" s="38"/>
      <c r="C154" s="17"/>
      <c r="D154" s="266"/>
      <c r="E154" s="260"/>
      <c r="F154" s="266"/>
      <c r="G154" s="260"/>
      <c r="H154" s="17"/>
      <c r="I154" s="7"/>
    </row>
    <row r="155" spans="1:9" ht="22.95" customHeight="1">
      <c r="A155" s="39"/>
      <c r="B155" s="38"/>
      <c r="C155" s="17"/>
      <c r="D155" s="266"/>
      <c r="E155" s="260"/>
      <c r="F155" s="266"/>
      <c r="G155" s="260"/>
      <c r="H155" s="17"/>
      <c r="I155" s="7"/>
    </row>
    <row r="156" spans="1:9" ht="22.95" customHeight="1">
      <c r="A156" s="39"/>
      <c r="B156" s="38"/>
      <c r="C156" s="17"/>
      <c r="D156" s="266"/>
      <c r="E156" s="260"/>
      <c r="F156" s="266"/>
      <c r="G156" s="260"/>
      <c r="H156" s="17"/>
      <c r="I156" s="7"/>
    </row>
    <row r="157" spans="1:9" ht="22.95" customHeight="1">
      <c r="A157" s="39"/>
      <c r="B157" s="38"/>
      <c r="C157" s="17"/>
      <c r="D157" s="266"/>
      <c r="E157" s="260"/>
      <c r="F157" s="266"/>
      <c r="G157" s="260"/>
      <c r="H157" s="17"/>
      <c r="I157" s="7"/>
    </row>
    <row r="158" spans="1:9" ht="22.95" customHeight="1">
      <c r="A158" s="39"/>
      <c r="B158" s="38"/>
      <c r="C158" s="17"/>
      <c r="D158" s="266"/>
      <c r="E158" s="260"/>
      <c r="F158" s="266"/>
      <c r="G158" s="260"/>
      <c r="H158" s="17"/>
      <c r="I158" s="7"/>
    </row>
    <row r="159" spans="1:9" ht="22.95" customHeight="1">
      <c r="A159" s="39"/>
      <c r="B159" s="38"/>
      <c r="C159" s="17"/>
      <c r="D159" s="266"/>
      <c r="E159" s="260"/>
      <c r="F159" s="266"/>
      <c r="G159" s="260"/>
      <c r="H159" s="17"/>
      <c r="I159" s="7"/>
    </row>
    <row r="160" spans="1:9" ht="22.95" customHeight="1">
      <c r="A160" s="39"/>
      <c r="B160" s="38"/>
      <c r="C160" s="17"/>
      <c r="D160" s="266"/>
      <c r="E160" s="260"/>
      <c r="F160" s="266"/>
      <c r="G160" s="260"/>
      <c r="H160" s="17"/>
      <c r="I160" s="7"/>
    </row>
    <row r="161" spans="1:9" ht="22.95" customHeight="1">
      <c r="A161" s="39"/>
      <c r="B161" s="38"/>
      <c r="C161" s="17"/>
      <c r="D161" s="266"/>
      <c r="E161" s="260"/>
      <c r="F161" s="266"/>
      <c r="G161" s="260"/>
      <c r="H161" s="17"/>
      <c r="I161" s="7"/>
    </row>
    <row r="162" spans="1:9" ht="22.95" customHeight="1">
      <c r="A162" s="170"/>
      <c r="B162" s="57"/>
      <c r="C162" s="57"/>
      <c r="D162" s="305"/>
      <c r="E162" s="260"/>
      <c r="F162" s="305"/>
      <c r="G162" s="260"/>
      <c r="H162" s="57"/>
      <c r="I162" s="171"/>
    </row>
    <row r="163" spans="1:9" s="88" customFormat="1" ht="22.95" customHeight="1">
      <c r="A163" s="39"/>
      <c r="B163" s="38"/>
      <c r="C163" s="38"/>
      <c r="D163" s="279"/>
      <c r="E163" s="260"/>
      <c r="F163" s="279"/>
      <c r="G163" s="260"/>
      <c r="H163" s="38"/>
      <c r="I163" s="171"/>
    </row>
    <row r="164" spans="1:9" ht="22.95" customHeight="1">
      <c r="A164" s="39"/>
      <c r="B164" s="38"/>
      <c r="C164" s="17"/>
      <c r="D164" s="266"/>
      <c r="E164" s="260"/>
      <c r="F164" s="266"/>
      <c r="G164" s="260"/>
      <c r="H164" s="17"/>
      <c r="I164" s="7"/>
    </row>
    <row r="165" spans="1:9" ht="22.95" customHeight="1">
      <c r="A165" s="39"/>
      <c r="B165" s="38"/>
      <c r="C165" s="17"/>
      <c r="D165" s="266"/>
      <c r="E165" s="260"/>
      <c r="F165" s="266"/>
      <c r="G165" s="260"/>
      <c r="H165" s="17"/>
      <c r="I165" s="7"/>
    </row>
    <row r="166" spans="1:9" ht="22.95" customHeight="1">
      <c r="A166" s="39"/>
      <c r="B166" s="38"/>
      <c r="C166" s="17"/>
      <c r="D166" s="266"/>
      <c r="E166" s="260"/>
      <c r="F166" s="266"/>
      <c r="G166" s="260"/>
      <c r="H166" s="17"/>
      <c r="I166" s="7"/>
    </row>
    <row r="167" spans="1:9" ht="22.95" customHeight="1">
      <c r="A167" s="39"/>
      <c r="B167" s="38"/>
      <c r="C167" s="17"/>
      <c r="D167" s="266"/>
      <c r="E167" s="260"/>
      <c r="F167" s="266"/>
      <c r="G167" s="260"/>
      <c r="H167" s="17"/>
      <c r="I167" s="7"/>
    </row>
    <row r="168" spans="1:9" ht="22.95" customHeight="1">
      <c r="A168" s="39"/>
      <c r="B168" s="38"/>
      <c r="C168" s="17"/>
      <c r="D168" s="266"/>
      <c r="E168" s="260"/>
      <c r="F168" s="266"/>
      <c r="G168" s="260"/>
      <c r="H168" s="17"/>
      <c r="I168" s="7"/>
    </row>
    <row r="169" spans="1:9" ht="22.95" customHeight="1">
      <c r="A169" s="39"/>
      <c r="B169" s="38"/>
      <c r="C169" s="17"/>
      <c r="D169" s="266"/>
      <c r="E169" s="260"/>
      <c r="F169" s="266"/>
      <c r="G169" s="260"/>
      <c r="H169" s="17"/>
      <c r="I169" s="7"/>
    </row>
    <row r="170" spans="1:9" ht="22.95" customHeight="1">
      <c r="A170" s="39"/>
      <c r="B170" s="38"/>
      <c r="C170" s="17"/>
      <c r="D170" s="266"/>
      <c r="E170" s="260"/>
      <c r="F170" s="266"/>
      <c r="G170" s="260"/>
      <c r="H170" s="17"/>
      <c r="I170" s="7"/>
    </row>
    <row r="171" spans="1:9" ht="22.95" customHeight="1">
      <c r="A171" s="39"/>
      <c r="B171" s="38"/>
      <c r="C171" s="17"/>
      <c r="D171" s="266"/>
      <c r="E171" s="260"/>
      <c r="F171" s="266"/>
      <c r="G171" s="260"/>
      <c r="H171" s="17"/>
      <c r="I171" s="7"/>
    </row>
    <row r="172" spans="1:9" ht="22.95" customHeight="1">
      <c r="A172" s="39"/>
      <c r="B172" s="38"/>
      <c r="C172" s="17"/>
      <c r="D172" s="266"/>
      <c r="E172" s="260"/>
      <c r="F172" s="266"/>
      <c r="G172" s="260"/>
      <c r="H172" s="17"/>
      <c r="I172" s="7"/>
    </row>
    <row r="173" spans="1:9" ht="22.95" customHeight="1">
      <c r="A173" s="39"/>
      <c r="B173" s="38"/>
      <c r="C173" s="17"/>
      <c r="D173" s="266"/>
      <c r="E173" s="260"/>
      <c r="F173" s="266"/>
      <c r="G173" s="260"/>
      <c r="H173" s="17"/>
      <c r="I173" s="7"/>
    </row>
    <row r="174" spans="1:9" ht="22.95" customHeight="1">
      <c r="A174" s="39"/>
      <c r="B174" s="38"/>
      <c r="C174" s="17"/>
      <c r="D174" s="266"/>
      <c r="E174" s="260"/>
      <c r="F174" s="266"/>
      <c r="G174" s="260"/>
      <c r="H174" s="17"/>
      <c r="I174" s="7"/>
    </row>
    <row r="175" spans="1:9" ht="22.95" customHeight="1">
      <c r="A175" s="39"/>
      <c r="B175" s="38"/>
      <c r="C175" s="17"/>
      <c r="D175" s="266"/>
      <c r="E175" s="260"/>
      <c r="F175" s="266"/>
      <c r="G175" s="260"/>
      <c r="H175" s="17"/>
      <c r="I175" s="7"/>
    </row>
    <row r="176" spans="1:9" ht="22.95" customHeight="1">
      <c r="A176" s="39"/>
      <c r="B176" s="38"/>
      <c r="C176" s="17"/>
      <c r="D176" s="266"/>
      <c r="E176" s="260"/>
      <c r="F176" s="266"/>
      <c r="G176" s="260"/>
      <c r="H176" s="17"/>
      <c r="I176" s="7"/>
    </row>
    <row r="177" spans="1:9" ht="22.95" customHeight="1">
      <c r="A177" s="39"/>
      <c r="B177" s="38"/>
      <c r="C177" s="17"/>
      <c r="D177" s="266"/>
      <c r="E177" s="260"/>
      <c r="F177" s="266"/>
      <c r="G177" s="260"/>
      <c r="H177" s="17"/>
      <c r="I177" s="7"/>
    </row>
    <row r="178" spans="1:9" ht="22.95" customHeight="1">
      <c r="A178" s="41"/>
      <c r="B178" s="38"/>
      <c r="C178" s="17"/>
      <c r="D178" s="266"/>
      <c r="E178" s="260"/>
      <c r="F178" s="266"/>
      <c r="G178" s="260"/>
      <c r="H178" s="17"/>
      <c r="I178" s="7"/>
    </row>
    <row r="179" spans="1:9" ht="22.95" customHeight="1">
      <c r="A179" s="39"/>
      <c r="B179" s="38"/>
      <c r="C179" s="17"/>
      <c r="D179" s="266"/>
      <c r="E179" s="260"/>
      <c r="F179" s="266"/>
      <c r="G179" s="260"/>
      <c r="H179" s="17"/>
      <c r="I179" s="7"/>
    </row>
    <row r="180" spans="1:9" ht="22.95" customHeight="1">
      <c r="A180" s="39"/>
      <c r="B180" s="38"/>
      <c r="C180" s="17"/>
      <c r="D180" s="266"/>
      <c r="E180" s="260"/>
      <c r="F180" s="266"/>
      <c r="G180" s="260"/>
      <c r="H180" s="17"/>
      <c r="I180" s="7"/>
    </row>
    <row r="181" spans="1:9" ht="22.95" customHeight="1">
      <c r="A181" s="39"/>
      <c r="B181" s="38"/>
      <c r="C181" s="17"/>
      <c r="D181" s="266"/>
      <c r="E181" s="260"/>
      <c r="F181" s="266"/>
      <c r="G181" s="260"/>
      <c r="H181" s="17"/>
      <c r="I181" s="7"/>
    </row>
    <row r="182" spans="1:9" ht="22.95" customHeight="1">
      <c r="A182" s="39"/>
      <c r="B182" s="38"/>
      <c r="C182" s="17"/>
      <c r="D182" s="266"/>
      <c r="E182" s="260"/>
      <c r="F182" s="266"/>
      <c r="G182" s="260"/>
      <c r="H182" s="17"/>
      <c r="I182" s="7"/>
    </row>
    <row r="183" spans="1:9" ht="22.95" customHeight="1">
      <c r="A183" s="39"/>
      <c r="B183" s="38"/>
      <c r="C183" s="17"/>
      <c r="D183" s="266"/>
      <c r="E183" s="260"/>
      <c r="F183" s="266"/>
      <c r="G183" s="260"/>
      <c r="H183" s="17"/>
      <c r="I183" s="7"/>
    </row>
    <row r="184" spans="1:9" ht="22.95" customHeight="1">
      <c r="A184" s="39"/>
      <c r="B184" s="38"/>
      <c r="C184" s="17"/>
      <c r="D184" s="266"/>
      <c r="E184" s="260"/>
      <c r="F184" s="266"/>
      <c r="G184" s="260"/>
      <c r="H184" s="17"/>
      <c r="I184" s="7"/>
    </row>
    <row r="185" spans="1:9" ht="22.95" customHeight="1">
      <c r="A185" s="39"/>
      <c r="B185" s="38"/>
      <c r="C185" s="17"/>
      <c r="D185" s="266"/>
      <c r="E185" s="260"/>
      <c r="F185" s="266"/>
      <c r="G185" s="260"/>
      <c r="H185" s="17"/>
      <c r="I185" s="7"/>
    </row>
    <row r="186" spans="1:9" ht="22.95" customHeight="1">
      <c r="A186" s="39"/>
      <c r="B186" s="38"/>
      <c r="C186" s="17"/>
      <c r="D186" s="266"/>
      <c r="E186" s="260"/>
      <c r="F186" s="266"/>
      <c r="G186" s="260"/>
      <c r="H186" s="17"/>
      <c r="I186" s="7"/>
    </row>
    <row r="187" spans="1:9" ht="22.95" customHeight="1">
      <c r="A187" s="39"/>
      <c r="B187" s="38"/>
      <c r="C187" s="17"/>
      <c r="D187" s="266"/>
      <c r="E187" s="260"/>
      <c r="F187" s="266"/>
      <c r="G187" s="260"/>
      <c r="H187" s="17"/>
      <c r="I187" s="7"/>
    </row>
    <row r="188" spans="1:9" ht="22.95" customHeight="1">
      <c r="A188" s="39"/>
      <c r="B188" s="38"/>
      <c r="C188" s="17"/>
      <c r="D188" s="266"/>
      <c r="E188" s="260"/>
      <c r="F188" s="266"/>
      <c r="G188" s="260"/>
      <c r="H188" s="17"/>
      <c r="I188" s="7"/>
    </row>
    <row r="189" spans="1:9" ht="22.95" customHeight="1">
      <c r="A189" s="39"/>
      <c r="B189" s="38"/>
      <c r="C189" s="17"/>
      <c r="D189" s="266"/>
      <c r="E189" s="260"/>
      <c r="F189" s="266"/>
      <c r="G189" s="260"/>
      <c r="H189" s="17"/>
      <c r="I189" s="7"/>
    </row>
    <row r="190" spans="1:9" ht="22.95" customHeight="1">
      <c r="A190" s="39"/>
      <c r="B190" s="38"/>
      <c r="C190" s="17"/>
      <c r="D190" s="266"/>
      <c r="E190" s="260"/>
      <c r="F190" s="266"/>
      <c r="G190" s="260"/>
      <c r="H190" s="17"/>
      <c r="I190" s="7"/>
    </row>
    <row r="191" spans="1:9" ht="22.95" customHeight="1">
      <c r="A191" s="39"/>
      <c r="B191" s="38"/>
      <c r="C191" s="17"/>
      <c r="D191" s="266"/>
      <c r="E191" s="260"/>
      <c r="F191" s="266"/>
      <c r="G191" s="260"/>
      <c r="H191" s="17"/>
      <c r="I191" s="7"/>
    </row>
    <row r="192" spans="1:9" ht="22.95" customHeight="1">
      <c r="A192" s="39"/>
      <c r="B192" s="38"/>
      <c r="C192" s="17"/>
      <c r="D192" s="266"/>
      <c r="E192" s="260"/>
      <c r="F192" s="266"/>
      <c r="G192" s="260"/>
      <c r="H192" s="17"/>
      <c r="I192" s="7"/>
    </row>
    <row r="193" spans="1:9" ht="22.95" customHeight="1">
      <c r="A193" s="39"/>
      <c r="B193" s="38"/>
      <c r="C193" s="17"/>
      <c r="D193" s="266"/>
      <c r="E193" s="260"/>
      <c r="F193" s="266"/>
      <c r="G193" s="260"/>
      <c r="H193" s="17"/>
      <c r="I193" s="7"/>
    </row>
    <row r="194" spans="1:9" ht="22.95" customHeight="1">
      <c r="A194" s="39"/>
      <c r="B194" s="38"/>
      <c r="C194" s="17"/>
      <c r="D194" s="266"/>
      <c r="E194" s="260"/>
      <c r="F194" s="266"/>
      <c r="G194" s="260"/>
      <c r="H194" s="17"/>
      <c r="I194" s="7"/>
    </row>
    <row r="195" spans="1:9" ht="22.95" customHeight="1">
      <c r="A195" s="39"/>
      <c r="B195" s="38"/>
      <c r="C195" s="17"/>
      <c r="D195" s="266"/>
      <c r="E195" s="260"/>
      <c r="F195" s="266"/>
      <c r="G195" s="260"/>
      <c r="H195" s="17"/>
      <c r="I195" s="7"/>
    </row>
    <row r="196" spans="1:9" ht="22.95" customHeight="1">
      <c r="A196" s="39"/>
      <c r="B196" s="38"/>
      <c r="C196" s="17"/>
      <c r="D196" s="266"/>
      <c r="E196" s="260"/>
      <c r="F196" s="266"/>
      <c r="G196" s="260"/>
      <c r="H196" s="17"/>
      <c r="I196" s="7"/>
    </row>
    <row r="197" spans="1:9" ht="22.95" customHeight="1">
      <c r="A197" s="39"/>
      <c r="B197" s="38"/>
      <c r="C197" s="17"/>
      <c r="D197" s="266"/>
      <c r="E197" s="260"/>
      <c r="F197" s="266"/>
      <c r="G197" s="260"/>
      <c r="H197" s="17"/>
      <c r="I197" s="7"/>
    </row>
    <row r="198" spans="1:9" ht="22.95" customHeight="1">
      <c r="A198" s="39"/>
      <c r="B198" s="38"/>
      <c r="C198" s="17"/>
      <c r="D198" s="266"/>
      <c r="E198" s="260"/>
      <c r="F198" s="266"/>
      <c r="G198" s="260"/>
      <c r="H198" s="17"/>
      <c r="I198" s="7"/>
    </row>
    <row r="199" spans="1:9" ht="22.95" customHeight="1">
      <c r="A199" s="39"/>
      <c r="B199" s="38"/>
      <c r="C199" s="17"/>
      <c r="D199" s="266"/>
      <c r="E199" s="260"/>
      <c r="F199" s="266"/>
      <c r="G199" s="260"/>
      <c r="H199" s="17"/>
      <c r="I199" s="7"/>
    </row>
    <row r="200" spans="1:9" ht="22.95" customHeight="1">
      <c r="A200" s="39"/>
      <c r="B200" s="38"/>
      <c r="C200" s="17"/>
      <c r="D200" s="266"/>
      <c r="E200" s="260"/>
      <c r="F200" s="266"/>
      <c r="G200" s="260"/>
      <c r="H200" s="17"/>
      <c r="I200" s="7"/>
    </row>
    <row r="201" spans="1:9" ht="22.95" customHeight="1">
      <c r="A201" s="39"/>
      <c r="B201" s="38"/>
      <c r="C201" s="17"/>
      <c r="D201" s="266"/>
      <c r="E201" s="260"/>
      <c r="F201" s="266"/>
      <c r="G201" s="260"/>
      <c r="H201" s="17"/>
      <c r="I201" s="7"/>
    </row>
    <row r="202" spans="1:9" ht="22.95" customHeight="1">
      <c r="A202" s="39"/>
      <c r="B202" s="38"/>
      <c r="C202" s="17"/>
      <c r="D202" s="266"/>
      <c r="E202" s="260"/>
      <c r="F202" s="266"/>
      <c r="G202" s="260"/>
      <c r="H202" s="17"/>
      <c r="I202" s="7"/>
    </row>
    <row r="203" spans="1:9" ht="22.95" customHeight="1">
      <c r="A203" s="39"/>
      <c r="B203" s="38"/>
      <c r="C203" s="17"/>
      <c r="D203" s="266"/>
      <c r="E203" s="260"/>
      <c r="F203" s="266"/>
      <c r="G203" s="260"/>
      <c r="H203" s="17"/>
      <c r="I203" s="7"/>
    </row>
    <row r="204" spans="1:9" ht="22.95" customHeight="1">
      <c r="A204" s="41"/>
      <c r="B204" s="38"/>
      <c r="C204" s="17"/>
      <c r="D204" s="266"/>
      <c r="E204" s="260"/>
      <c r="F204" s="266"/>
      <c r="G204" s="260"/>
      <c r="H204" s="17"/>
      <c r="I204" s="7"/>
    </row>
    <row r="205" spans="1:9" ht="22.95" customHeight="1">
      <c r="A205" s="41"/>
      <c r="B205" s="38"/>
      <c r="C205" s="17"/>
      <c r="D205" s="266"/>
      <c r="E205" s="260"/>
      <c r="F205" s="266"/>
      <c r="G205" s="260"/>
      <c r="H205" s="17"/>
      <c r="I205" s="7"/>
    </row>
    <row r="206" spans="1:9" ht="22.95" customHeight="1">
      <c r="A206" s="39"/>
      <c r="B206" s="38"/>
      <c r="C206" s="17"/>
      <c r="D206" s="266"/>
      <c r="E206" s="260"/>
      <c r="F206" s="266"/>
      <c r="G206" s="260"/>
      <c r="H206" s="17"/>
      <c r="I206" s="7"/>
    </row>
    <row r="207" spans="1:9" ht="22.95" customHeight="1">
      <c r="A207" s="39"/>
      <c r="B207" s="38"/>
      <c r="C207" s="17"/>
      <c r="D207" s="266"/>
      <c r="E207" s="260"/>
      <c r="F207" s="266"/>
      <c r="G207" s="260"/>
      <c r="H207" s="17"/>
      <c r="I207" s="7"/>
    </row>
    <row r="208" spans="1:9" ht="22.95" customHeight="1">
      <c r="A208" s="39"/>
      <c r="B208" s="38"/>
      <c r="C208" s="17"/>
      <c r="D208" s="266"/>
      <c r="E208" s="260"/>
      <c r="F208" s="266"/>
      <c r="G208" s="260"/>
      <c r="H208" s="17"/>
      <c r="I208" s="7"/>
    </row>
    <row r="209" spans="1:9" ht="22.95" customHeight="1">
      <c r="A209" s="39"/>
      <c r="B209" s="38"/>
      <c r="C209" s="17"/>
      <c r="D209" s="266"/>
      <c r="E209" s="260"/>
      <c r="F209" s="266"/>
      <c r="G209" s="260"/>
      <c r="H209" s="17"/>
      <c r="I209" s="109"/>
    </row>
    <row r="210" spans="1:9" ht="22.95" customHeight="1">
      <c r="A210" s="41"/>
      <c r="B210" s="38"/>
      <c r="C210" s="17"/>
      <c r="D210" s="266"/>
      <c r="E210" s="260"/>
      <c r="F210" s="266"/>
      <c r="G210" s="260"/>
      <c r="H210" s="17"/>
      <c r="I210" s="7"/>
    </row>
    <row r="211" spans="1:9" ht="22.95" customHeight="1">
      <c r="A211" s="39"/>
      <c r="B211" s="38"/>
      <c r="C211" s="17"/>
      <c r="D211" s="266"/>
      <c r="E211" s="260"/>
      <c r="F211" s="266"/>
      <c r="G211" s="260"/>
      <c r="H211" s="17"/>
      <c r="I211" s="7"/>
    </row>
    <row r="212" spans="1:9" ht="22.95" customHeight="1">
      <c r="A212" s="39"/>
      <c r="B212" s="38"/>
      <c r="C212" s="17"/>
      <c r="D212" s="266"/>
      <c r="E212" s="260"/>
      <c r="F212" s="266"/>
      <c r="G212" s="260"/>
      <c r="H212" s="17"/>
      <c r="I212" s="7"/>
    </row>
    <row r="213" spans="1:9" ht="22.95" customHeight="1">
      <c r="A213" s="39"/>
      <c r="B213" s="38"/>
      <c r="C213" s="17"/>
      <c r="D213" s="266"/>
      <c r="E213" s="260"/>
      <c r="F213" s="266"/>
      <c r="G213" s="260"/>
      <c r="H213" s="17"/>
      <c r="I213" s="7"/>
    </row>
    <row r="214" spans="1:9" ht="22.95" customHeight="1">
      <c r="A214" s="39"/>
      <c r="B214" s="38"/>
      <c r="C214" s="17"/>
      <c r="D214" s="266"/>
      <c r="E214" s="260"/>
      <c r="F214" s="266"/>
      <c r="G214" s="260"/>
      <c r="H214" s="17"/>
      <c r="I214" s="7"/>
    </row>
    <row r="215" spans="1:9" ht="22.95" customHeight="1">
      <c r="A215" s="39"/>
      <c r="B215" s="38"/>
      <c r="C215" s="17"/>
      <c r="D215" s="266"/>
      <c r="E215" s="260"/>
      <c r="F215" s="266"/>
      <c r="G215" s="260"/>
      <c r="H215" s="17"/>
      <c r="I215" s="7"/>
    </row>
    <row r="216" spans="1:9" ht="22.95" customHeight="1">
      <c r="A216" s="39"/>
      <c r="B216" s="38"/>
      <c r="C216" s="17"/>
      <c r="D216" s="266"/>
      <c r="E216" s="260"/>
      <c r="F216" s="266"/>
      <c r="G216" s="260"/>
      <c r="H216" s="17"/>
      <c r="I216" s="7"/>
    </row>
    <row r="217" spans="1:9" ht="22.95" customHeight="1">
      <c r="A217" s="39"/>
      <c r="B217" s="38"/>
      <c r="C217" s="17"/>
      <c r="D217" s="266"/>
      <c r="E217" s="260"/>
      <c r="F217" s="266"/>
      <c r="G217" s="260"/>
      <c r="H217" s="17"/>
      <c r="I217" s="7"/>
    </row>
    <row r="218" spans="1:9" ht="22.95" customHeight="1">
      <c r="A218" s="39"/>
      <c r="B218" s="38"/>
      <c r="C218" s="17"/>
      <c r="D218" s="266"/>
      <c r="E218" s="260"/>
      <c r="F218" s="266"/>
      <c r="G218" s="260"/>
      <c r="H218" s="17"/>
      <c r="I218" s="7"/>
    </row>
    <row r="219" spans="1:9" ht="22.95" customHeight="1">
      <c r="A219" s="39"/>
      <c r="B219" s="38"/>
      <c r="C219" s="17"/>
      <c r="D219" s="266"/>
      <c r="E219" s="260"/>
      <c r="F219" s="266"/>
      <c r="G219" s="260"/>
      <c r="H219" s="17"/>
      <c r="I219" s="7"/>
    </row>
    <row r="220" spans="1:9" ht="22.95" customHeight="1">
      <c r="A220" s="39"/>
      <c r="B220" s="38"/>
      <c r="C220" s="17"/>
      <c r="D220" s="266"/>
      <c r="E220" s="260"/>
      <c r="F220" s="266"/>
      <c r="G220" s="260"/>
      <c r="H220" s="17"/>
      <c r="I220" s="7"/>
    </row>
    <row r="221" spans="1:9" ht="22.95" customHeight="1">
      <c r="A221" s="39"/>
      <c r="B221" s="38"/>
      <c r="C221" s="17"/>
      <c r="D221" s="266"/>
      <c r="E221" s="260"/>
      <c r="F221" s="266"/>
      <c r="G221" s="260"/>
      <c r="H221" s="17"/>
      <c r="I221" s="7"/>
    </row>
    <row r="222" spans="1:9" ht="22.95" customHeight="1">
      <c r="A222" s="39"/>
      <c r="B222" s="38"/>
      <c r="C222" s="17"/>
      <c r="D222" s="266"/>
      <c r="E222" s="260"/>
      <c r="F222" s="266"/>
      <c r="G222" s="260"/>
      <c r="H222" s="17"/>
      <c r="I222" s="7"/>
    </row>
    <row r="223" spans="1:9" ht="22.95" customHeight="1">
      <c r="A223" s="39"/>
      <c r="B223" s="38"/>
      <c r="C223" s="17"/>
      <c r="D223" s="266"/>
      <c r="E223" s="260"/>
      <c r="F223" s="266"/>
      <c r="G223" s="260"/>
      <c r="H223" s="17"/>
      <c r="I223" s="7"/>
    </row>
    <row r="224" spans="1:9" ht="22.95" customHeight="1">
      <c r="A224" s="39"/>
      <c r="B224" s="38"/>
      <c r="C224" s="17"/>
      <c r="D224" s="266"/>
      <c r="E224" s="260"/>
      <c r="F224" s="266"/>
      <c r="G224" s="260"/>
      <c r="H224" s="17"/>
      <c r="I224" s="7"/>
    </row>
    <row r="225" spans="1:9" ht="22.95" customHeight="1">
      <c r="A225" s="39"/>
      <c r="B225" s="38"/>
      <c r="C225" s="17"/>
      <c r="D225" s="266"/>
      <c r="E225" s="260"/>
      <c r="F225" s="266"/>
      <c r="G225" s="260"/>
      <c r="H225" s="17"/>
      <c r="I225" s="7"/>
    </row>
    <row r="226" spans="1:9" ht="22.95" customHeight="1">
      <c r="A226" s="39"/>
      <c r="B226" s="38"/>
      <c r="C226" s="17"/>
      <c r="D226" s="266"/>
      <c r="E226" s="260"/>
      <c r="F226" s="266"/>
      <c r="G226" s="260"/>
      <c r="H226" s="17"/>
      <c r="I226" s="7"/>
    </row>
    <row r="227" spans="1:9" ht="22.95" customHeight="1">
      <c r="A227" s="39"/>
      <c r="B227" s="38"/>
      <c r="C227" s="17"/>
      <c r="D227" s="266"/>
      <c r="E227" s="260"/>
      <c r="F227" s="266"/>
      <c r="G227" s="260"/>
      <c r="H227" s="17"/>
      <c r="I227" s="7"/>
    </row>
    <row r="228" spans="1:9" ht="22.95" customHeight="1">
      <c r="A228" s="39"/>
      <c r="B228" s="38"/>
      <c r="C228" s="17"/>
      <c r="D228" s="266"/>
      <c r="E228" s="260"/>
      <c r="F228" s="266"/>
      <c r="G228" s="260"/>
      <c r="H228" s="17"/>
      <c r="I228" s="7"/>
    </row>
    <row r="229" spans="1:9" ht="22.95" customHeight="1">
      <c r="A229" s="39"/>
      <c r="B229" s="38"/>
      <c r="C229" s="17"/>
      <c r="D229" s="266"/>
      <c r="E229" s="260"/>
      <c r="F229" s="266"/>
      <c r="G229" s="260"/>
      <c r="H229" s="17"/>
      <c r="I229" s="7"/>
    </row>
    <row r="230" spans="1:9" ht="22.95" customHeight="1">
      <c r="A230" s="39"/>
      <c r="B230" s="38"/>
      <c r="C230" s="17"/>
      <c r="D230" s="266"/>
      <c r="E230" s="260"/>
      <c r="F230" s="266"/>
      <c r="G230" s="260"/>
      <c r="H230" s="17"/>
      <c r="I230" s="7"/>
    </row>
    <row r="231" spans="1:9" ht="22.95" customHeight="1">
      <c r="A231" s="39"/>
      <c r="B231" s="38"/>
      <c r="C231" s="17"/>
      <c r="D231" s="266"/>
      <c r="E231" s="260"/>
      <c r="F231" s="266"/>
      <c r="G231" s="260"/>
      <c r="H231" s="17"/>
      <c r="I231" s="7"/>
    </row>
    <row r="232" spans="1:9" ht="22.95" customHeight="1">
      <c r="A232" s="39"/>
      <c r="B232" s="38"/>
      <c r="C232" s="17"/>
      <c r="D232" s="266"/>
      <c r="E232" s="260"/>
      <c r="F232" s="266"/>
      <c r="G232" s="260"/>
      <c r="H232" s="17"/>
      <c r="I232" s="7"/>
    </row>
    <row r="233" spans="1:9" ht="22.95" customHeight="1">
      <c r="A233" s="39"/>
      <c r="B233" s="38"/>
      <c r="C233" s="17"/>
      <c r="D233" s="266"/>
      <c r="E233" s="260"/>
      <c r="F233" s="266"/>
      <c r="G233" s="260"/>
      <c r="H233" s="17"/>
      <c r="I233" s="7"/>
    </row>
    <row r="234" spans="1:9" ht="22.95" customHeight="1">
      <c r="A234" s="39"/>
      <c r="B234" s="38"/>
      <c r="C234" s="17"/>
      <c r="D234" s="266"/>
      <c r="E234" s="260"/>
      <c r="F234" s="266"/>
      <c r="G234" s="260"/>
      <c r="H234" s="17"/>
      <c r="I234" s="7"/>
    </row>
    <row r="235" spans="1:9" ht="22.95" customHeight="1">
      <c r="A235" s="39"/>
      <c r="B235" s="38"/>
      <c r="C235" s="17"/>
      <c r="D235" s="266"/>
      <c r="E235" s="260"/>
      <c r="F235" s="266"/>
      <c r="G235" s="260"/>
      <c r="H235" s="17"/>
      <c r="I235" s="7"/>
    </row>
    <row r="236" spans="1:9" ht="22.95" customHeight="1">
      <c r="A236" s="39"/>
      <c r="B236" s="38"/>
      <c r="C236" s="17"/>
      <c r="D236" s="266"/>
      <c r="E236" s="260"/>
      <c r="F236" s="266"/>
      <c r="G236" s="260"/>
      <c r="H236" s="17"/>
      <c r="I236" s="7"/>
    </row>
    <row r="237" spans="1:9" ht="22.95" customHeight="1">
      <c r="A237" s="39"/>
      <c r="B237" s="38"/>
      <c r="C237" s="17"/>
      <c r="D237" s="266"/>
      <c r="E237" s="260"/>
      <c r="F237" s="266"/>
      <c r="G237" s="260"/>
      <c r="H237" s="17"/>
      <c r="I237" s="7"/>
    </row>
    <row r="238" spans="1:9" ht="22.95" customHeight="1">
      <c r="A238" s="39"/>
      <c r="B238" s="38"/>
      <c r="C238" s="17"/>
      <c r="D238" s="266"/>
      <c r="E238" s="260"/>
      <c r="F238" s="266"/>
      <c r="G238" s="260"/>
      <c r="H238" s="17"/>
      <c r="I238" s="7"/>
    </row>
    <row r="239" spans="1:9" ht="22.95" customHeight="1">
      <c r="A239" s="39"/>
      <c r="B239" s="38"/>
      <c r="C239" s="17"/>
      <c r="D239" s="266"/>
      <c r="E239" s="260"/>
      <c r="F239" s="266"/>
      <c r="G239" s="260"/>
      <c r="H239" s="17"/>
      <c r="I239" s="7"/>
    </row>
    <row r="240" spans="1:9" ht="22.95" customHeight="1">
      <c r="A240" s="41"/>
      <c r="B240" s="38"/>
      <c r="C240" s="17"/>
      <c r="D240" s="266"/>
      <c r="E240" s="260"/>
      <c r="F240" s="266"/>
      <c r="G240" s="260"/>
      <c r="H240" s="17"/>
      <c r="I240" s="7"/>
    </row>
    <row r="241" spans="1:9" ht="22.95" customHeight="1">
      <c r="A241" s="39"/>
      <c r="B241" s="38"/>
      <c r="C241" s="17"/>
      <c r="D241" s="266"/>
      <c r="E241" s="260"/>
      <c r="F241" s="266"/>
      <c r="G241" s="260"/>
      <c r="H241" s="17"/>
      <c r="I241" s="7"/>
    </row>
    <row r="242" spans="1:9" ht="22.95" customHeight="1">
      <c r="A242" s="39"/>
      <c r="B242" s="38"/>
      <c r="C242" s="17"/>
      <c r="D242" s="266"/>
      <c r="E242" s="260"/>
      <c r="F242" s="266"/>
      <c r="G242" s="260"/>
      <c r="H242" s="17"/>
      <c r="I242" s="7"/>
    </row>
    <row r="243" spans="1:9" ht="22.95" customHeight="1">
      <c r="A243" s="39"/>
      <c r="B243" s="38"/>
      <c r="C243" s="17"/>
      <c r="D243" s="266"/>
      <c r="E243" s="260"/>
      <c r="F243" s="266"/>
      <c r="G243" s="260"/>
      <c r="H243" s="17"/>
      <c r="I243" s="7"/>
    </row>
    <row r="244" spans="1:9" ht="22.95" customHeight="1">
      <c r="A244" s="39"/>
      <c r="B244" s="38"/>
      <c r="C244" s="17"/>
      <c r="D244" s="266"/>
      <c r="E244" s="260"/>
      <c r="F244" s="266"/>
      <c r="G244" s="260"/>
      <c r="H244" s="17"/>
      <c r="I244" s="7"/>
    </row>
    <row r="245" spans="1:9" ht="22.95" customHeight="1">
      <c r="A245" s="39"/>
      <c r="B245" s="38"/>
      <c r="C245" s="17"/>
      <c r="D245" s="266"/>
      <c r="E245" s="260"/>
      <c r="F245" s="266"/>
      <c r="G245" s="260"/>
      <c r="H245" s="17"/>
      <c r="I245" s="7"/>
    </row>
    <row r="246" spans="1:9" ht="22.95" customHeight="1">
      <c r="A246" s="39"/>
      <c r="B246" s="38"/>
      <c r="C246" s="17"/>
      <c r="D246" s="266"/>
      <c r="E246" s="260"/>
      <c r="F246" s="266"/>
      <c r="G246" s="260"/>
      <c r="H246" s="17"/>
      <c r="I246" s="7"/>
    </row>
    <row r="247" spans="1:9" ht="22.95" customHeight="1">
      <c r="A247" s="39"/>
      <c r="B247" s="38"/>
      <c r="C247" s="17"/>
      <c r="D247" s="266"/>
      <c r="E247" s="260"/>
      <c r="F247" s="266"/>
      <c r="G247" s="260"/>
      <c r="H247" s="17"/>
      <c r="I247" s="7"/>
    </row>
    <row r="248" spans="1:9" ht="22.95" customHeight="1">
      <c r="A248" s="39"/>
      <c r="B248" s="38"/>
      <c r="C248" s="17"/>
      <c r="D248" s="266"/>
      <c r="E248" s="260"/>
      <c r="F248" s="266"/>
      <c r="G248" s="260"/>
      <c r="H248" s="17"/>
      <c r="I248" s="7"/>
    </row>
    <row r="249" spans="1:9" ht="22.95" customHeight="1">
      <c r="A249" s="39"/>
      <c r="B249" s="38"/>
      <c r="C249" s="17"/>
      <c r="D249" s="266"/>
      <c r="E249" s="260"/>
      <c r="F249" s="266"/>
      <c r="G249" s="260"/>
      <c r="H249" s="17"/>
      <c r="I249" s="7"/>
    </row>
    <row r="250" spans="1:9" ht="22.95" customHeight="1">
      <c r="A250" s="39"/>
      <c r="B250" s="38"/>
      <c r="C250" s="17"/>
      <c r="D250" s="266"/>
      <c r="E250" s="260"/>
      <c r="F250" s="266"/>
      <c r="G250" s="260"/>
      <c r="H250" s="17"/>
      <c r="I250" s="7"/>
    </row>
    <row r="251" spans="1:9" ht="22.95" customHeight="1">
      <c r="A251" s="39"/>
      <c r="B251" s="38"/>
      <c r="C251" s="17"/>
      <c r="D251" s="266"/>
      <c r="E251" s="260"/>
      <c r="F251" s="266"/>
      <c r="G251" s="260"/>
      <c r="H251" s="17"/>
      <c r="I251" s="7"/>
    </row>
    <row r="252" spans="1:9" ht="22.95" customHeight="1">
      <c r="A252" s="39"/>
      <c r="B252" s="38"/>
      <c r="C252" s="17"/>
      <c r="D252" s="266"/>
      <c r="E252" s="260"/>
      <c r="F252" s="266"/>
      <c r="G252" s="260"/>
      <c r="H252" s="17"/>
      <c r="I252" s="7"/>
    </row>
    <row r="253" spans="1:9" ht="22.95" customHeight="1">
      <c r="A253" s="39"/>
      <c r="B253" s="38"/>
      <c r="C253" s="17"/>
      <c r="D253" s="266"/>
      <c r="E253" s="260"/>
      <c r="F253" s="266"/>
      <c r="G253" s="260"/>
      <c r="H253" s="17"/>
      <c r="I253" s="7"/>
    </row>
    <row r="254" spans="1:9" ht="22.95" customHeight="1">
      <c r="A254" s="39"/>
      <c r="B254" s="38"/>
      <c r="C254" s="17"/>
      <c r="D254" s="266"/>
      <c r="E254" s="260"/>
      <c r="F254" s="266"/>
      <c r="G254" s="260"/>
      <c r="H254" s="17"/>
      <c r="I254" s="7"/>
    </row>
    <row r="255" spans="1:9" ht="22.95" customHeight="1">
      <c r="A255" s="39"/>
      <c r="B255" s="38"/>
      <c r="C255" s="17"/>
      <c r="D255" s="266"/>
      <c r="E255" s="260"/>
      <c r="F255" s="266"/>
      <c r="G255" s="260"/>
      <c r="H255" s="17"/>
      <c r="I255" s="7"/>
    </row>
    <row r="256" spans="1:9" ht="22.95" customHeight="1">
      <c r="A256" s="39"/>
      <c r="B256" s="38"/>
      <c r="C256" s="17"/>
      <c r="D256" s="266"/>
      <c r="E256" s="260"/>
      <c r="F256" s="266"/>
      <c r="G256" s="260"/>
      <c r="H256" s="17"/>
      <c r="I256" s="7"/>
    </row>
    <row r="257" spans="1:9" ht="22.95" customHeight="1">
      <c r="A257" s="39"/>
      <c r="B257" s="38"/>
      <c r="C257" s="17"/>
      <c r="D257" s="266"/>
      <c r="E257" s="260"/>
      <c r="F257" s="266"/>
      <c r="G257" s="260"/>
      <c r="H257" s="17"/>
      <c r="I257" s="7"/>
    </row>
    <row r="258" spans="1:9" ht="22.95" customHeight="1">
      <c r="A258" s="39"/>
      <c r="B258" s="38"/>
      <c r="C258" s="17"/>
      <c r="D258" s="266"/>
      <c r="E258" s="260"/>
      <c r="F258" s="266"/>
      <c r="G258" s="260"/>
      <c r="H258" s="17"/>
      <c r="I258" s="7"/>
    </row>
    <row r="259" spans="1:9" ht="22.95" customHeight="1">
      <c r="A259" s="39"/>
      <c r="B259" s="38"/>
      <c r="C259" s="17"/>
      <c r="D259" s="266"/>
      <c r="E259" s="260"/>
      <c r="F259" s="266"/>
      <c r="G259" s="260"/>
      <c r="H259" s="17"/>
      <c r="I259" s="7"/>
    </row>
    <row r="260" spans="1:9" ht="22.95" customHeight="1">
      <c r="A260" s="39"/>
      <c r="B260" s="38"/>
      <c r="C260" s="17"/>
      <c r="D260" s="266"/>
      <c r="E260" s="260"/>
      <c r="F260" s="266"/>
      <c r="G260" s="260"/>
      <c r="H260" s="17"/>
      <c r="I260" s="7"/>
    </row>
    <row r="261" spans="1:9" ht="22.95" customHeight="1">
      <c r="A261" s="39"/>
      <c r="B261" s="38"/>
      <c r="C261" s="17"/>
      <c r="D261" s="266"/>
      <c r="E261" s="260"/>
      <c r="F261" s="266"/>
      <c r="G261" s="260"/>
      <c r="H261" s="17"/>
      <c r="I261" s="7"/>
    </row>
    <row r="262" spans="1:9" ht="22.95" customHeight="1">
      <c r="A262" s="39"/>
      <c r="B262" s="38"/>
      <c r="C262" s="17"/>
      <c r="D262" s="266"/>
      <c r="E262" s="260"/>
      <c r="F262" s="266"/>
      <c r="G262" s="260"/>
      <c r="H262" s="17"/>
      <c r="I262" s="7"/>
    </row>
    <row r="263" spans="1:9" ht="22.95" customHeight="1">
      <c r="A263" s="39"/>
      <c r="B263" s="38"/>
      <c r="C263" s="17"/>
      <c r="D263" s="266"/>
      <c r="E263" s="260"/>
      <c r="F263" s="266"/>
      <c r="G263" s="260"/>
      <c r="H263" s="17"/>
      <c r="I263" s="7"/>
    </row>
    <row r="264" spans="1:9" ht="22.95" customHeight="1">
      <c r="A264" s="39"/>
      <c r="B264" s="38"/>
      <c r="C264" s="17"/>
      <c r="D264" s="266"/>
      <c r="E264" s="260"/>
      <c r="F264" s="266"/>
      <c r="G264" s="260"/>
      <c r="H264" s="17"/>
      <c r="I264" s="7"/>
    </row>
    <row r="265" spans="1:9" ht="22.95" customHeight="1">
      <c r="A265" s="39"/>
      <c r="B265" s="38"/>
      <c r="C265" s="17"/>
      <c r="D265" s="266"/>
      <c r="E265" s="260"/>
      <c r="F265" s="266"/>
      <c r="G265" s="260"/>
      <c r="H265" s="17"/>
      <c r="I265" s="7"/>
    </row>
    <row r="266" spans="1:9" ht="22.95" customHeight="1">
      <c r="A266" s="39"/>
      <c r="B266" s="38"/>
      <c r="C266" s="17"/>
      <c r="D266" s="266"/>
      <c r="E266" s="260"/>
      <c r="F266" s="266"/>
      <c r="G266" s="260"/>
      <c r="H266" s="17"/>
      <c r="I266" s="7"/>
    </row>
    <row r="267" spans="1:9" ht="22.95" customHeight="1">
      <c r="A267" s="39"/>
      <c r="B267" s="38"/>
      <c r="C267" s="17"/>
      <c r="D267" s="266"/>
      <c r="E267" s="260"/>
      <c r="F267" s="266"/>
      <c r="G267" s="260"/>
      <c r="H267" s="17"/>
      <c r="I267" s="7"/>
    </row>
    <row r="268" spans="1:9" ht="22.95" customHeight="1">
      <c r="A268" s="39"/>
      <c r="B268" s="38"/>
      <c r="C268" s="17"/>
      <c r="D268" s="266"/>
      <c r="E268" s="260"/>
      <c r="F268" s="266"/>
      <c r="G268" s="260"/>
      <c r="H268" s="17"/>
      <c r="I268" s="109"/>
    </row>
    <row r="269" spans="1:9" ht="22.95" customHeight="1">
      <c r="A269" s="39"/>
      <c r="B269" s="38"/>
      <c r="C269" s="17"/>
      <c r="D269" s="266"/>
      <c r="E269" s="260"/>
      <c r="F269" s="266"/>
      <c r="G269" s="260"/>
      <c r="H269" s="17"/>
      <c r="I269" s="7"/>
    </row>
    <row r="270" spans="1:9" ht="22.95" customHeight="1">
      <c r="A270" s="39"/>
      <c r="B270" s="38"/>
      <c r="C270" s="17"/>
      <c r="D270" s="266"/>
      <c r="E270" s="260"/>
      <c r="F270" s="266"/>
      <c r="G270" s="260"/>
      <c r="H270" s="17"/>
      <c r="I270" s="7"/>
    </row>
    <row r="271" spans="1:9" ht="22.95" customHeight="1">
      <c r="A271" s="39"/>
      <c r="B271" s="38"/>
      <c r="C271" s="17"/>
      <c r="D271" s="266"/>
      <c r="E271" s="260"/>
      <c r="F271" s="266"/>
      <c r="G271" s="260"/>
      <c r="H271" s="17"/>
      <c r="I271" s="7"/>
    </row>
    <row r="272" spans="1:9" ht="22.95" customHeight="1">
      <c r="A272" s="39"/>
      <c r="B272" s="38"/>
      <c r="C272" s="17"/>
      <c r="D272" s="266"/>
      <c r="E272" s="260"/>
      <c r="F272" s="266"/>
      <c r="G272" s="260"/>
      <c r="H272" s="17"/>
      <c r="I272" s="7"/>
    </row>
    <row r="273" spans="1:9" ht="22.95" customHeight="1">
      <c r="A273" s="39"/>
      <c r="B273" s="38"/>
      <c r="C273" s="17"/>
      <c r="D273" s="266"/>
      <c r="E273" s="260"/>
      <c r="F273" s="266"/>
      <c r="G273" s="260"/>
      <c r="H273" s="17"/>
      <c r="I273" s="7"/>
    </row>
    <row r="274" spans="1:9" ht="22.95" customHeight="1">
      <c r="A274" s="39"/>
      <c r="B274" s="38"/>
      <c r="C274" s="17"/>
      <c r="D274" s="266"/>
      <c r="E274" s="260"/>
      <c r="F274" s="266"/>
      <c r="G274" s="260"/>
      <c r="H274" s="17"/>
      <c r="I274" s="7"/>
    </row>
    <row r="275" spans="1:9" ht="22.95" customHeight="1">
      <c r="A275" s="39"/>
      <c r="B275" s="38"/>
      <c r="C275" s="17"/>
      <c r="D275" s="266"/>
      <c r="E275" s="260"/>
      <c r="F275" s="266"/>
      <c r="G275" s="260"/>
      <c r="H275" s="17"/>
      <c r="I275" s="7"/>
    </row>
    <row r="276" spans="1:9" ht="22.95" customHeight="1">
      <c r="A276" s="39"/>
      <c r="B276" s="38"/>
      <c r="C276" s="17"/>
      <c r="D276" s="266"/>
      <c r="E276" s="260"/>
      <c r="F276" s="266"/>
      <c r="G276" s="260"/>
      <c r="H276" s="17"/>
      <c r="I276" s="7"/>
    </row>
    <row r="277" spans="1:9" ht="22.95" customHeight="1">
      <c r="A277" s="39"/>
      <c r="B277" s="38"/>
      <c r="C277" s="17"/>
      <c r="D277" s="266"/>
      <c r="E277" s="260"/>
      <c r="F277" s="266"/>
      <c r="G277" s="260"/>
      <c r="H277" s="17"/>
      <c r="I277" s="7"/>
    </row>
    <row r="278" spans="1:9" ht="22.95" customHeight="1">
      <c r="A278" s="39"/>
      <c r="B278" s="38"/>
      <c r="C278" s="17"/>
      <c r="D278" s="266"/>
      <c r="E278" s="260"/>
      <c r="F278" s="266"/>
      <c r="G278" s="260"/>
      <c r="H278" s="17"/>
      <c r="I278" s="7"/>
    </row>
    <row r="279" spans="1:9" ht="22.95" customHeight="1">
      <c r="A279" s="41"/>
      <c r="B279" s="38"/>
      <c r="C279" s="17"/>
      <c r="D279" s="266"/>
      <c r="E279" s="260"/>
      <c r="F279" s="266"/>
      <c r="G279" s="260"/>
      <c r="H279" s="17"/>
      <c r="I279" s="7"/>
    </row>
    <row r="280" spans="1:9" ht="22.95" customHeight="1">
      <c r="A280" s="41"/>
      <c r="B280" s="38"/>
      <c r="C280" s="17"/>
      <c r="D280" s="266"/>
      <c r="E280" s="260"/>
      <c r="F280" s="266"/>
      <c r="G280" s="260"/>
      <c r="H280" s="17"/>
      <c r="I280" s="7"/>
    </row>
    <row r="281" spans="1:9" ht="22.95" customHeight="1">
      <c r="A281" s="39"/>
      <c r="B281" s="38"/>
      <c r="C281" s="17"/>
      <c r="D281" s="266"/>
      <c r="E281" s="260"/>
      <c r="F281" s="266"/>
      <c r="G281" s="260"/>
      <c r="H281" s="17"/>
      <c r="I281" s="7"/>
    </row>
    <row r="282" spans="1:9" ht="22.95" customHeight="1">
      <c r="A282" s="39"/>
      <c r="B282" s="38"/>
      <c r="C282" s="17"/>
      <c r="D282" s="266"/>
      <c r="E282" s="260"/>
      <c r="F282" s="266"/>
      <c r="G282" s="260"/>
      <c r="H282" s="17"/>
      <c r="I282" s="109"/>
    </row>
    <row r="283" spans="1:9" ht="22.95" customHeight="1">
      <c r="A283" s="39"/>
      <c r="B283" s="38"/>
      <c r="C283" s="17"/>
      <c r="D283" s="266"/>
      <c r="E283" s="260"/>
      <c r="F283" s="266"/>
      <c r="G283" s="260"/>
      <c r="H283" s="17"/>
      <c r="I283" s="109"/>
    </row>
    <row r="284" spans="1:9" ht="19.5" customHeight="1">
      <c r="A284" s="41"/>
      <c r="B284" s="38"/>
      <c r="C284" s="17"/>
      <c r="D284" s="266"/>
      <c r="E284" s="260"/>
      <c r="F284" s="266"/>
      <c r="G284" s="260"/>
      <c r="H284" s="17"/>
      <c r="I284" s="109"/>
    </row>
    <row r="285" spans="1:9" ht="19.5" customHeight="1">
      <c r="A285" s="39"/>
      <c r="B285" s="38"/>
      <c r="C285" s="17"/>
      <c r="D285" s="266"/>
      <c r="E285" s="260"/>
      <c r="F285" s="266"/>
      <c r="G285" s="260"/>
      <c r="H285" s="17"/>
      <c r="I285" s="109"/>
    </row>
    <row r="286" spans="1:9" ht="19.5" customHeight="1">
      <c r="A286" s="39"/>
      <c r="B286" s="38"/>
      <c r="C286" s="17"/>
      <c r="D286" s="266"/>
      <c r="E286" s="260"/>
      <c r="F286" s="266"/>
      <c r="G286" s="260"/>
      <c r="H286" s="17"/>
      <c r="I286" s="109"/>
    </row>
    <row r="287" spans="1:9" ht="19.5" customHeight="1">
      <c r="A287" s="39"/>
      <c r="B287" s="38"/>
      <c r="C287" s="17"/>
      <c r="D287" s="266"/>
      <c r="E287" s="260"/>
      <c r="F287" s="266"/>
      <c r="G287" s="260"/>
      <c r="H287" s="17"/>
      <c r="I287" s="109"/>
    </row>
    <row r="288" spans="1:9" ht="19.5" customHeight="1">
      <c r="A288" s="39"/>
      <c r="B288" s="38"/>
      <c r="C288" s="17"/>
      <c r="D288" s="266"/>
      <c r="E288" s="260"/>
      <c r="F288" s="266"/>
      <c r="G288" s="260"/>
      <c r="H288" s="17"/>
      <c r="I288" s="109"/>
    </row>
    <row r="289" spans="1:9" ht="19.5" customHeight="1">
      <c r="A289" s="39"/>
      <c r="B289" s="38"/>
      <c r="C289" s="17"/>
      <c r="D289" s="266"/>
      <c r="E289" s="260"/>
      <c r="F289" s="266"/>
      <c r="G289" s="260"/>
      <c r="H289" s="17"/>
      <c r="I289" s="109"/>
    </row>
    <row r="290" spans="1:9" ht="19.5" customHeight="1">
      <c r="A290" s="39"/>
      <c r="B290" s="38"/>
      <c r="C290" s="17"/>
      <c r="D290" s="266"/>
      <c r="E290" s="260"/>
      <c r="F290" s="266"/>
      <c r="G290" s="260"/>
      <c r="H290" s="17"/>
      <c r="I290" s="109"/>
    </row>
    <row r="291" spans="1:9" ht="19.5" customHeight="1">
      <c r="A291" s="39"/>
      <c r="B291" s="38"/>
      <c r="C291" s="17"/>
      <c r="D291" s="266"/>
      <c r="E291" s="260"/>
      <c r="F291" s="266"/>
      <c r="G291" s="260"/>
      <c r="H291" s="17"/>
      <c r="I291" s="109"/>
    </row>
    <row r="292" spans="1:9" ht="19.5" customHeight="1">
      <c r="A292" s="39"/>
      <c r="B292" s="38"/>
      <c r="C292" s="17"/>
      <c r="D292" s="266"/>
      <c r="E292" s="260"/>
      <c r="F292" s="266"/>
      <c r="G292" s="260"/>
      <c r="H292" s="17"/>
      <c r="I292" s="109"/>
    </row>
    <row r="293" spans="1:9" ht="19.5" customHeight="1">
      <c r="A293" s="39"/>
      <c r="B293" s="38"/>
      <c r="C293" s="17"/>
      <c r="D293" s="266"/>
      <c r="E293" s="260"/>
      <c r="F293" s="266"/>
      <c r="G293" s="260"/>
      <c r="H293" s="17"/>
      <c r="I293" s="109"/>
    </row>
    <row r="294" spans="1:9" ht="19.5" customHeight="1">
      <c r="A294" s="39"/>
      <c r="B294" s="38"/>
      <c r="C294" s="17"/>
      <c r="D294" s="266"/>
      <c r="E294" s="260"/>
      <c r="F294" s="266"/>
      <c r="G294" s="260"/>
      <c r="H294" s="17"/>
      <c r="I294" s="109"/>
    </row>
    <row r="295" spans="1:9" ht="19.5" customHeight="1">
      <c r="A295" s="39"/>
      <c r="B295" s="38"/>
      <c r="C295" s="17"/>
      <c r="D295" s="266"/>
      <c r="E295" s="260"/>
      <c r="F295" s="266"/>
      <c r="G295" s="260"/>
      <c r="H295" s="17"/>
      <c r="I295" s="109"/>
    </row>
    <row r="296" spans="1:9" ht="19.5" customHeight="1">
      <c r="A296" s="39"/>
      <c r="B296" s="38"/>
      <c r="C296" s="17"/>
      <c r="D296" s="266"/>
      <c r="E296" s="260"/>
      <c r="F296" s="266"/>
      <c r="G296" s="260"/>
      <c r="H296" s="17"/>
      <c r="I296" s="109"/>
    </row>
    <row r="297" spans="1:9" ht="19.5" customHeight="1">
      <c r="A297" s="39"/>
      <c r="B297" s="38"/>
      <c r="C297" s="17"/>
      <c r="D297" s="266"/>
      <c r="E297" s="260"/>
      <c r="F297" s="266"/>
      <c r="G297" s="260"/>
      <c r="H297" s="17"/>
      <c r="I297" s="109"/>
    </row>
    <row r="298" spans="1:9" ht="19.5" customHeight="1">
      <c r="A298" s="39"/>
      <c r="B298" s="38"/>
      <c r="C298" s="17"/>
      <c r="D298" s="266"/>
      <c r="E298" s="260"/>
      <c r="F298" s="266"/>
      <c r="G298" s="260"/>
      <c r="H298" s="17"/>
      <c r="I298" s="109"/>
    </row>
    <row r="299" spans="1:9" ht="19.5" customHeight="1">
      <c r="A299" s="39"/>
      <c r="B299" s="38"/>
      <c r="C299" s="17"/>
      <c r="D299" s="266"/>
      <c r="E299" s="260"/>
      <c r="F299" s="266"/>
      <c r="G299" s="260"/>
      <c r="H299" s="17"/>
      <c r="I299" s="109"/>
    </row>
    <row r="300" spans="1:9" ht="19.5" customHeight="1">
      <c r="A300" s="39"/>
      <c r="B300" s="38"/>
      <c r="C300" s="17"/>
      <c r="D300" s="266"/>
      <c r="E300" s="260"/>
      <c r="F300" s="266"/>
      <c r="G300" s="260"/>
      <c r="H300" s="17"/>
      <c r="I300" s="109"/>
    </row>
    <row r="301" spans="1:9" ht="19.5" customHeight="1">
      <c r="A301" s="39"/>
      <c r="B301" s="38"/>
      <c r="C301" s="17"/>
      <c r="D301" s="266"/>
      <c r="E301" s="260"/>
      <c r="F301" s="266"/>
      <c r="G301" s="260"/>
      <c r="H301" s="17"/>
      <c r="I301" s="109"/>
    </row>
    <row r="302" spans="1:9" ht="19.5" customHeight="1">
      <c r="A302" s="39"/>
      <c r="B302" s="38"/>
      <c r="C302" s="17"/>
      <c r="D302" s="266"/>
      <c r="E302" s="260"/>
      <c r="F302" s="266"/>
      <c r="G302" s="260"/>
      <c r="H302" s="17"/>
      <c r="I302" s="109"/>
    </row>
    <row r="303" spans="1:9" ht="19.5" customHeight="1">
      <c r="A303" s="39"/>
      <c r="B303" s="38"/>
      <c r="C303" s="17"/>
      <c r="D303" s="266"/>
      <c r="E303" s="260"/>
      <c r="F303" s="266"/>
      <c r="G303" s="260"/>
      <c r="H303" s="17"/>
      <c r="I303" s="109"/>
    </row>
    <row r="304" spans="1:9" ht="19.5" customHeight="1">
      <c r="A304" s="39"/>
      <c r="B304" s="38"/>
      <c r="C304" s="17"/>
      <c r="D304" s="266"/>
      <c r="E304" s="260"/>
      <c r="F304" s="266"/>
      <c r="G304" s="260"/>
      <c r="H304" s="17"/>
      <c r="I304" s="109"/>
    </row>
    <row r="305" spans="1:9" ht="19.5" customHeight="1">
      <c r="A305" s="39"/>
      <c r="B305" s="38"/>
      <c r="C305" s="17"/>
      <c r="D305" s="266"/>
      <c r="E305" s="260"/>
      <c r="F305" s="266"/>
      <c r="G305" s="260"/>
      <c r="H305" s="17"/>
      <c r="I305" s="109"/>
    </row>
    <row r="306" spans="1:9" ht="19.5" customHeight="1">
      <c r="A306" s="39"/>
      <c r="B306" s="38"/>
      <c r="C306" s="17"/>
      <c r="D306" s="266"/>
      <c r="E306" s="260"/>
      <c r="F306" s="266"/>
      <c r="G306" s="260"/>
      <c r="H306" s="17"/>
      <c r="I306" s="109"/>
    </row>
    <row r="307" spans="1:9" ht="19.5" customHeight="1">
      <c r="A307" s="39"/>
      <c r="B307" s="38"/>
      <c r="C307" s="17"/>
      <c r="D307" s="266"/>
      <c r="E307" s="260"/>
      <c r="F307" s="266"/>
      <c r="G307" s="260"/>
      <c r="H307" s="17"/>
      <c r="I307" s="109"/>
    </row>
    <row r="308" spans="1:9" ht="19.5" customHeight="1">
      <c r="A308" s="39"/>
      <c r="B308" s="38"/>
      <c r="C308" s="17"/>
      <c r="D308" s="266"/>
      <c r="E308" s="260"/>
      <c r="F308" s="266"/>
      <c r="G308" s="260"/>
      <c r="H308" s="17"/>
      <c r="I308" s="109"/>
    </row>
    <row r="309" spans="1:9" ht="19.5" customHeight="1">
      <c r="A309" s="39"/>
      <c r="B309" s="38"/>
      <c r="C309" s="17"/>
      <c r="D309" s="266"/>
      <c r="E309" s="260"/>
      <c r="F309" s="266"/>
      <c r="G309" s="260"/>
      <c r="H309" s="17"/>
      <c r="I309" s="109"/>
    </row>
    <row r="310" spans="1:9" ht="19.5" customHeight="1">
      <c r="A310" s="39"/>
      <c r="B310" s="38"/>
      <c r="C310" s="17"/>
      <c r="D310" s="266"/>
      <c r="E310" s="260"/>
      <c r="F310" s="266"/>
      <c r="G310" s="260"/>
      <c r="H310" s="17"/>
      <c r="I310" s="109"/>
    </row>
    <row r="311" spans="1:9" ht="19.5" customHeight="1">
      <c r="A311" s="39"/>
      <c r="B311" s="38"/>
      <c r="C311" s="17"/>
      <c r="D311" s="266"/>
      <c r="E311" s="260"/>
      <c r="F311" s="266"/>
      <c r="G311" s="260"/>
      <c r="H311" s="17"/>
      <c r="I311" s="109"/>
    </row>
    <row r="312" spans="1:9" ht="19.5" customHeight="1">
      <c r="A312" s="39"/>
      <c r="B312" s="38"/>
      <c r="C312" s="17"/>
      <c r="D312" s="266"/>
      <c r="E312" s="260"/>
      <c r="F312" s="266"/>
      <c r="G312" s="260"/>
      <c r="H312" s="17"/>
      <c r="I312" s="109"/>
    </row>
    <row r="313" spans="1:9" ht="19.5" customHeight="1">
      <c r="A313" s="39"/>
      <c r="B313" s="38"/>
      <c r="C313" s="17"/>
      <c r="D313" s="266"/>
      <c r="E313" s="260"/>
      <c r="F313" s="266"/>
      <c r="G313" s="260"/>
      <c r="H313" s="17"/>
      <c r="I313" s="109"/>
    </row>
    <row r="314" spans="1:9" ht="19.5" customHeight="1">
      <c r="A314" s="39"/>
      <c r="B314" s="38"/>
      <c r="C314" s="17"/>
      <c r="D314" s="266"/>
      <c r="E314" s="260"/>
      <c r="F314" s="266"/>
      <c r="G314" s="260"/>
      <c r="H314" s="17"/>
      <c r="I314" s="109"/>
    </row>
    <row r="315" spans="1:9" ht="19.5" customHeight="1">
      <c r="A315" s="38"/>
      <c r="B315" s="38"/>
      <c r="C315" s="17"/>
      <c r="D315" s="266"/>
      <c r="E315" s="260"/>
      <c r="F315" s="266"/>
      <c r="G315" s="260"/>
      <c r="H315" s="17"/>
      <c r="I315" s="109"/>
    </row>
    <row r="316" spans="1:9" ht="19.5" customHeight="1">
      <c r="A316" s="39"/>
      <c r="B316" s="38"/>
      <c r="C316" s="17"/>
      <c r="D316" s="266"/>
      <c r="E316" s="260"/>
      <c r="F316" s="266"/>
      <c r="G316" s="260"/>
      <c r="H316" s="17"/>
      <c r="I316" s="109"/>
    </row>
    <row r="317" spans="1:9" ht="19.5" customHeight="1">
      <c r="A317" s="39"/>
      <c r="B317" s="38"/>
      <c r="C317" s="17"/>
      <c r="D317" s="266"/>
      <c r="E317" s="260"/>
      <c r="F317" s="266"/>
      <c r="G317" s="260"/>
      <c r="H317" s="17"/>
      <c r="I317" s="109"/>
    </row>
    <row r="318" spans="1:9" ht="19.5" customHeight="1">
      <c r="A318" s="39"/>
      <c r="B318" s="38"/>
      <c r="C318" s="17"/>
      <c r="D318" s="266"/>
      <c r="E318" s="260"/>
      <c r="F318" s="266"/>
      <c r="G318" s="260"/>
      <c r="H318" s="17"/>
      <c r="I318" s="109"/>
    </row>
    <row r="319" spans="1:9" ht="19.5" customHeight="1">
      <c r="A319" s="39"/>
      <c r="B319" s="38"/>
      <c r="C319" s="17"/>
      <c r="D319" s="266"/>
      <c r="E319" s="260"/>
      <c r="F319" s="266"/>
      <c r="G319" s="260"/>
      <c r="H319" s="17"/>
      <c r="I319" s="109"/>
    </row>
    <row r="320" spans="1:9" ht="19.5" customHeight="1">
      <c r="A320" s="39"/>
      <c r="B320" s="38"/>
      <c r="C320" s="17"/>
      <c r="D320" s="266"/>
      <c r="E320" s="260"/>
      <c r="F320" s="266"/>
      <c r="G320" s="260"/>
      <c r="H320" s="17"/>
      <c r="I320" s="109"/>
    </row>
    <row r="321" spans="1:9" ht="19.5" customHeight="1">
      <c r="A321" s="39"/>
      <c r="B321" s="38"/>
      <c r="C321" s="17"/>
      <c r="D321" s="266"/>
      <c r="E321" s="260"/>
      <c r="F321" s="266"/>
      <c r="G321" s="260"/>
      <c r="H321" s="17"/>
      <c r="I321" s="109"/>
    </row>
    <row r="322" spans="1:9" ht="19.5" customHeight="1">
      <c r="A322" s="39"/>
      <c r="B322" s="38"/>
      <c r="C322" s="17"/>
      <c r="D322" s="266"/>
      <c r="E322" s="260"/>
      <c r="F322" s="266"/>
      <c r="G322" s="260"/>
      <c r="H322" s="17"/>
      <c r="I322" s="109"/>
    </row>
    <row r="323" spans="1:9" ht="19.5" customHeight="1">
      <c r="A323" s="39"/>
      <c r="B323" s="38"/>
      <c r="C323" s="17"/>
      <c r="D323" s="266"/>
      <c r="E323" s="260"/>
      <c r="F323" s="266"/>
      <c r="G323" s="260"/>
      <c r="H323" s="17"/>
      <c r="I323" s="109"/>
    </row>
    <row r="324" spans="1:9" ht="19.5" customHeight="1">
      <c r="A324" s="39"/>
      <c r="B324" s="38"/>
      <c r="C324" s="17"/>
      <c r="D324" s="266"/>
      <c r="E324" s="260"/>
      <c r="F324" s="266"/>
      <c r="G324" s="260"/>
      <c r="H324" s="17"/>
      <c r="I324" s="109"/>
    </row>
    <row r="325" spans="1:9" ht="19.5" customHeight="1">
      <c r="A325" s="39"/>
      <c r="B325" s="38"/>
      <c r="C325" s="17"/>
      <c r="D325" s="266"/>
      <c r="E325" s="260"/>
      <c r="F325" s="266"/>
      <c r="G325" s="260"/>
      <c r="H325" s="17"/>
      <c r="I325" s="109"/>
    </row>
    <row r="326" spans="1:9" ht="19.5" customHeight="1">
      <c r="A326" s="39"/>
      <c r="B326" s="38"/>
      <c r="C326" s="17"/>
      <c r="D326" s="266"/>
      <c r="E326" s="260"/>
      <c r="F326" s="266"/>
      <c r="G326" s="260"/>
      <c r="H326" s="17"/>
      <c r="I326" s="109"/>
    </row>
    <row r="327" spans="1:9" ht="19.5" customHeight="1">
      <c r="A327" s="39"/>
      <c r="B327" s="38"/>
      <c r="C327" s="17"/>
      <c r="D327" s="266"/>
      <c r="E327" s="260"/>
      <c r="F327" s="266"/>
      <c r="G327" s="260"/>
      <c r="H327" s="17"/>
      <c r="I327" s="109"/>
    </row>
    <row r="328" spans="1:9" ht="19.5" customHeight="1">
      <c r="A328" s="39"/>
      <c r="B328" s="38"/>
      <c r="C328" s="17"/>
      <c r="D328" s="266"/>
      <c r="E328" s="260"/>
      <c r="F328" s="266"/>
      <c r="G328" s="260"/>
      <c r="H328" s="17"/>
      <c r="I328" s="109"/>
    </row>
    <row r="329" spans="1:9" ht="19.5" customHeight="1">
      <c r="A329" s="39"/>
      <c r="B329" s="38"/>
      <c r="C329" s="17"/>
      <c r="D329" s="266"/>
      <c r="E329" s="260"/>
      <c r="F329" s="266"/>
      <c r="G329" s="260"/>
      <c r="H329" s="17"/>
      <c r="I329" s="109"/>
    </row>
    <row r="330" spans="1:9" ht="19.5" customHeight="1">
      <c r="A330" s="39"/>
      <c r="B330" s="38"/>
      <c r="C330" s="17"/>
      <c r="D330" s="266"/>
      <c r="E330" s="260"/>
      <c r="F330" s="266"/>
      <c r="G330" s="260"/>
      <c r="H330" s="17"/>
      <c r="I330" s="109"/>
    </row>
    <row r="331" spans="1:9" ht="19.5" customHeight="1">
      <c r="A331" s="39"/>
      <c r="B331" s="38"/>
      <c r="C331" s="17"/>
      <c r="D331" s="266"/>
      <c r="E331" s="260"/>
      <c r="F331" s="266"/>
      <c r="G331" s="260"/>
      <c r="H331" s="17"/>
      <c r="I331" s="109"/>
    </row>
    <row r="332" spans="1:9" ht="19.5" customHeight="1">
      <c r="A332" s="39"/>
      <c r="B332" s="38"/>
      <c r="C332" s="17"/>
      <c r="D332" s="266"/>
      <c r="E332" s="260"/>
      <c r="F332" s="266"/>
      <c r="G332" s="260"/>
      <c r="H332" s="17"/>
      <c r="I332" s="109"/>
    </row>
    <row r="333" spans="1:9" ht="19.5" customHeight="1">
      <c r="A333" s="41"/>
      <c r="B333" s="38"/>
      <c r="C333" s="17"/>
      <c r="D333" s="266"/>
      <c r="E333" s="260"/>
      <c r="F333" s="266"/>
      <c r="G333" s="260"/>
      <c r="H333" s="17"/>
      <c r="I333" s="109"/>
    </row>
    <row r="334" spans="1:9" ht="19.5" customHeight="1">
      <c r="A334" s="39"/>
      <c r="B334" s="38"/>
      <c r="C334" s="17"/>
      <c r="D334" s="266"/>
      <c r="E334" s="260"/>
      <c r="F334" s="266"/>
      <c r="G334" s="260"/>
      <c r="H334" s="17"/>
      <c r="I334" s="109"/>
    </row>
    <row r="335" spans="1:9" ht="19.5" customHeight="1">
      <c r="A335" s="39"/>
      <c r="B335" s="38"/>
      <c r="C335" s="17"/>
      <c r="D335" s="266"/>
      <c r="E335" s="260"/>
      <c r="F335" s="266"/>
      <c r="G335" s="260"/>
      <c r="H335" s="17"/>
      <c r="I335" s="109"/>
    </row>
    <row r="336" spans="1:9" ht="19.5" customHeight="1">
      <c r="A336" s="39"/>
      <c r="B336" s="38"/>
      <c r="C336" s="17"/>
      <c r="D336" s="266"/>
      <c r="E336" s="260"/>
      <c r="F336" s="266"/>
      <c r="G336" s="260"/>
      <c r="H336" s="17"/>
      <c r="I336" s="109"/>
    </row>
    <row r="337" spans="1:9" ht="19.5" customHeight="1">
      <c r="A337" s="39"/>
      <c r="B337" s="38"/>
      <c r="C337" s="17"/>
      <c r="D337" s="266"/>
      <c r="E337" s="260"/>
      <c r="F337" s="266"/>
      <c r="G337" s="260"/>
      <c r="H337" s="17"/>
      <c r="I337" s="109"/>
    </row>
    <row r="338" spans="1:9" ht="19.5" customHeight="1">
      <c r="A338" s="39"/>
      <c r="B338" s="38"/>
      <c r="C338" s="17"/>
      <c r="D338" s="266"/>
      <c r="E338" s="260"/>
      <c r="F338" s="266"/>
      <c r="G338" s="260"/>
      <c r="H338" s="17"/>
      <c r="I338" s="109"/>
    </row>
    <row r="339" spans="1:9" ht="19.5" customHeight="1">
      <c r="A339" s="39"/>
      <c r="B339" s="38"/>
      <c r="C339" s="17"/>
      <c r="D339" s="266"/>
      <c r="E339" s="260"/>
      <c r="F339" s="266"/>
      <c r="G339" s="260"/>
      <c r="H339" s="17"/>
      <c r="I339" s="109"/>
    </row>
    <row r="340" spans="1:9" ht="19.5" customHeight="1">
      <c r="A340" s="39"/>
      <c r="B340" s="38"/>
      <c r="C340" s="17"/>
      <c r="D340" s="266"/>
      <c r="E340" s="260"/>
      <c r="F340" s="266"/>
      <c r="G340" s="260"/>
      <c r="H340" s="17"/>
      <c r="I340" s="109"/>
    </row>
    <row r="341" spans="1:9" ht="19.5" customHeight="1">
      <c r="A341" s="39"/>
      <c r="B341" s="38"/>
      <c r="C341" s="17"/>
      <c r="D341" s="266"/>
      <c r="E341" s="260"/>
      <c r="F341" s="266"/>
      <c r="G341" s="260"/>
      <c r="H341" s="17"/>
      <c r="I341" s="109"/>
    </row>
    <row r="342" spans="1:9" ht="19.5" customHeight="1">
      <c r="A342" s="39"/>
      <c r="B342" s="38"/>
      <c r="C342" s="17"/>
      <c r="D342" s="266"/>
      <c r="E342" s="260"/>
      <c r="F342" s="266"/>
      <c r="G342" s="260"/>
      <c r="H342" s="17"/>
      <c r="I342" s="109"/>
    </row>
    <row r="343" spans="1:9" ht="19.5" customHeight="1">
      <c r="A343" s="39"/>
      <c r="B343" s="38"/>
      <c r="C343" s="17"/>
      <c r="D343" s="266"/>
      <c r="E343" s="260"/>
      <c r="F343" s="266"/>
      <c r="G343" s="260"/>
      <c r="H343" s="17"/>
      <c r="I343" s="109"/>
    </row>
    <row r="344" spans="1:9" ht="19.5" customHeight="1">
      <c r="A344" s="39"/>
      <c r="B344" s="38"/>
      <c r="C344" s="17"/>
      <c r="D344" s="266"/>
      <c r="E344" s="260"/>
      <c r="F344" s="266"/>
      <c r="G344" s="260"/>
      <c r="H344" s="17"/>
      <c r="I344" s="109"/>
    </row>
    <row r="345" spans="1:9" ht="19.5" customHeight="1">
      <c r="A345" s="39"/>
      <c r="B345" s="38"/>
      <c r="C345" s="17"/>
      <c r="D345" s="266"/>
      <c r="E345" s="260"/>
      <c r="F345" s="266"/>
      <c r="G345" s="260"/>
      <c r="H345" s="17"/>
      <c r="I345" s="109"/>
    </row>
    <row r="346" spans="1:9" ht="19.5" customHeight="1">
      <c r="A346" s="39"/>
      <c r="B346" s="38"/>
      <c r="C346" s="17"/>
      <c r="D346" s="266"/>
      <c r="E346" s="260"/>
      <c r="F346" s="266"/>
      <c r="G346" s="260"/>
      <c r="H346" s="17"/>
      <c r="I346" s="109"/>
    </row>
    <row r="347" spans="1:9" ht="19.5" customHeight="1">
      <c r="A347" s="39"/>
      <c r="B347" s="38"/>
      <c r="C347" s="17"/>
      <c r="D347" s="266"/>
      <c r="E347" s="260"/>
      <c r="F347" s="266"/>
      <c r="G347" s="260"/>
      <c r="H347" s="17"/>
      <c r="I347" s="109"/>
    </row>
    <row r="348" spans="1:9" ht="19.5" customHeight="1">
      <c r="A348" s="39"/>
      <c r="B348" s="38"/>
      <c r="C348" s="17"/>
      <c r="D348" s="266"/>
      <c r="E348" s="260"/>
      <c r="F348" s="266"/>
      <c r="G348" s="260"/>
      <c r="H348" s="17"/>
      <c r="I348" s="109"/>
    </row>
    <row r="349" spans="1:9" ht="19.5" customHeight="1">
      <c r="A349" s="39"/>
      <c r="B349" s="38"/>
      <c r="C349" s="17"/>
      <c r="D349" s="266"/>
      <c r="E349" s="260"/>
      <c r="F349" s="266"/>
      <c r="G349" s="260"/>
      <c r="H349" s="17"/>
      <c r="I349" s="109"/>
    </row>
    <row r="350" spans="1:9" ht="19.5" customHeight="1">
      <c r="A350" s="39"/>
      <c r="B350" s="38"/>
      <c r="C350" s="17"/>
      <c r="D350" s="266"/>
      <c r="E350" s="260"/>
      <c r="F350" s="266"/>
      <c r="G350" s="260"/>
      <c r="H350" s="17"/>
      <c r="I350" s="109"/>
    </row>
    <row r="351" spans="1:9" ht="19.5" customHeight="1">
      <c r="A351" s="39"/>
      <c r="B351" s="38"/>
      <c r="C351" s="17"/>
      <c r="D351" s="266"/>
      <c r="E351" s="260"/>
      <c r="F351" s="266"/>
      <c r="G351" s="260"/>
      <c r="H351" s="17"/>
      <c r="I351" s="109"/>
    </row>
    <row r="352" spans="1:9" ht="19.5" customHeight="1">
      <c r="A352" s="39"/>
      <c r="B352" s="38"/>
      <c r="C352" s="17"/>
      <c r="D352" s="266"/>
      <c r="E352" s="260"/>
      <c r="F352" s="266"/>
      <c r="G352" s="260"/>
      <c r="H352" s="17"/>
      <c r="I352" s="109"/>
    </row>
    <row r="353" spans="1:9" ht="19.5" customHeight="1">
      <c r="A353" s="39"/>
      <c r="B353" s="38"/>
      <c r="C353" s="17"/>
      <c r="D353" s="266"/>
      <c r="E353" s="260"/>
      <c r="F353" s="266"/>
      <c r="G353" s="260"/>
      <c r="H353" s="17"/>
      <c r="I353" s="109"/>
    </row>
    <row r="354" spans="1:9" ht="19.5" customHeight="1">
      <c r="A354" s="39"/>
      <c r="B354" s="38"/>
      <c r="C354" s="17"/>
      <c r="D354" s="266"/>
      <c r="E354" s="260"/>
      <c r="F354" s="266"/>
      <c r="G354" s="260"/>
      <c r="H354" s="17"/>
      <c r="I354" s="109"/>
    </row>
    <row r="355" spans="1:9" ht="19.5" customHeight="1">
      <c r="A355" s="39"/>
      <c r="B355" s="38"/>
      <c r="C355" s="17"/>
      <c r="D355" s="266"/>
      <c r="E355" s="260"/>
      <c r="F355" s="266"/>
      <c r="G355" s="260"/>
      <c r="H355" s="17"/>
      <c r="I355" s="109"/>
    </row>
    <row r="356" spans="1:9" ht="19.5" customHeight="1">
      <c r="A356" s="39"/>
      <c r="B356" s="38"/>
      <c r="C356" s="17"/>
      <c r="D356" s="266"/>
      <c r="E356" s="260"/>
      <c r="F356" s="266"/>
      <c r="G356" s="260"/>
      <c r="H356" s="17"/>
      <c r="I356" s="109"/>
    </row>
    <row r="357" spans="1:9" ht="19.5" customHeight="1">
      <c r="A357" s="39"/>
      <c r="B357" s="38"/>
      <c r="C357" s="17"/>
      <c r="D357" s="266"/>
      <c r="E357" s="260"/>
      <c r="F357" s="266"/>
      <c r="G357" s="260"/>
      <c r="H357" s="17"/>
      <c r="I357" s="109"/>
    </row>
    <row r="358" spans="1:9" ht="19.5" customHeight="1">
      <c r="A358" s="39"/>
      <c r="B358" s="38"/>
      <c r="C358" s="17"/>
      <c r="D358" s="266"/>
      <c r="E358" s="260"/>
      <c r="F358" s="266"/>
      <c r="G358" s="260"/>
      <c r="H358" s="17"/>
      <c r="I358" s="109"/>
    </row>
    <row r="359" spans="1:9" ht="19.5" customHeight="1">
      <c r="A359" s="39"/>
      <c r="B359" s="38"/>
      <c r="C359" s="17"/>
      <c r="D359" s="266"/>
      <c r="E359" s="260"/>
      <c r="F359" s="266"/>
      <c r="G359" s="260"/>
      <c r="H359" s="17"/>
      <c r="I359" s="109"/>
    </row>
    <row r="360" spans="1:9" ht="19.5" customHeight="1">
      <c r="A360" s="39"/>
      <c r="B360" s="38"/>
      <c r="C360" s="17"/>
      <c r="D360" s="266"/>
      <c r="E360" s="260"/>
      <c r="F360" s="266"/>
      <c r="G360" s="260"/>
      <c r="H360" s="17"/>
      <c r="I360" s="109"/>
    </row>
  </sheetData>
  <mergeCells count="720">
    <mergeCell ref="D344:E344"/>
    <mergeCell ref="D173:E173"/>
    <mergeCell ref="D123:E123"/>
    <mergeCell ref="D250:E250"/>
    <mergeCell ref="D50:E50"/>
    <mergeCell ref="D110:E110"/>
    <mergeCell ref="D44:E44"/>
    <mergeCell ref="D286:E286"/>
    <mergeCell ref="F44:G44"/>
    <mergeCell ref="D331:E331"/>
    <mergeCell ref="D57:E57"/>
    <mergeCell ref="B2:I2"/>
    <mergeCell ref="F331:G331"/>
    <mergeCell ref="D355:E355"/>
    <mergeCell ref="F113:G113"/>
    <mergeCell ref="D293:E293"/>
    <mergeCell ref="F282:G282"/>
    <mergeCell ref="D32:E32"/>
    <mergeCell ref="F232:G232"/>
    <mergeCell ref="F32:G32"/>
    <mergeCell ref="D268:E268"/>
    <mergeCell ref="F26:G26"/>
    <mergeCell ref="F330:G330"/>
    <mergeCell ref="F159:G159"/>
    <mergeCell ref="F268:G268"/>
    <mergeCell ref="F219:G219"/>
    <mergeCell ref="D97:E97"/>
    <mergeCell ref="F97:G97"/>
    <mergeCell ref="F324:G324"/>
    <mergeCell ref="F90:G90"/>
    <mergeCell ref="D184:E184"/>
    <mergeCell ref="F184:G184"/>
    <mergeCell ref="E3:G3"/>
    <mergeCell ref="F316:G316"/>
    <mergeCell ref="F59:G59"/>
    <mergeCell ref="D239:E239"/>
    <mergeCell ref="F301:G301"/>
    <mergeCell ref="D266:E266"/>
    <mergeCell ref="F24:G24"/>
    <mergeCell ref="F295:G295"/>
    <mergeCell ref="F95:G95"/>
    <mergeCell ref="D95:E95"/>
    <mergeCell ref="F27:G27"/>
    <mergeCell ref="D121:E121"/>
    <mergeCell ref="D192:E192"/>
    <mergeCell ref="D42:E42"/>
    <mergeCell ref="F7:G7"/>
    <mergeCell ref="D276:E276"/>
    <mergeCell ref="D105:E105"/>
    <mergeCell ref="F305:G305"/>
    <mergeCell ref="D341:E341"/>
    <mergeCell ref="D170:E170"/>
    <mergeCell ref="D49:E49"/>
    <mergeCell ref="D242:E242"/>
    <mergeCell ref="D120:E120"/>
    <mergeCell ref="F242:G242"/>
    <mergeCell ref="D278:E278"/>
    <mergeCell ref="F36:G36"/>
    <mergeCell ref="D107:E107"/>
    <mergeCell ref="F307:G307"/>
    <mergeCell ref="D234:E234"/>
    <mergeCell ref="F163:G163"/>
    <mergeCell ref="F101:G101"/>
    <mergeCell ref="F334:G334"/>
    <mergeCell ref="D163:E163"/>
    <mergeCell ref="F8:G8"/>
    <mergeCell ref="D244:E244"/>
    <mergeCell ref="F244:G244"/>
    <mergeCell ref="D171:E171"/>
    <mergeCell ref="F100:G100"/>
    <mergeCell ref="F343:G343"/>
    <mergeCell ref="D252:E252"/>
    <mergeCell ref="F281:G281"/>
    <mergeCell ref="F87:G87"/>
    <mergeCell ref="D218:E218"/>
    <mergeCell ref="F280:G280"/>
    <mergeCell ref="F147:G147"/>
    <mergeCell ref="F218:G218"/>
    <mergeCell ref="D247:E247"/>
    <mergeCell ref="F89:G89"/>
    <mergeCell ref="F309:G309"/>
    <mergeCell ref="D249:E249"/>
    <mergeCell ref="D342:E342"/>
    <mergeCell ref="D336:E336"/>
    <mergeCell ref="F342:G342"/>
    <mergeCell ref="F336:G336"/>
    <mergeCell ref="F165:G165"/>
    <mergeCell ref="F311:G311"/>
    <mergeCell ref="F115:G115"/>
    <mergeCell ref="F308:G308"/>
    <mergeCell ref="D102:E102"/>
    <mergeCell ref="F179:G179"/>
    <mergeCell ref="F102:G102"/>
    <mergeCell ref="F229:G229"/>
    <mergeCell ref="D323:E323"/>
    <mergeCell ref="D152:E152"/>
    <mergeCell ref="D223:E223"/>
    <mergeCell ref="F323:G323"/>
    <mergeCell ref="D279:E279"/>
    <mergeCell ref="F152:G152"/>
    <mergeCell ref="F279:G279"/>
    <mergeCell ref="D29:E29"/>
    <mergeCell ref="D23:E23"/>
    <mergeCell ref="D216:E216"/>
    <mergeCell ref="D265:E265"/>
    <mergeCell ref="F216:G216"/>
    <mergeCell ref="D25:E25"/>
    <mergeCell ref="D196:E196"/>
    <mergeCell ref="F77:G77"/>
    <mergeCell ref="F166:G166"/>
    <mergeCell ref="D133:E133"/>
    <mergeCell ref="D54:E54"/>
    <mergeCell ref="D271:E271"/>
    <mergeCell ref="D191:E191"/>
    <mergeCell ref="D262:E262"/>
    <mergeCell ref="F191:G191"/>
    <mergeCell ref="D237:E237"/>
    <mergeCell ref="F255:G255"/>
    <mergeCell ref="D333:E333"/>
    <mergeCell ref="F284:G284"/>
    <mergeCell ref="D10:E10"/>
    <mergeCell ref="F10:G10"/>
    <mergeCell ref="D34:E34"/>
    <mergeCell ref="D305:E305"/>
    <mergeCell ref="F63:G63"/>
    <mergeCell ref="D243:E243"/>
    <mergeCell ref="F34:G34"/>
    <mergeCell ref="D99:E99"/>
    <mergeCell ref="D270:E270"/>
    <mergeCell ref="F99:G99"/>
    <mergeCell ref="F292:G292"/>
    <mergeCell ref="F286:G286"/>
    <mergeCell ref="F74:G74"/>
    <mergeCell ref="D310:E310"/>
    <mergeCell ref="F310:G310"/>
    <mergeCell ref="D101:E101"/>
    <mergeCell ref="F30:G30"/>
    <mergeCell ref="D76:E76"/>
    <mergeCell ref="F138:G138"/>
    <mergeCell ref="F76:G76"/>
    <mergeCell ref="F94:G94"/>
    <mergeCell ref="D175:E175"/>
    <mergeCell ref="F15:G15"/>
    <mergeCell ref="F86:G86"/>
    <mergeCell ref="D213:E213"/>
    <mergeCell ref="D151:E151"/>
    <mergeCell ref="F213:G213"/>
    <mergeCell ref="F142:G142"/>
    <mergeCell ref="F80:G80"/>
    <mergeCell ref="D13:E13"/>
    <mergeCell ref="D321:E321"/>
    <mergeCell ref="D150:E150"/>
    <mergeCell ref="F79:G79"/>
    <mergeCell ref="F321:G321"/>
    <mergeCell ref="D215:E215"/>
    <mergeCell ref="F144:G144"/>
    <mergeCell ref="F315:G315"/>
    <mergeCell ref="F215:G215"/>
    <mergeCell ref="F81:G81"/>
    <mergeCell ref="F210:G210"/>
    <mergeCell ref="D177:E177"/>
    <mergeCell ref="D33:E33"/>
    <mergeCell ref="D226:E226"/>
    <mergeCell ref="D164:E164"/>
    <mergeCell ref="F226:G226"/>
    <mergeCell ref="D241:E241"/>
    <mergeCell ref="F350:G350"/>
    <mergeCell ref="D8:E8"/>
    <mergeCell ref="F37:G37"/>
    <mergeCell ref="F195:G195"/>
    <mergeCell ref="D231:E231"/>
    <mergeCell ref="F260:G260"/>
    <mergeCell ref="D358:E358"/>
    <mergeCell ref="F60:G60"/>
    <mergeCell ref="F358:G358"/>
    <mergeCell ref="F352:G352"/>
    <mergeCell ref="F197:G197"/>
    <mergeCell ref="F53:G53"/>
    <mergeCell ref="D20:E20"/>
    <mergeCell ref="F289:G289"/>
    <mergeCell ref="D318:E318"/>
    <mergeCell ref="F68:G68"/>
    <mergeCell ref="D84:E84"/>
    <mergeCell ref="D155:E155"/>
    <mergeCell ref="D22:E22"/>
    <mergeCell ref="F84:G84"/>
    <mergeCell ref="D149:E149"/>
    <mergeCell ref="D320:E320"/>
    <mergeCell ref="F320:G320"/>
    <mergeCell ref="D86:E86"/>
    <mergeCell ref="D292:E292"/>
    <mergeCell ref="D227:E227"/>
    <mergeCell ref="D202:E202"/>
    <mergeCell ref="F131:G131"/>
    <mergeCell ref="D58:E58"/>
    <mergeCell ref="F258:G258"/>
    <mergeCell ref="F58:G58"/>
    <mergeCell ref="D294:E294"/>
    <mergeCell ref="F52:G52"/>
    <mergeCell ref="F294:G294"/>
    <mergeCell ref="D257:E257"/>
    <mergeCell ref="F241:G241"/>
    <mergeCell ref="D228:E228"/>
    <mergeCell ref="D221:E221"/>
    <mergeCell ref="F150:G150"/>
    <mergeCell ref="D165:E165"/>
    <mergeCell ref="D291:E291"/>
    <mergeCell ref="F265:G265"/>
    <mergeCell ref="D159:E159"/>
    <mergeCell ref="D80:E80"/>
    <mergeCell ref="F55:G55"/>
    <mergeCell ref="D288:E288"/>
    <mergeCell ref="F169:G169"/>
    <mergeCell ref="D136:E136"/>
    <mergeCell ref="D154:E154"/>
    <mergeCell ref="D225:E225"/>
    <mergeCell ref="D200:E200"/>
    <mergeCell ref="F129:G129"/>
    <mergeCell ref="F200:G200"/>
    <mergeCell ref="D317:E317"/>
    <mergeCell ref="D146:E146"/>
    <mergeCell ref="D304:E304"/>
    <mergeCell ref="F333:G333"/>
    <mergeCell ref="D12:E12"/>
    <mergeCell ref="D83:E83"/>
    <mergeCell ref="D143:E143"/>
    <mergeCell ref="D319:E319"/>
    <mergeCell ref="F270:G270"/>
    <mergeCell ref="F245:G245"/>
    <mergeCell ref="F49:G49"/>
    <mergeCell ref="D14:E14"/>
    <mergeCell ref="D256:E256"/>
    <mergeCell ref="F14:G14"/>
    <mergeCell ref="D207:E207"/>
    <mergeCell ref="D85:E85"/>
    <mergeCell ref="D299:E299"/>
    <mergeCell ref="F299:G299"/>
    <mergeCell ref="D222:E222"/>
    <mergeCell ref="F78:G78"/>
    <mergeCell ref="D314:E314"/>
    <mergeCell ref="F205:G205"/>
    <mergeCell ref="F314:G314"/>
    <mergeCell ref="F65:G65"/>
    <mergeCell ref="H3:I3"/>
    <mergeCell ref="D39:E39"/>
    <mergeCell ref="F239:G239"/>
    <mergeCell ref="F39:G39"/>
    <mergeCell ref="F337:G337"/>
    <mergeCell ref="A1:I1"/>
    <mergeCell ref="D89:E89"/>
    <mergeCell ref="F64:G64"/>
    <mergeCell ref="F257:G257"/>
    <mergeCell ref="D153:E153"/>
    <mergeCell ref="F178:G178"/>
    <mergeCell ref="D128:E128"/>
    <mergeCell ref="D199:E199"/>
    <mergeCell ref="F128:G128"/>
    <mergeCell ref="D186:E186"/>
    <mergeCell ref="D217:E217"/>
    <mergeCell ref="F217:G217"/>
    <mergeCell ref="D65:E65"/>
    <mergeCell ref="F192:G192"/>
    <mergeCell ref="F21:G21"/>
    <mergeCell ref="F252:G252"/>
    <mergeCell ref="D194:E194"/>
    <mergeCell ref="F194:G194"/>
    <mergeCell ref="F50:G50"/>
    <mergeCell ref="F349:G349"/>
    <mergeCell ref="F57:G57"/>
    <mergeCell ref="F171:G171"/>
    <mergeCell ref="D138:E138"/>
    <mergeCell ref="D203:E203"/>
    <mergeCell ref="D140:E140"/>
    <mergeCell ref="D267:E267"/>
    <mergeCell ref="F267:G267"/>
    <mergeCell ref="D359:E359"/>
    <mergeCell ref="D204:E204"/>
    <mergeCell ref="F204:G204"/>
    <mergeCell ref="D198:E198"/>
    <mergeCell ref="D269:E269"/>
    <mergeCell ref="F198:G198"/>
    <mergeCell ref="D296:E296"/>
    <mergeCell ref="D75:E75"/>
    <mergeCell ref="F75:G75"/>
    <mergeCell ref="D206:E206"/>
    <mergeCell ref="F231:G231"/>
    <mergeCell ref="F262:G262"/>
    <mergeCell ref="F62:G62"/>
    <mergeCell ref="D298:E298"/>
    <mergeCell ref="D181:E181"/>
    <mergeCell ref="D273:E273"/>
    <mergeCell ref="B4:D4"/>
    <mergeCell ref="F312:G312"/>
    <mergeCell ref="D348:E348"/>
    <mergeCell ref="D62:E62"/>
    <mergeCell ref="F13:G13"/>
    <mergeCell ref="D56:E56"/>
    <mergeCell ref="D127:E127"/>
    <mergeCell ref="F56:G56"/>
    <mergeCell ref="D193:E193"/>
    <mergeCell ref="F249:G249"/>
    <mergeCell ref="D176:E176"/>
    <mergeCell ref="F105:G105"/>
    <mergeCell ref="D285:E285"/>
    <mergeCell ref="F176:G176"/>
    <mergeCell ref="F43:G43"/>
    <mergeCell ref="D114:E114"/>
    <mergeCell ref="F170:G170"/>
    <mergeCell ref="F341:G341"/>
    <mergeCell ref="D347:E347"/>
    <mergeCell ref="F347:G347"/>
    <mergeCell ref="D64:E64"/>
    <mergeCell ref="F120:G120"/>
    <mergeCell ref="D51:E51"/>
    <mergeCell ref="F313:G313"/>
    <mergeCell ref="B3:D3"/>
    <mergeCell ref="D74:E74"/>
    <mergeCell ref="D130:E130"/>
    <mergeCell ref="D201:E201"/>
    <mergeCell ref="F130:G130"/>
    <mergeCell ref="D335:E335"/>
    <mergeCell ref="D68:E68"/>
    <mergeCell ref="D188:E188"/>
    <mergeCell ref="D132:E132"/>
    <mergeCell ref="F328:G328"/>
    <mergeCell ref="F157:G157"/>
    <mergeCell ref="F132:G132"/>
    <mergeCell ref="D59:E59"/>
    <mergeCell ref="D295:E295"/>
    <mergeCell ref="D178:E178"/>
    <mergeCell ref="D172:E172"/>
    <mergeCell ref="F234:G234"/>
    <mergeCell ref="F172:G172"/>
    <mergeCell ref="F221:G221"/>
    <mergeCell ref="F196:G196"/>
    <mergeCell ref="F25:G25"/>
    <mergeCell ref="C5:G5"/>
    <mergeCell ref="F123:G123"/>
    <mergeCell ref="D36:E36"/>
    <mergeCell ref="H4:I4"/>
    <mergeCell ref="D40:E40"/>
    <mergeCell ref="D282:E282"/>
    <mergeCell ref="D338:E338"/>
    <mergeCell ref="D233:E233"/>
    <mergeCell ref="F233:G233"/>
    <mergeCell ref="D111:E111"/>
    <mergeCell ref="F40:G40"/>
    <mergeCell ref="D183:E183"/>
    <mergeCell ref="F12:G12"/>
    <mergeCell ref="D248:E248"/>
    <mergeCell ref="D219:E219"/>
    <mergeCell ref="D275:E275"/>
    <mergeCell ref="F248:G248"/>
    <mergeCell ref="F177:G177"/>
    <mergeCell ref="D104:E104"/>
    <mergeCell ref="F104:G104"/>
    <mergeCell ref="F297:G297"/>
    <mergeCell ref="F235:G235"/>
    <mergeCell ref="D185:E185"/>
    <mergeCell ref="D41:E41"/>
    <mergeCell ref="F41:G41"/>
    <mergeCell ref="D277:E277"/>
    <mergeCell ref="F35:G35"/>
    <mergeCell ref="E4:G4"/>
    <mergeCell ref="D343:E343"/>
    <mergeCell ref="D182:E182"/>
    <mergeCell ref="F182:G182"/>
    <mergeCell ref="D280:E280"/>
    <mergeCell ref="F11:G11"/>
    <mergeCell ref="D109:E109"/>
    <mergeCell ref="D345:E345"/>
    <mergeCell ref="F296:G296"/>
    <mergeCell ref="D119:E119"/>
    <mergeCell ref="D190:E190"/>
    <mergeCell ref="D246:E246"/>
    <mergeCell ref="D46:E46"/>
    <mergeCell ref="F246:G246"/>
    <mergeCell ref="D340:E340"/>
    <mergeCell ref="F340:G340"/>
    <mergeCell ref="F302:G302"/>
    <mergeCell ref="F106:G106"/>
    <mergeCell ref="D43:E43"/>
    <mergeCell ref="F243:G243"/>
    <mergeCell ref="D137:E137"/>
    <mergeCell ref="F236:G236"/>
    <mergeCell ref="F223:G223"/>
    <mergeCell ref="F173:G173"/>
    <mergeCell ref="A5:B5"/>
    <mergeCell ref="D264:E264"/>
    <mergeCell ref="F155:G155"/>
    <mergeCell ref="F22:G22"/>
    <mergeCell ref="F264:G264"/>
    <mergeCell ref="D220:E220"/>
    <mergeCell ref="F149:G149"/>
    <mergeCell ref="F220:G220"/>
    <mergeCell ref="D93:E93"/>
    <mergeCell ref="F93:G93"/>
    <mergeCell ref="D157:E157"/>
    <mergeCell ref="F151:G151"/>
    <mergeCell ref="F222:G222"/>
    <mergeCell ref="D251:E251"/>
    <mergeCell ref="D61:E61"/>
    <mergeCell ref="D254:E254"/>
    <mergeCell ref="D48:E48"/>
    <mergeCell ref="D125:E125"/>
    <mergeCell ref="F247:G247"/>
    <mergeCell ref="F125:G125"/>
    <mergeCell ref="F185:G185"/>
    <mergeCell ref="D112:E112"/>
    <mergeCell ref="F107:G107"/>
    <mergeCell ref="D11:E11"/>
    <mergeCell ref="D350:E350"/>
    <mergeCell ref="D27:E27"/>
    <mergeCell ref="D325:E325"/>
    <mergeCell ref="F298:G298"/>
    <mergeCell ref="F154:G154"/>
    <mergeCell ref="F325:G325"/>
    <mergeCell ref="D116:E116"/>
    <mergeCell ref="D352:E352"/>
    <mergeCell ref="D91:E91"/>
    <mergeCell ref="F291:G291"/>
    <mergeCell ref="F91:G91"/>
    <mergeCell ref="D162:E162"/>
    <mergeCell ref="D156:E156"/>
    <mergeCell ref="D327:E327"/>
    <mergeCell ref="F327:G327"/>
    <mergeCell ref="F156:G156"/>
    <mergeCell ref="F180:G180"/>
    <mergeCell ref="D106:E106"/>
    <mergeCell ref="D328:E328"/>
    <mergeCell ref="F287:G287"/>
    <mergeCell ref="D346:E346"/>
    <mergeCell ref="F318:G318"/>
    <mergeCell ref="D283:E283"/>
    <mergeCell ref="D349:E349"/>
    <mergeCell ref="F9:G9"/>
    <mergeCell ref="D167:E167"/>
    <mergeCell ref="D161:E161"/>
    <mergeCell ref="F167:G167"/>
    <mergeCell ref="D232:E232"/>
    <mergeCell ref="F161:G161"/>
    <mergeCell ref="F288:G288"/>
    <mergeCell ref="F136:G136"/>
    <mergeCell ref="F207:G207"/>
    <mergeCell ref="D38:E38"/>
    <mergeCell ref="D169:E169"/>
    <mergeCell ref="F225:G225"/>
    <mergeCell ref="F271:G271"/>
    <mergeCell ref="D63:E63"/>
    <mergeCell ref="F227:G227"/>
    <mergeCell ref="F202:G202"/>
    <mergeCell ref="D96:E96"/>
    <mergeCell ref="F283:G283"/>
    <mergeCell ref="D52:E52"/>
    <mergeCell ref="F278:G278"/>
    <mergeCell ref="F33:G33"/>
    <mergeCell ref="F31:G31"/>
    <mergeCell ref="F273:G273"/>
    <mergeCell ref="F28:G28"/>
    <mergeCell ref="F359:G359"/>
    <mergeCell ref="F148:G148"/>
    <mergeCell ref="D324:E324"/>
    <mergeCell ref="D26:E26"/>
    <mergeCell ref="F275:G275"/>
    <mergeCell ref="D311:E311"/>
    <mergeCell ref="D115:E115"/>
    <mergeCell ref="F54:G54"/>
    <mergeCell ref="D19:E19"/>
    <mergeCell ref="D261:E261"/>
    <mergeCell ref="F19:G19"/>
    <mergeCell ref="D90:E90"/>
    <mergeCell ref="F212:G212"/>
    <mergeCell ref="F146:G146"/>
    <mergeCell ref="F277:G277"/>
    <mergeCell ref="F304:G304"/>
    <mergeCell ref="F83:G83"/>
    <mergeCell ref="F276:G276"/>
    <mergeCell ref="F214:G214"/>
    <mergeCell ref="F319:G319"/>
    <mergeCell ref="F306:G306"/>
    <mergeCell ref="F20:G20"/>
    <mergeCell ref="F85:G85"/>
    <mergeCell ref="D179:E179"/>
    <mergeCell ref="F356:G356"/>
    <mergeCell ref="F160:G160"/>
    <mergeCell ref="D141:E141"/>
    <mergeCell ref="D306:E306"/>
    <mergeCell ref="D135:E135"/>
    <mergeCell ref="F135:G135"/>
    <mergeCell ref="F122:G122"/>
    <mergeCell ref="F153:G153"/>
    <mergeCell ref="F224:G224"/>
    <mergeCell ref="F199:G199"/>
    <mergeCell ref="D235:E235"/>
    <mergeCell ref="D255:E255"/>
    <mergeCell ref="F293:G293"/>
    <mergeCell ref="D322:E322"/>
    <mergeCell ref="D260:E260"/>
    <mergeCell ref="D309:E309"/>
    <mergeCell ref="D148:E148"/>
    <mergeCell ref="D166:E166"/>
    <mergeCell ref="D337:E337"/>
    <mergeCell ref="F303:G303"/>
    <mergeCell ref="D230:E230"/>
    <mergeCell ref="D168:E168"/>
    <mergeCell ref="F230:G230"/>
    <mergeCell ref="D339:E339"/>
    <mergeCell ref="F344:G344"/>
    <mergeCell ref="D31:E31"/>
    <mergeCell ref="D329:E329"/>
    <mergeCell ref="D158:E158"/>
    <mergeCell ref="D229:E229"/>
    <mergeCell ref="F329:G329"/>
    <mergeCell ref="F158:G158"/>
    <mergeCell ref="D6:E6"/>
    <mergeCell ref="D77:E77"/>
    <mergeCell ref="D108:E108"/>
    <mergeCell ref="F133:G133"/>
    <mergeCell ref="D160:E160"/>
    <mergeCell ref="D72:E72"/>
    <mergeCell ref="F72:G72"/>
    <mergeCell ref="D24:E24"/>
    <mergeCell ref="D113:E113"/>
    <mergeCell ref="D88:E88"/>
    <mergeCell ref="F88:G88"/>
    <mergeCell ref="F6:G6"/>
    <mergeCell ref="D103:E103"/>
    <mergeCell ref="D37:E37"/>
    <mergeCell ref="D9:E9"/>
    <mergeCell ref="D180:E180"/>
    <mergeCell ref="D118:E118"/>
    <mergeCell ref="D354:E354"/>
    <mergeCell ref="F112:G112"/>
    <mergeCell ref="F183:G183"/>
    <mergeCell ref="F354:G354"/>
    <mergeCell ref="F348:G348"/>
    <mergeCell ref="F193:G193"/>
    <mergeCell ref="F127:G127"/>
    <mergeCell ref="D356:E356"/>
    <mergeCell ref="F285:G285"/>
    <mergeCell ref="D145:E145"/>
    <mergeCell ref="D316:E316"/>
    <mergeCell ref="D272:E272"/>
    <mergeCell ref="F145:G145"/>
    <mergeCell ref="D210:E210"/>
    <mergeCell ref="F272:G272"/>
    <mergeCell ref="D308:E308"/>
    <mergeCell ref="D209:E209"/>
    <mergeCell ref="D147:E147"/>
    <mergeCell ref="F209:G209"/>
    <mergeCell ref="D274:E274"/>
    <mergeCell ref="D245:E245"/>
    <mergeCell ref="D301:E301"/>
    <mergeCell ref="F274:G274"/>
    <mergeCell ref="D122:E122"/>
    <mergeCell ref="F360:G360"/>
    <mergeCell ref="D139:E139"/>
    <mergeCell ref="F201:G201"/>
    <mergeCell ref="F164:G164"/>
    <mergeCell ref="F139:G139"/>
    <mergeCell ref="F335:G335"/>
    <mergeCell ref="F114:G114"/>
    <mergeCell ref="F228:G228"/>
    <mergeCell ref="F203:G203"/>
    <mergeCell ref="D214:E214"/>
    <mergeCell ref="D284:E284"/>
    <mergeCell ref="D259:E259"/>
    <mergeCell ref="F259:G259"/>
    <mergeCell ref="D326:E326"/>
    <mergeCell ref="D313:E313"/>
    <mergeCell ref="D236:E236"/>
    <mergeCell ref="D117:E117"/>
    <mergeCell ref="F261:G261"/>
    <mergeCell ref="F117:G117"/>
    <mergeCell ref="D353:E353"/>
    <mergeCell ref="F353:G353"/>
    <mergeCell ref="D303:E303"/>
    <mergeCell ref="F254:G254"/>
    <mergeCell ref="D290:E290"/>
    <mergeCell ref="D15:E15"/>
    <mergeCell ref="D142:E142"/>
    <mergeCell ref="D129:E129"/>
    <mergeCell ref="D79:E79"/>
    <mergeCell ref="D315:E315"/>
    <mergeCell ref="D144:E144"/>
    <mergeCell ref="F73:G73"/>
    <mergeCell ref="F266:G266"/>
    <mergeCell ref="D302:E302"/>
    <mergeCell ref="D81:E81"/>
    <mergeCell ref="D208:E208"/>
    <mergeCell ref="F137:G137"/>
    <mergeCell ref="F208:G208"/>
    <mergeCell ref="D300:E300"/>
    <mergeCell ref="F124:G124"/>
    <mergeCell ref="D28:E28"/>
    <mergeCell ref="D92:E92"/>
    <mergeCell ref="F92:G92"/>
    <mergeCell ref="D55:E55"/>
    <mergeCell ref="D30:E30"/>
    <mergeCell ref="D67:E67"/>
    <mergeCell ref="D94:E94"/>
    <mergeCell ref="F290:G290"/>
    <mergeCell ref="F119:G119"/>
    <mergeCell ref="D351:E351"/>
    <mergeCell ref="D47:E47"/>
    <mergeCell ref="F109:G109"/>
    <mergeCell ref="F190:G190"/>
    <mergeCell ref="F46:G46"/>
    <mergeCell ref="F317:G317"/>
    <mergeCell ref="F111:G111"/>
    <mergeCell ref="F61:G61"/>
    <mergeCell ref="F48:G48"/>
    <mergeCell ref="F346:G346"/>
    <mergeCell ref="D69:E69"/>
    <mergeCell ref="F69:G69"/>
    <mergeCell ref="F256:G256"/>
    <mergeCell ref="F51:G51"/>
    <mergeCell ref="D87:E87"/>
    <mergeCell ref="D224:E224"/>
    <mergeCell ref="D211:E211"/>
    <mergeCell ref="F140:G140"/>
    <mergeCell ref="F211:G211"/>
    <mergeCell ref="F67:G67"/>
    <mergeCell ref="F338:G338"/>
    <mergeCell ref="F186:G186"/>
    <mergeCell ref="D82:E82"/>
    <mergeCell ref="F82:G82"/>
    <mergeCell ref="D360:E360"/>
    <mergeCell ref="D189:E189"/>
    <mergeCell ref="F251:G251"/>
    <mergeCell ref="F18:G18"/>
    <mergeCell ref="F322:G322"/>
    <mergeCell ref="F45:G45"/>
    <mergeCell ref="F189:G189"/>
    <mergeCell ref="F238:G238"/>
    <mergeCell ref="F42:G42"/>
    <mergeCell ref="D287:E287"/>
    <mergeCell ref="D66:E66"/>
    <mergeCell ref="D126:E126"/>
    <mergeCell ref="D197:E197"/>
    <mergeCell ref="F66:G66"/>
    <mergeCell ref="F126:G126"/>
    <mergeCell ref="F188:G188"/>
    <mergeCell ref="D253:E253"/>
    <mergeCell ref="D53:E53"/>
    <mergeCell ref="F253:G253"/>
    <mergeCell ref="D289:E289"/>
    <mergeCell ref="F351:G351"/>
    <mergeCell ref="F47:G47"/>
    <mergeCell ref="F240:G240"/>
    <mergeCell ref="F345:G345"/>
    <mergeCell ref="F355:G355"/>
    <mergeCell ref="D7:E7"/>
    <mergeCell ref="D78:E78"/>
    <mergeCell ref="D134:E134"/>
    <mergeCell ref="D205:E205"/>
    <mergeCell ref="F134:G134"/>
    <mergeCell ref="F23:G23"/>
    <mergeCell ref="F121:G121"/>
    <mergeCell ref="D357:E357"/>
    <mergeCell ref="F357:G357"/>
    <mergeCell ref="D71:E71"/>
    <mergeCell ref="F96:G96"/>
    <mergeCell ref="F71:G71"/>
    <mergeCell ref="D332:E332"/>
    <mergeCell ref="D307:E307"/>
    <mergeCell ref="F332:G332"/>
    <mergeCell ref="D98:E98"/>
    <mergeCell ref="D73:E73"/>
    <mergeCell ref="F98:G98"/>
    <mergeCell ref="F175:G175"/>
    <mergeCell ref="F162:G162"/>
    <mergeCell ref="D131:E131"/>
    <mergeCell ref="D258:E258"/>
    <mergeCell ref="F250:G250"/>
    <mergeCell ref="F339:G339"/>
    <mergeCell ref="F168:G168"/>
    <mergeCell ref="F143:G143"/>
    <mergeCell ref="F118:G118"/>
    <mergeCell ref="D45:E45"/>
    <mergeCell ref="D281:E281"/>
    <mergeCell ref="D297:E297"/>
    <mergeCell ref="F326:G326"/>
    <mergeCell ref="D70:E70"/>
    <mergeCell ref="D312:E312"/>
    <mergeCell ref="F70:G70"/>
    <mergeCell ref="D263:E263"/>
    <mergeCell ref="F263:G263"/>
    <mergeCell ref="D238:E238"/>
    <mergeCell ref="D124:E124"/>
    <mergeCell ref="D195:E195"/>
    <mergeCell ref="D240:E240"/>
    <mergeCell ref="F269:G269"/>
    <mergeCell ref="D334:E334"/>
    <mergeCell ref="F206:G206"/>
    <mergeCell ref="D100:E100"/>
    <mergeCell ref="F300:G300"/>
    <mergeCell ref="D330:E330"/>
    <mergeCell ref="F110:G110"/>
    <mergeCell ref="F237:G237"/>
    <mergeCell ref="D60:E60"/>
    <mergeCell ref="D187:E187"/>
    <mergeCell ref="F116:G116"/>
    <mergeCell ref="F16:G16"/>
    <mergeCell ref="F187:G187"/>
    <mergeCell ref="D174:E174"/>
    <mergeCell ref="F103:G103"/>
    <mergeCell ref="F174:G174"/>
    <mergeCell ref="F108:G108"/>
    <mergeCell ref="F17:G17"/>
    <mergeCell ref="D21:E21"/>
    <mergeCell ref="D16:E16"/>
    <mergeCell ref="F38:G38"/>
    <mergeCell ref="D18:E18"/>
    <mergeCell ref="F29:G29"/>
    <mergeCell ref="D17:E17"/>
    <mergeCell ref="F181:G181"/>
    <mergeCell ref="D212:E212"/>
    <mergeCell ref="F141:G141"/>
    <mergeCell ref="D35:E35"/>
  </mergeCells>
  <phoneticPr fontId="30" type="noConversion"/>
  <pageMargins left="0.70866141732283472" right="0.70866141732283472" top="2.165354330708662" bottom="0.43307086614173229" header="0.31496062992125978" footer="0.31496062992125978"/>
  <pageSetup paperSize="9" scale="60" fitToHeight="0" orientation="portrait" horizontalDpi="180" verticalDpi="18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7"/>
  <dimension ref="A1:O92"/>
  <sheetViews>
    <sheetView topLeftCell="A4" zoomScale="90" zoomScaleNormal="90" workbookViewId="0">
      <selection activeCell="J15" sqref="J15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25.77734375" style="246" bestFit="1" customWidth="1"/>
    <col min="11" max="11" width="6.44140625" style="246" bestFit="1" customWidth="1"/>
  </cols>
  <sheetData>
    <row r="1" spans="1:15" ht="30.75" customHeight="1" thickBot="1">
      <c r="A1" s="338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100" t="s">
        <v>1286</v>
      </c>
      <c r="B2" s="337" t="s">
        <v>2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99" t="s">
        <v>9</v>
      </c>
      <c r="B3" s="330" t="s">
        <v>1287</v>
      </c>
      <c r="C3" s="263"/>
      <c r="D3" s="260"/>
      <c r="E3" s="330" t="s">
        <v>11</v>
      </c>
      <c r="F3" s="263"/>
      <c r="G3" s="260"/>
      <c r="H3" s="332" t="s">
        <v>1288</v>
      </c>
      <c r="I3" s="269"/>
      <c r="J3" s="19" t="str">
        <f>B3</f>
        <v>FLUZEPAM 2MG復爾靜</v>
      </c>
      <c r="K3" s="34"/>
      <c r="L3" s="5">
        <f>H7</f>
        <v>52</v>
      </c>
      <c r="M3" s="3">
        <f>SUM(C$8:C$1048576)</f>
        <v>90</v>
      </c>
      <c r="N3" s="3">
        <f>SUM(F:F)</f>
        <v>140</v>
      </c>
      <c r="O3" s="3">
        <f>L3+M3-N3</f>
        <v>2</v>
      </c>
    </row>
    <row r="4" spans="1:15" ht="27.45" customHeight="1">
      <c r="A4" s="99" t="s">
        <v>14</v>
      </c>
      <c r="B4" s="330" t="s">
        <v>405</v>
      </c>
      <c r="C4" s="263"/>
      <c r="D4" s="260"/>
      <c r="E4" s="330" t="s">
        <v>16</v>
      </c>
      <c r="F4" s="263"/>
      <c r="G4" s="260"/>
      <c r="H4" s="332" t="s">
        <v>1145</v>
      </c>
      <c r="I4" s="269"/>
      <c r="J4" s="12"/>
      <c r="K4" s="3"/>
      <c r="L4" s="3"/>
      <c r="M4" s="3"/>
      <c r="N4" s="3"/>
      <c r="O4" s="3"/>
    </row>
    <row r="5" spans="1:15" ht="24.75" customHeight="1">
      <c r="A5" s="331" t="s">
        <v>18</v>
      </c>
      <c r="B5" s="260"/>
      <c r="C5" s="262" t="s">
        <v>145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212">
        <v>52</v>
      </c>
      <c r="D7" s="336"/>
      <c r="E7" s="260"/>
      <c r="F7" s="336"/>
      <c r="G7" s="260"/>
      <c r="H7" s="212">
        <v>52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335</v>
      </c>
      <c r="B8" s="38" t="s">
        <v>323</v>
      </c>
      <c r="C8" s="17"/>
      <c r="D8" s="266"/>
      <c r="E8" s="260"/>
      <c r="F8" s="266">
        <v>28</v>
      </c>
      <c r="G8" s="260"/>
      <c r="H8" s="17">
        <f>H7-F8</f>
        <v>24</v>
      </c>
      <c r="I8" s="37" t="s">
        <v>414</v>
      </c>
      <c r="J8" s="12"/>
    </row>
    <row r="9" spans="1:15" ht="26.7" customHeight="1">
      <c r="A9" s="39" t="s">
        <v>382</v>
      </c>
      <c r="B9" s="38" t="s">
        <v>324</v>
      </c>
      <c r="C9" s="17">
        <v>10</v>
      </c>
      <c r="D9" s="266" t="s">
        <v>1289</v>
      </c>
      <c r="E9" s="260"/>
      <c r="F9" s="266"/>
      <c r="G9" s="260"/>
      <c r="H9" s="17">
        <v>34</v>
      </c>
      <c r="I9" s="37" t="s">
        <v>414</v>
      </c>
      <c r="J9" s="12"/>
    </row>
    <row r="10" spans="1:15" ht="26.7" customHeight="1">
      <c r="A10" s="39" t="s">
        <v>339</v>
      </c>
      <c r="B10" s="38" t="s">
        <v>323</v>
      </c>
      <c r="C10" s="17"/>
      <c r="D10" s="266"/>
      <c r="E10" s="260"/>
      <c r="F10" s="266">
        <v>28</v>
      </c>
      <c r="G10" s="260"/>
      <c r="H10" s="17">
        <f>H9-F10</f>
        <v>6</v>
      </c>
      <c r="I10" s="234" t="s">
        <v>1290</v>
      </c>
      <c r="J10" s="12"/>
    </row>
    <row r="11" spans="1:15" ht="26.7" customHeight="1">
      <c r="A11" s="39" t="s">
        <v>477</v>
      </c>
      <c r="B11" s="38" t="s">
        <v>324</v>
      </c>
      <c r="C11" s="17">
        <v>50</v>
      </c>
      <c r="D11" s="266" t="s">
        <v>1291</v>
      </c>
      <c r="E11" s="260"/>
      <c r="F11" s="266"/>
      <c r="G11" s="260"/>
      <c r="H11" s="17">
        <v>56</v>
      </c>
      <c r="I11" s="37" t="s">
        <v>414</v>
      </c>
      <c r="J11" s="12"/>
    </row>
    <row r="12" spans="1:15" ht="26.7" customHeight="1">
      <c r="A12" s="39" t="s">
        <v>349</v>
      </c>
      <c r="B12" s="38" t="s">
        <v>323</v>
      </c>
      <c r="C12" s="17"/>
      <c r="D12" s="266"/>
      <c r="E12" s="260"/>
      <c r="F12" s="266">
        <v>28</v>
      </c>
      <c r="G12" s="260"/>
      <c r="H12" s="17">
        <f>H11-F12</f>
        <v>28</v>
      </c>
      <c r="I12" s="257" t="s">
        <v>1292</v>
      </c>
      <c r="J12" s="12"/>
    </row>
    <row r="13" spans="1:15" ht="26.7" customHeight="1">
      <c r="A13" s="39" t="s">
        <v>353</v>
      </c>
      <c r="B13" s="38" t="s">
        <v>323</v>
      </c>
      <c r="C13" s="17"/>
      <c r="D13" s="266"/>
      <c r="E13" s="260"/>
      <c r="F13" s="266">
        <v>28</v>
      </c>
      <c r="G13" s="260"/>
      <c r="H13" s="17">
        <f>H12-F13</f>
        <v>0</v>
      </c>
      <c r="I13" s="234"/>
      <c r="J13" s="12"/>
    </row>
    <row r="14" spans="1:15" ht="26.7" customHeight="1">
      <c r="A14" s="39" t="s">
        <v>369</v>
      </c>
      <c r="B14" s="38" t="s">
        <v>323</v>
      </c>
      <c r="C14" s="17"/>
      <c r="D14" s="266"/>
      <c r="E14" s="260"/>
      <c r="F14" s="266">
        <v>28</v>
      </c>
      <c r="G14" s="260"/>
      <c r="H14" s="17">
        <f>H13-F14</f>
        <v>-28</v>
      </c>
      <c r="I14" s="234" t="s">
        <v>1292</v>
      </c>
      <c r="J14" s="12"/>
    </row>
    <row r="15" spans="1:15" ht="26.7" customHeight="1">
      <c r="A15" s="39" t="s">
        <v>369</v>
      </c>
      <c r="B15" s="38" t="s">
        <v>324</v>
      </c>
      <c r="C15" s="17">
        <v>30</v>
      </c>
      <c r="D15" s="266" t="s">
        <v>1293</v>
      </c>
      <c r="E15" s="260"/>
      <c r="F15" s="266"/>
      <c r="G15" s="260"/>
      <c r="H15" s="17">
        <v>2</v>
      </c>
      <c r="I15" s="37" t="s">
        <v>1290</v>
      </c>
      <c r="J15" s="12" t="s">
        <v>414</v>
      </c>
    </row>
    <row r="16" spans="1:15" ht="26.7" customHeight="1">
      <c r="A16" s="39"/>
      <c r="B16" s="38"/>
      <c r="C16" s="17"/>
      <c r="D16" s="266"/>
      <c r="E16" s="260"/>
      <c r="F16" s="266"/>
      <c r="G16" s="260"/>
      <c r="H16" s="17"/>
      <c r="I16" s="37"/>
      <c r="J16" s="12"/>
    </row>
    <row r="17" spans="1:10" ht="26.7" customHeight="1">
      <c r="A17" s="39"/>
      <c r="B17" s="38"/>
      <c r="C17" s="17"/>
      <c r="D17" s="266"/>
      <c r="E17" s="260"/>
      <c r="F17" s="266"/>
      <c r="G17" s="260"/>
      <c r="H17" s="17"/>
      <c r="I17" s="37"/>
      <c r="J17" s="12"/>
    </row>
    <row r="18" spans="1:10" ht="26.7" customHeight="1">
      <c r="A18" s="39"/>
      <c r="B18" s="38"/>
      <c r="C18" s="17"/>
      <c r="D18" s="266"/>
      <c r="E18" s="260"/>
      <c r="F18" s="266"/>
      <c r="G18" s="260"/>
      <c r="H18" s="17"/>
      <c r="I18" s="37"/>
      <c r="J18" s="12"/>
    </row>
    <row r="19" spans="1:10" ht="19.5" customHeight="1">
      <c r="A19" s="39"/>
      <c r="B19" s="38"/>
      <c r="C19" s="17"/>
      <c r="D19" s="266"/>
      <c r="E19" s="260"/>
      <c r="F19" s="266"/>
      <c r="G19" s="260"/>
      <c r="H19" s="17"/>
      <c r="I19" s="37"/>
      <c r="J19" s="3"/>
    </row>
    <row r="20" spans="1:10" ht="19.5" customHeight="1">
      <c r="A20" s="39"/>
      <c r="B20" s="38"/>
      <c r="C20" s="17"/>
      <c r="D20" s="266"/>
      <c r="E20" s="260"/>
      <c r="F20" s="266"/>
      <c r="G20" s="260"/>
      <c r="H20" s="17"/>
      <c r="I20" s="37"/>
    </row>
    <row r="21" spans="1:10" ht="19.5" customHeight="1">
      <c r="A21" s="39"/>
      <c r="B21" s="38"/>
      <c r="C21" s="17"/>
      <c r="D21" s="266"/>
      <c r="E21" s="260"/>
      <c r="F21" s="266"/>
      <c r="G21" s="260"/>
      <c r="H21" s="17"/>
      <c r="I21" s="37"/>
    </row>
    <row r="22" spans="1:10" ht="19.5" customHeight="1">
      <c r="A22" s="39"/>
      <c r="B22" s="38"/>
      <c r="C22" s="17"/>
      <c r="D22" s="266"/>
      <c r="E22" s="260"/>
      <c r="F22" s="266"/>
      <c r="G22" s="260"/>
      <c r="H22" s="17"/>
      <c r="I22" s="37"/>
    </row>
    <row r="23" spans="1:10" ht="19.5" customHeight="1">
      <c r="A23" s="39"/>
      <c r="B23" s="38"/>
      <c r="C23" s="17"/>
      <c r="D23" s="266"/>
      <c r="E23" s="260"/>
      <c r="F23" s="266"/>
      <c r="G23" s="260"/>
      <c r="H23" s="17"/>
      <c r="I23" s="37"/>
    </row>
    <row r="24" spans="1:10" ht="19.5" customHeight="1">
      <c r="A24" s="39"/>
      <c r="B24" s="38"/>
      <c r="C24" s="17"/>
      <c r="D24" s="266"/>
      <c r="E24" s="260"/>
      <c r="F24" s="266"/>
      <c r="G24" s="260"/>
      <c r="H24" s="17"/>
      <c r="I24" s="37"/>
    </row>
    <row r="25" spans="1:10" ht="19.5" customHeight="1">
      <c r="A25" s="39"/>
      <c r="B25" s="38"/>
      <c r="C25" s="17"/>
      <c r="D25" s="266"/>
      <c r="E25" s="260"/>
      <c r="F25" s="266"/>
      <c r="G25" s="260"/>
      <c r="H25" s="17"/>
      <c r="I25" s="37"/>
    </row>
    <row r="26" spans="1:10" ht="21" customHeight="1">
      <c r="A26" s="13"/>
      <c r="B26" s="6"/>
      <c r="C26" s="3"/>
      <c r="D26" s="259"/>
      <c r="E26" s="260"/>
      <c r="F26" s="261"/>
      <c r="G26" s="260"/>
      <c r="H26" s="17"/>
      <c r="I26" s="7"/>
    </row>
    <row r="27" spans="1:10" ht="21" customHeight="1">
      <c r="A27" s="13"/>
      <c r="B27" s="6"/>
      <c r="C27" s="3"/>
      <c r="D27" s="259"/>
      <c r="E27" s="260"/>
      <c r="F27" s="261"/>
      <c r="G27" s="260"/>
      <c r="H27" s="17"/>
      <c r="I27" s="7"/>
    </row>
    <row r="28" spans="1:10" ht="21" customHeight="1">
      <c r="A28" s="13"/>
      <c r="B28" s="6"/>
      <c r="C28" s="3"/>
      <c r="D28" s="259"/>
      <c r="E28" s="260"/>
      <c r="F28" s="261"/>
      <c r="G28" s="260"/>
      <c r="H28" s="17"/>
      <c r="I28" s="7"/>
    </row>
    <row r="29" spans="1:10" ht="21" customHeight="1">
      <c r="A29" s="13"/>
      <c r="B29" s="6"/>
      <c r="C29" s="3"/>
      <c r="D29" s="259"/>
      <c r="E29" s="260"/>
      <c r="F29" s="261"/>
      <c r="G29" s="260"/>
      <c r="H29" s="17"/>
      <c r="I29" s="7"/>
    </row>
    <row r="30" spans="1:10" ht="21" customHeight="1">
      <c r="A30" s="13"/>
      <c r="B30" s="6"/>
      <c r="C30" s="3"/>
      <c r="D30" s="259"/>
      <c r="E30" s="260"/>
      <c r="F30" s="261"/>
      <c r="G30" s="260"/>
      <c r="H30" s="17"/>
      <c r="I30" s="7"/>
    </row>
    <row r="31" spans="1:10" ht="21" customHeight="1">
      <c r="A31" s="13"/>
      <c r="B31" s="6"/>
      <c r="C31" s="3"/>
      <c r="D31" s="259"/>
      <c r="E31" s="260"/>
      <c r="F31" s="261"/>
      <c r="G31" s="260"/>
      <c r="H31" s="17"/>
      <c r="I31" s="7"/>
    </row>
    <row r="32" spans="1:10" ht="21" customHeight="1">
      <c r="A32" s="13"/>
      <c r="B32" s="6"/>
      <c r="C32" s="3"/>
      <c r="D32" s="259"/>
      <c r="E32" s="260"/>
      <c r="F32" s="261"/>
      <c r="G32" s="260"/>
      <c r="H32" s="17"/>
      <c r="I32" s="7"/>
    </row>
    <row r="33" spans="1:9" ht="21" customHeight="1">
      <c r="A33" s="13"/>
      <c r="B33" s="6"/>
      <c r="C33" s="3"/>
      <c r="D33" s="259"/>
      <c r="E33" s="260"/>
      <c r="F33" s="261"/>
      <c r="G33" s="260"/>
      <c r="H33" s="17"/>
      <c r="I33" s="7"/>
    </row>
    <row r="34" spans="1:9" ht="21" customHeight="1">
      <c r="A34" s="13"/>
      <c r="B34" s="6"/>
      <c r="C34" s="3"/>
      <c r="D34" s="259"/>
      <c r="E34" s="260"/>
      <c r="F34" s="261"/>
      <c r="G34" s="260"/>
      <c r="H34" s="1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17"/>
      <c r="I35" s="7"/>
    </row>
    <row r="36" spans="1:9" ht="21" customHeight="1">
      <c r="A36" s="13"/>
      <c r="B36" s="6"/>
      <c r="C36" s="10"/>
      <c r="D36" s="259"/>
      <c r="E36" s="260"/>
      <c r="F36" s="261"/>
      <c r="G36" s="260"/>
      <c r="H36" s="17"/>
      <c r="I36" s="7"/>
    </row>
    <row r="37" spans="1:9" ht="21" customHeight="1">
      <c r="A37" s="13"/>
      <c r="B37" s="8"/>
      <c r="C37" s="10"/>
      <c r="D37" s="259"/>
      <c r="E37" s="260"/>
      <c r="F37" s="261"/>
      <c r="G37" s="260"/>
      <c r="H37" s="17"/>
      <c r="I37" s="11"/>
    </row>
    <row r="38" spans="1:9" ht="21" customHeight="1">
      <c r="A38" s="13"/>
      <c r="B38" s="6"/>
      <c r="C38" s="9"/>
      <c r="D38" s="259"/>
      <c r="E38" s="260"/>
      <c r="F38" s="261"/>
      <c r="G38" s="260"/>
      <c r="H38" s="17"/>
      <c r="I38" s="7"/>
    </row>
    <row r="39" spans="1:9" ht="21" customHeight="1">
      <c r="A39" s="14"/>
      <c r="B39" s="6"/>
      <c r="C39" s="3"/>
      <c r="D39" s="259"/>
      <c r="E39" s="260"/>
      <c r="F39" s="261"/>
      <c r="G39" s="260"/>
      <c r="H39" s="17"/>
      <c r="I39" s="7"/>
    </row>
    <row r="40" spans="1:9" ht="21" customHeight="1">
      <c r="A40" s="14"/>
      <c r="B40" s="6"/>
      <c r="C40" s="3"/>
      <c r="D40" s="259"/>
      <c r="E40" s="260"/>
      <c r="F40" s="261"/>
      <c r="G40" s="260"/>
      <c r="H40" s="17"/>
      <c r="I40" s="7"/>
    </row>
    <row r="41" spans="1:9" ht="21" customHeight="1">
      <c r="A41" s="15"/>
      <c r="B41" s="6"/>
      <c r="C41" s="3"/>
      <c r="D41" s="259"/>
      <c r="E41" s="260"/>
      <c r="F41" s="261"/>
      <c r="G41" s="260"/>
      <c r="H41" s="17"/>
      <c r="I41" s="7"/>
    </row>
    <row r="42" spans="1:9" ht="21" customHeight="1">
      <c r="A42" s="14"/>
      <c r="B42" s="6"/>
      <c r="C42" s="3"/>
      <c r="D42" s="259"/>
      <c r="E42" s="260"/>
      <c r="F42" s="261"/>
      <c r="G42" s="260"/>
      <c r="H42" s="17"/>
      <c r="I42" s="7"/>
    </row>
    <row r="43" spans="1:9" ht="21" customHeight="1">
      <c r="A43" s="14"/>
      <c r="B43" s="6"/>
      <c r="C43" s="3"/>
      <c r="D43" s="259"/>
      <c r="E43" s="260"/>
      <c r="F43" s="261"/>
      <c r="G43" s="260"/>
      <c r="H43" s="17"/>
      <c r="I43" s="7"/>
    </row>
    <row r="44" spans="1:9" ht="21" customHeight="1">
      <c r="A44" s="14"/>
      <c r="B44" s="6"/>
      <c r="C44" s="3"/>
      <c r="D44" s="259"/>
      <c r="E44" s="260"/>
      <c r="F44" s="261"/>
      <c r="G44" s="260"/>
      <c r="H44" s="17"/>
      <c r="I44" s="16"/>
    </row>
    <row r="45" spans="1:9" ht="21" customHeight="1">
      <c r="A45" s="15"/>
      <c r="B45" s="6"/>
      <c r="C45" s="3"/>
      <c r="D45" s="259"/>
      <c r="E45" s="260"/>
      <c r="F45" s="261"/>
      <c r="G45" s="260"/>
      <c r="H45" s="17"/>
      <c r="I45" s="7"/>
    </row>
    <row r="46" spans="1:9" ht="21" customHeight="1">
      <c r="A46" s="15"/>
      <c r="B46" s="6"/>
      <c r="C46" s="3"/>
      <c r="D46" s="259"/>
      <c r="E46" s="260"/>
      <c r="F46" s="261"/>
      <c r="G46" s="260"/>
      <c r="H46" s="17"/>
      <c r="I46" s="7"/>
    </row>
    <row r="47" spans="1:9" ht="21" customHeight="1">
      <c r="A47" s="15"/>
      <c r="B47" s="6"/>
      <c r="C47" s="3"/>
      <c r="D47" s="259"/>
      <c r="E47" s="260"/>
      <c r="F47" s="261"/>
      <c r="G47" s="260"/>
      <c r="H47" s="1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17"/>
      <c r="I48" s="7"/>
    </row>
    <row r="49" spans="1:9" ht="21" customHeight="1">
      <c r="A49" s="14"/>
      <c r="B49" s="6"/>
      <c r="C49" s="9"/>
      <c r="D49" s="259"/>
      <c r="E49" s="260"/>
      <c r="F49" s="261"/>
      <c r="G49" s="260"/>
      <c r="H49" s="1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17"/>
      <c r="I50" s="7"/>
    </row>
    <row r="51" spans="1:9" ht="21" customHeight="1">
      <c r="A51" s="15"/>
      <c r="B51" s="6"/>
      <c r="C51" s="3"/>
      <c r="D51" s="259"/>
      <c r="E51" s="260"/>
      <c r="F51" s="261"/>
      <c r="G51" s="260"/>
      <c r="H51" s="1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1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1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17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1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1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1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1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17"/>
      <c r="I59" s="7"/>
    </row>
    <row r="60" spans="1:9" ht="21" customHeight="1">
      <c r="A60" s="14"/>
      <c r="B60" s="6"/>
      <c r="C60" s="3"/>
      <c r="D60" s="259"/>
      <c r="E60" s="260"/>
      <c r="F60" s="261"/>
      <c r="G60" s="260"/>
      <c r="H60" s="1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1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1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1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1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1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1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1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1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17"/>
      <c r="I69" s="7"/>
    </row>
    <row r="70" spans="1:9" ht="21" customHeight="1">
      <c r="A70" s="14"/>
      <c r="B70" s="8"/>
      <c r="C70" s="9"/>
      <c r="D70" s="259"/>
      <c r="E70" s="260"/>
      <c r="F70" s="261"/>
      <c r="G70" s="260"/>
      <c r="H70" s="17"/>
      <c r="I70" s="7"/>
    </row>
    <row r="71" spans="1:9" ht="21" customHeight="1">
      <c r="A71" s="14"/>
      <c r="B71" s="6"/>
      <c r="C71" s="3"/>
      <c r="D71" s="259"/>
      <c r="E71" s="260"/>
      <c r="F71" s="261"/>
      <c r="G71" s="260"/>
      <c r="H71" s="17"/>
      <c r="I71" s="7"/>
    </row>
    <row r="72" spans="1:9" ht="21" customHeight="1">
      <c r="A72" s="15"/>
      <c r="B72" s="8"/>
      <c r="C72" s="9"/>
      <c r="D72" s="259"/>
      <c r="E72" s="260"/>
      <c r="F72" s="261"/>
      <c r="G72" s="260"/>
      <c r="H72" s="17"/>
      <c r="I72" s="11"/>
    </row>
    <row r="73" spans="1:9" ht="21" customHeight="1">
      <c r="A73" s="15"/>
      <c r="B73" s="6"/>
      <c r="C73" s="3"/>
      <c r="D73" s="259"/>
      <c r="E73" s="260"/>
      <c r="F73" s="261"/>
      <c r="G73" s="260"/>
      <c r="H73" s="17"/>
      <c r="I73" s="7"/>
    </row>
    <row r="74" spans="1:9" ht="21" customHeight="1">
      <c r="A74" s="15"/>
      <c r="B74" s="6"/>
      <c r="C74" s="9"/>
      <c r="D74" s="259"/>
      <c r="E74" s="260"/>
      <c r="F74" s="261"/>
      <c r="G74" s="260"/>
      <c r="H74" s="1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1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1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17"/>
      <c r="I77" s="7"/>
    </row>
    <row r="78" spans="1:9" ht="21" customHeight="1">
      <c r="A78" s="14"/>
      <c r="B78" s="6"/>
      <c r="C78" s="3"/>
      <c r="D78" s="259"/>
      <c r="E78" s="260"/>
      <c r="F78" s="261"/>
      <c r="G78" s="260"/>
      <c r="H78" s="17"/>
      <c r="I78" s="7"/>
    </row>
    <row r="79" spans="1:9" ht="21" customHeight="1">
      <c r="A79" s="15"/>
      <c r="B79" s="6"/>
      <c r="C79" s="3"/>
      <c r="D79" s="259"/>
      <c r="E79" s="260"/>
      <c r="F79" s="261"/>
      <c r="G79" s="260"/>
      <c r="H79" s="17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17"/>
      <c r="I80" s="7"/>
    </row>
    <row r="81" spans="1:9" ht="21" customHeight="1">
      <c r="A81" s="15"/>
      <c r="B81" s="6"/>
      <c r="C81" s="3"/>
      <c r="D81" s="259"/>
      <c r="E81" s="260"/>
      <c r="F81" s="261"/>
      <c r="G81" s="260"/>
      <c r="H81" s="1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1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1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17"/>
      <c r="I84" s="7"/>
    </row>
    <row r="85" spans="1:9" ht="21" customHeight="1">
      <c r="A85" s="14"/>
      <c r="B85" s="6"/>
      <c r="C85" s="3"/>
      <c r="D85" s="259"/>
      <c r="E85" s="260"/>
      <c r="F85" s="261"/>
      <c r="G85" s="260"/>
      <c r="H85" s="1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17"/>
      <c r="I86" s="7"/>
    </row>
    <row r="87" spans="1:9" ht="21" customHeight="1">
      <c r="A87" s="14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9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</sheetData>
  <mergeCells count="184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92:E92"/>
    <mergeCell ref="D55:E55"/>
    <mergeCell ref="D30:E30"/>
    <mergeCell ref="F92:G92"/>
    <mergeCell ref="D67:E67"/>
    <mergeCell ref="F49:G49"/>
    <mergeCell ref="D14:E14"/>
    <mergeCell ref="E4:G4"/>
    <mergeCell ref="D85:E85"/>
    <mergeCell ref="F14:G14"/>
    <mergeCell ref="D54:E54"/>
    <mergeCell ref="D69:E69"/>
    <mergeCell ref="F11:G11"/>
    <mergeCell ref="F69:G69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D91:E91"/>
    <mergeCell ref="F8:G8"/>
    <mergeCell ref="F91:G91"/>
    <mergeCell ref="A5:B5"/>
    <mergeCell ref="D28:E28"/>
    <mergeCell ref="F22:G22"/>
    <mergeCell ref="D12:E12"/>
    <mergeCell ref="D83:E83"/>
    <mergeCell ref="D25:E25"/>
    <mergeCell ref="F77:G77"/>
    <mergeCell ref="F24:G24"/>
    <mergeCell ref="D57:E57"/>
    <mergeCell ref="F51:G51"/>
    <mergeCell ref="D32:E32"/>
    <mergeCell ref="F32:G32"/>
    <mergeCell ref="D41:E41"/>
    <mergeCell ref="F26:G26"/>
    <mergeCell ref="F41:G41"/>
    <mergeCell ref="F35:G35"/>
    <mergeCell ref="D16:E16"/>
    <mergeCell ref="D87:E87"/>
    <mergeCell ref="F38:G38"/>
    <mergeCell ref="F90:G90"/>
    <mergeCell ref="D43:E43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67:G67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H4:I4"/>
    <mergeCell ref="B2:I2"/>
    <mergeCell ref="E3:G3"/>
    <mergeCell ref="D18:E18"/>
    <mergeCell ref="D58:E58"/>
    <mergeCell ref="D90:E90"/>
    <mergeCell ref="F63:G63"/>
    <mergeCell ref="F34:G34"/>
    <mergeCell ref="F19:G19"/>
    <mergeCell ref="D34:E34"/>
    <mergeCell ref="F6:G6"/>
    <mergeCell ref="F74:G74"/>
    <mergeCell ref="F83:G83"/>
    <mergeCell ref="F30:G30"/>
    <mergeCell ref="D11:E11"/>
    <mergeCell ref="D76:E76"/>
    <mergeCell ref="F20:G20"/>
    <mergeCell ref="F18:G18"/>
    <mergeCell ref="F76:G76"/>
    <mergeCell ref="F33:G33"/>
    <mergeCell ref="F45:G45"/>
    <mergeCell ref="F85:G85"/>
    <mergeCell ref="F42:G42"/>
    <mergeCell ref="D66:E66"/>
    <mergeCell ref="F17:G17"/>
    <mergeCell ref="D75:E75"/>
    <mergeCell ref="F66:G66"/>
    <mergeCell ref="D53:E53"/>
    <mergeCell ref="F75:G75"/>
    <mergeCell ref="D88:E88"/>
    <mergeCell ref="D26:E26"/>
    <mergeCell ref="F57:G57"/>
    <mergeCell ref="F88:G88"/>
    <mergeCell ref="D35:E35"/>
    <mergeCell ref="D10:E10"/>
    <mergeCell ref="F54:G54"/>
    <mergeCell ref="F10:G10"/>
    <mergeCell ref="D19:E19"/>
    <mergeCell ref="D47:E47"/>
    <mergeCell ref="F47:G47"/>
    <mergeCell ref="F62:G62"/>
    <mergeCell ref="D37:E37"/>
    <mergeCell ref="F31:G31"/>
    <mergeCell ref="F46:G46"/>
    <mergeCell ref="F28:G28"/>
    <mergeCell ref="F27:G27"/>
    <mergeCell ref="F58:G58"/>
    <mergeCell ref="F52:G52"/>
    <mergeCell ref="F37:G37"/>
    <mergeCell ref="B4:D4"/>
    <mergeCell ref="F81:G81"/>
    <mergeCell ref="F23:G23"/>
    <mergeCell ref="D62:E62"/>
    <mergeCell ref="D56:E56"/>
    <mergeCell ref="D71:E71"/>
    <mergeCell ref="F13:G13"/>
    <mergeCell ref="F56:G56"/>
    <mergeCell ref="F71:G71"/>
    <mergeCell ref="F43:G43"/>
    <mergeCell ref="D24:E24"/>
    <mergeCell ref="D64:E64"/>
    <mergeCell ref="D33:E33"/>
    <mergeCell ref="D73:E73"/>
    <mergeCell ref="D51:E51"/>
    <mergeCell ref="D9:E9"/>
    <mergeCell ref="F9:G9"/>
    <mergeCell ref="D8:E8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"/>
  <dimension ref="A1:O98"/>
  <sheetViews>
    <sheetView zoomScale="90" zoomScaleNormal="90" workbookViewId="0">
      <selection activeCell="M14" sqref="M14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338" t="s">
        <v>401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100" t="s">
        <v>1294</v>
      </c>
      <c r="B2" s="337" t="s">
        <v>1295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99" t="s">
        <v>9</v>
      </c>
      <c r="B3" s="330" t="s">
        <v>1296</v>
      </c>
      <c r="C3" s="263"/>
      <c r="D3" s="260"/>
      <c r="E3" s="330" t="s">
        <v>11</v>
      </c>
      <c r="F3" s="263"/>
      <c r="G3" s="260"/>
      <c r="H3" s="339" t="s">
        <v>1297</v>
      </c>
      <c r="I3" s="269"/>
      <c r="J3" s="19" t="str">
        <f>B3</f>
        <v>思有得持續性</v>
      </c>
      <c r="K3" s="34" t="s">
        <v>1298</v>
      </c>
      <c r="L3" s="5">
        <f>H7</f>
        <v>4</v>
      </c>
      <c r="M3" s="3">
        <f>SUM(C$8:C$1048576)</f>
        <v>112</v>
      </c>
      <c r="N3" s="3">
        <f>SUM(F:F)</f>
        <v>112</v>
      </c>
      <c r="O3" s="3">
        <f>L3+M3-N3</f>
        <v>4</v>
      </c>
    </row>
    <row r="4" spans="1:15" ht="27.45" customHeight="1">
      <c r="A4" s="99" t="s">
        <v>14</v>
      </c>
      <c r="B4" s="330" t="s">
        <v>405</v>
      </c>
      <c r="C4" s="263"/>
      <c r="D4" s="260"/>
      <c r="E4" s="330" t="s">
        <v>16</v>
      </c>
      <c r="F4" s="263"/>
      <c r="G4" s="260"/>
      <c r="H4" s="332" t="s">
        <v>1299</v>
      </c>
      <c r="I4" s="269"/>
      <c r="J4" s="12"/>
      <c r="K4" s="3"/>
      <c r="L4" s="3"/>
      <c r="M4" s="3"/>
      <c r="N4" s="3"/>
      <c r="O4" s="3"/>
    </row>
    <row r="5" spans="1:15" ht="24.75" customHeight="1">
      <c r="A5" s="331" t="s">
        <v>18</v>
      </c>
      <c r="B5" s="260"/>
      <c r="C5" s="262" t="s">
        <v>182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212">
        <v>4</v>
      </c>
      <c r="D7" s="336"/>
      <c r="E7" s="260"/>
      <c r="F7" s="336"/>
      <c r="G7" s="260"/>
      <c r="H7" s="212">
        <v>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409</v>
      </c>
      <c r="B8" s="38" t="s">
        <v>324</v>
      </c>
      <c r="C8" s="17">
        <v>28</v>
      </c>
      <c r="D8" s="266" t="s">
        <v>1300</v>
      </c>
      <c r="E8" s="260"/>
      <c r="F8" s="266"/>
      <c r="G8" s="260"/>
      <c r="H8" s="17">
        <v>32</v>
      </c>
      <c r="I8" s="108" t="s">
        <v>437</v>
      </c>
      <c r="J8" s="12"/>
      <c r="K8" s="3"/>
      <c r="L8" s="3"/>
      <c r="M8" s="3"/>
      <c r="N8" s="3"/>
      <c r="O8" s="3"/>
    </row>
    <row r="9" spans="1:15" ht="26.7" customHeight="1">
      <c r="A9" s="39" t="s">
        <v>383</v>
      </c>
      <c r="B9" s="38" t="s">
        <v>323</v>
      </c>
      <c r="C9" s="17"/>
      <c r="D9" s="266"/>
      <c r="E9" s="260"/>
      <c r="F9" s="266">
        <v>28</v>
      </c>
      <c r="G9" s="260"/>
      <c r="H9" s="17">
        <f>H8-F9</f>
        <v>4</v>
      </c>
      <c r="I9" s="90" t="s">
        <v>1301</v>
      </c>
      <c r="J9" s="12"/>
      <c r="K9" s="3"/>
      <c r="L9" s="3"/>
      <c r="M9" s="3"/>
      <c r="N9" s="3"/>
      <c r="O9" s="3"/>
    </row>
    <row r="10" spans="1:15" ht="26.7" customHeight="1">
      <c r="A10" s="39" t="s">
        <v>741</v>
      </c>
      <c r="B10" s="38" t="s">
        <v>324</v>
      </c>
      <c r="C10" s="17">
        <v>56</v>
      </c>
      <c r="D10" s="266" t="s">
        <v>1302</v>
      </c>
      <c r="E10" s="260"/>
      <c r="F10" s="266"/>
      <c r="G10" s="260"/>
      <c r="H10" s="17">
        <v>60</v>
      </c>
      <c r="I10" s="108" t="s">
        <v>437</v>
      </c>
      <c r="J10" s="12"/>
    </row>
    <row r="11" spans="1:15" ht="26.7" customHeight="1">
      <c r="A11" s="39" t="s">
        <v>490</v>
      </c>
      <c r="B11" s="38" t="s">
        <v>323</v>
      </c>
      <c r="C11" s="17"/>
      <c r="D11" s="266"/>
      <c r="E11" s="260"/>
      <c r="F11" s="266">
        <v>28</v>
      </c>
      <c r="G11" s="260"/>
      <c r="H11" s="17">
        <f>H10-F11</f>
        <v>32</v>
      </c>
      <c r="I11" s="90" t="s">
        <v>1301</v>
      </c>
      <c r="J11" s="12"/>
    </row>
    <row r="12" spans="1:15" ht="26.7" customHeight="1">
      <c r="A12" s="107" t="s">
        <v>541</v>
      </c>
      <c r="B12" s="6" t="s">
        <v>324</v>
      </c>
      <c r="C12" s="7">
        <v>28</v>
      </c>
      <c r="D12" s="259" t="s">
        <v>1302</v>
      </c>
      <c r="E12" s="260"/>
      <c r="F12" s="261"/>
      <c r="G12" s="260"/>
      <c r="H12" s="7">
        <v>60</v>
      </c>
      <c r="I12" s="108" t="s">
        <v>437</v>
      </c>
      <c r="J12" s="12"/>
    </row>
    <row r="13" spans="1:15" ht="26.7" customHeight="1">
      <c r="A13" s="107" t="s">
        <v>764</v>
      </c>
      <c r="B13" s="38" t="s">
        <v>323</v>
      </c>
      <c r="C13" s="7"/>
      <c r="D13" s="259"/>
      <c r="E13" s="260"/>
      <c r="F13" s="261">
        <v>28</v>
      </c>
      <c r="G13" s="260"/>
      <c r="H13" s="7">
        <f>H12-F13</f>
        <v>32</v>
      </c>
      <c r="I13" s="90" t="s">
        <v>1301</v>
      </c>
      <c r="J13" s="12"/>
    </row>
    <row r="14" spans="1:15" ht="26.7" customHeight="1">
      <c r="A14" s="107" t="s">
        <v>504</v>
      </c>
      <c r="B14" s="38" t="s">
        <v>323</v>
      </c>
      <c r="C14" s="7"/>
      <c r="D14" s="259"/>
      <c r="E14" s="260"/>
      <c r="F14" s="261">
        <v>28</v>
      </c>
      <c r="G14" s="260"/>
      <c r="H14" s="7">
        <f>H13-F14</f>
        <v>4</v>
      </c>
      <c r="I14" s="90" t="s">
        <v>1301</v>
      </c>
      <c r="J14" s="12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8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1.75" customHeight="1" thickBot="1">
      <c r="A25" s="29"/>
      <c r="B25" s="30"/>
      <c r="C25" s="31"/>
      <c r="D25" s="264"/>
      <c r="E25" s="265"/>
      <c r="F25" s="267"/>
      <c r="G25" s="265"/>
      <c r="H25" s="31"/>
      <c r="I25" s="32"/>
      <c r="J25" s="3"/>
    </row>
    <row r="26" spans="1:10" ht="21" customHeight="1">
      <c r="A26" s="20"/>
      <c r="B26" s="21"/>
      <c r="C26" s="22"/>
      <c r="D26" s="276"/>
      <c r="E26" s="277"/>
      <c r="F26" s="278"/>
      <c r="G26" s="277"/>
      <c r="H26" s="22"/>
      <c r="I26" s="22"/>
    </row>
    <row r="27" spans="1:10" ht="21" customHeight="1">
      <c r="A27" s="13"/>
      <c r="B27" s="6"/>
      <c r="C27" s="7"/>
      <c r="D27" s="259"/>
      <c r="E27" s="260"/>
      <c r="F27" s="261"/>
      <c r="G27" s="260"/>
      <c r="H27" s="7"/>
      <c r="I27" s="7"/>
    </row>
    <row r="28" spans="1:10" ht="21" customHeight="1">
      <c r="A28" s="13"/>
      <c r="B28" s="6"/>
      <c r="C28" s="7"/>
      <c r="D28" s="259"/>
      <c r="E28" s="260"/>
      <c r="F28" s="261"/>
      <c r="G28" s="260"/>
      <c r="H28" s="7"/>
      <c r="I28" s="16"/>
    </row>
    <row r="29" spans="1:10" ht="21" customHeight="1">
      <c r="A29" s="13"/>
      <c r="B29" s="6"/>
      <c r="C29" s="7"/>
      <c r="D29" s="259"/>
      <c r="E29" s="260"/>
      <c r="F29" s="261"/>
      <c r="G29" s="260"/>
      <c r="H29" s="7"/>
      <c r="I29" s="7"/>
    </row>
    <row r="30" spans="1:10" ht="21" customHeight="1">
      <c r="A30" s="13"/>
      <c r="B30" s="6"/>
      <c r="C30" s="7"/>
      <c r="D30" s="259"/>
      <c r="E30" s="260"/>
      <c r="F30" s="261"/>
      <c r="G30" s="260"/>
      <c r="H30" s="7"/>
      <c r="I30" s="7"/>
    </row>
    <row r="31" spans="1:10" ht="21" customHeight="1">
      <c r="A31" s="13"/>
      <c r="B31" s="6"/>
      <c r="C31" s="3"/>
      <c r="D31" s="259"/>
      <c r="E31" s="260"/>
      <c r="F31" s="261"/>
      <c r="G31" s="260"/>
      <c r="H31" s="7"/>
      <c r="I31" s="16"/>
    </row>
    <row r="32" spans="1:10" ht="21" customHeight="1">
      <c r="A32" s="13"/>
      <c r="B32" s="6"/>
      <c r="C32" s="3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3"/>
      <c r="D33" s="259"/>
      <c r="E33" s="260"/>
      <c r="F33" s="261"/>
      <c r="G33" s="260"/>
      <c r="H33" s="7"/>
      <c r="I33" s="7"/>
    </row>
    <row r="34" spans="1:9" ht="21" customHeight="1">
      <c r="A34" s="13"/>
      <c r="B34" s="6"/>
      <c r="C34" s="3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10"/>
      <c r="D42" s="259"/>
      <c r="E42" s="260"/>
      <c r="F42" s="261"/>
      <c r="G42" s="260"/>
      <c r="H42" s="7"/>
      <c r="I42" s="7"/>
    </row>
    <row r="43" spans="1:9" ht="21" customHeight="1">
      <c r="A43" s="13"/>
      <c r="B43" s="8"/>
      <c r="C43" s="10"/>
      <c r="D43" s="259"/>
      <c r="E43" s="260"/>
      <c r="F43" s="261"/>
      <c r="G43" s="260"/>
      <c r="H43" s="7"/>
      <c r="I43" s="11"/>
    </row>
    <row r="44" spans="1:9" ht="21" customHeight="1">
      <c r="A44" s="13"/>
      <c r="B44" s="6"/>
      <c r="C44" s="9"/>
      <c r="D44" s="259"/>
      <c r="E44" s="260"/>
      <c r="F44" s="261"/>
      <c r="G44" s="260"/>
      <c r="H44" s="7"/>
      <c r="I44" s="7"/>
    </row>
    <row r="45" spans="1:9" ht="21" customHeight="1">
      <c r="A45" s="14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4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5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4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16"/>
    </row>
    <row r="51" spans="1:9" ht="21" customHeight="1">
      <c r="A51" s="15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5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4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9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5"/>
      <c r="B57" s="6"/>
      <c r="C57" s="3"/>
      <c r="D57" s="259"/>
      <c r="E57" s="260"/>
      <c r="F57" s="261"/>
      <c r="G57" s="260"/>
      <c r="H57" s="7"/>
      <c r="I57" s="7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4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5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4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5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4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8"/>
      <c r="C76" s="9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8"/>
      <c r="C78" s="9"/>
      <c r="D78" s="259"/>
      <c r="E78" s="260"/>
      <c r="F78" s="261"/>
      <c r="G78" s="260"/>
      <c r="H78" s="7"/>
      <c r="I78" s="11"/>
    </row>
    <row r="79" spans="1:9" ht="21" customHeight="1">
      <c r="A79" s="15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6"/>
      <c r="C80" s="9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5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4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9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</sheetData>
  <mergeCells count="196">
    <mergeCell ref="B3:D3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18:E18"/>
    <mergeCell ref="D58:E58"/>
    <mergeCell ref="F27:G27"/>
    <mergeCell ref="F58:G58"/>
    <mergeCell ref="F52:G52"/>
    <mergeCell ref="F67:G67"/>
    <mergeCell ref="D8:E8"/>
    <mergeCell ref="F37:G37"/>
    <mergeCell ref="H4:I4"/>
    <mergeCell ref="D40:E40"/>
    <mergeCell ref="D80:E80"/>
    <mergeCell ref="F40:G40"/>
    <mergeCell ref="D21:E21"/>
    <mergeCell ref="F59:G59"/>
    <mergeCell ref="F55:G55"/>
    <mergeCell ref="D95:E95"/>
    <mergeCell ref="F12:G12"/>
    <mergeCell ref="F24:G24"/>
    <mergeCell ref="F95:G95"/>
    <mergeCell ref="D57:E57"/>
    <mergeCell ref="D74:E74"/>
    <mergeCell ref="E4:G4"/>
    <mergeCell ref="F14:G14"/>
    <mergeCell ref="D54:E54"/>
    <mergeCell ref="D85:E85"/>
    <mergeCell ref="D94:E94"/>
    <mergeCell ref="D69:E69"/>
    <mergeCell ref="F69:G69"/>
    <mergeCell ref="F11:G11"/>
    <mergeCell ref="F78:G78"/>
    <mergeCell ref="F65:G65"/>
    <mergeCell ref="D46:E46"/>
    <mergeCell ref="D89:E89"/>
    <mergeCell ref="D79:E79"/>
    <mergeCell ref="F64:G64"/>
    <mergeCell ref="F73:G73"/>
    <mergeCell ref="F87:G87"/>
    <mergeCell ref="D63:E63"/>
    <mergeCell ref="D81:E81"/>
    <mergeCell ref="F89:G89"/>
    <mergeCell ref="D96:E96"/>
    <mergeCell ref="D65:E65"/>
    <mergeCell ref="D91:E91"/>
    <mergeCell ref="F91:G91"/>
    <mergeCell ref="D93:E93"/>
    <mergeCell ref="F93:G93"/>
    <mergeCell ref="D83:E83"/>
    <mergeCell ref="F77:G77"/>
    <mergeCell ref="D92:E92"/>
    <mergeCell ref="F92:G92"/>
    <mergeCell ref="D67:E67"/>
    <mergeCell ref="H3:I3"/>
    <mergeCell ref="D39:E39"/>
    <mergeCell ref="F61:G61"/>
    <mergeCell ref="F39:G39"/>
    <mergeCell ref="F48:G48"/>
    <mergeCell ref="D15:E15"/>
    <mergeCell ref="D29:E29"/>
    <mergeCell ref="D23:E23"/>
    <mergeCell ref="A1:I1"/>
    <mergeCell ref="D38:E38"/>
    <mergeCell ref="F7:G7"/>
    <mergeCell ref="F21:G21"/>
    <mergeCell ref="D52:E52"/>
    <mergeCell ref="F53:G53"/>
    <mergeCell ref="D49:E49"/>
    <mergeCell ref="D27:E27"/>
    <mergeCell ref="F36:G36"/>
    <mergeCell ref="F50:G50"/>
    <mergeCell ref="D17:E17"/>
    <mergeCell ref="F8:G8"/>
    <mergeCell ref="A5:B5"/>
    <mergeCell ref="D28:E28"/>
    <mergeCell ref="F22:G22"/>
    <mergeCell ref="D12:E12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F74:G74"/>
    <mergeCell ref="F83:G83"/>
    <mergeCell ref="F30:G30"/>
    <mergeCell ref="D76:E76"/>
    <mergeCell ref="F76:G76"/>
    <mergeCell ref="F33:G33"/>
    <mergeCell ref="F45:G45"/>
    <mergeCell ref="F85:G85"/>
    <mergeCell ref="F42:G42"/>
    <mergeCell ref="F94:G94"/>
    <mergeCell ref="B4:D4"/>
    <mergeCell ref="F23:G23"/>
    <mergeCell ref="D62:E62"/>
    <mergeCell ref="D56:E56"/>
    <mergeCell ref="D71:E71"/>
    <mergeCell ref="F13:G13"/>
    <mergeCell ref="F96:G96"/>
    <mergeCell ref="F71:G71"/>
    <mergeCell ref="F56:G56"/>
    <mergeCell ref="F43:G43"/>
    <mergeCell ref="D24:E24"/>
    <mergeCell ref="D64:E64"/>
    <mergeCell ref="D33:E33"/>
    <mergeCell ref="D10:E10"/>
    <mergeCell ref="D19:E19"/>
    <mergeCell ref="F19:G19"/>
    <mergeCell ref="F10:G10"/>
    <mergeCell ref="F6:G6"/>
    <mergeCell ref="D11:E11"/>
    <mergeCell ref="F20:G20"/>
    <mergeCell ref="F18:G18"/>
    <mergeCell ref="D66:E66"/>
    <mergeCell ref="F66:G66"/>
    <mergeCell ref="D75:E75"/>
    <mergeCell ref="D86:E86"/>
    <mergeCell ref="F15:G15"/>
    <mergeCell ref="F86:G86"/>
    <mergeCell ref="D13:E13"/>
    <mergeCell ref="F80:G80"/>
    <mergeCell ref="D61:E61"/>
    <mergeCell ref="D70:E70"/>
    <mergeCell ref="D48:E48"/>
    <mergeCell ref="F70:G70"/>
    <mergeCell ref="F79:G79"/>
    <mergeCell ref="D72:E72"/>
    <mergeCell ref="D78:E78"/>
    <mergeCell ref="F72:G72"/>
    <mergeCell ref="F81:G81"/>
    <mergeCell ref="F17:G17"/>
    <mergeCell ref="D53:E53"/>
    <mergeCell ref="F75:G75"/>
    <mergeCell ref="D47:E47"/>
    <mergeCell ref="F47:G47"/>
    <mergeCell ref="F62:G62"/>
    <mergeCell ref="D37:E37"/>
    <mergeCell ref="F31:G31"/>
    <mergeCell ref="F46:G46"/>
    <mergeCell ref="F28:G28"/>
    <mergeCell ref="D20:E20"/>
    <mergeCell ref="D60:E6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7:E7"/>
    <mergeCell ref="D9:E9"/>
    <mergeCell ref="F9:G9"/>
    <mergeCell ref="D25:E25"/>
    <mergeCell ref="D55:E55"/>
    <mergeCell ref="D30:E30"/>
    <mergeCell ref="F49:G49"/>
    <mergeCell ref="D14:E14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8"/>
  <dimension ref="A1:O100"/>
  <sheetViews>
    <sheetView zoomScaleNormal="100"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338" t="s">
        <v>1303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100" t="s">
        <v>1304</v>
      </c>
      <c r="B2" s="337" t="s">
        <v>1295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99" t="s">
        <v>9</v>
      </c>
      <c r="B3" s="330" t="s">
        <v>1305</v>
      </c>
      <c r="C3" s="263"/>
      <c r="D3" s="260"/>
      <c r="E3" s="330" t="s">
        <v>11</v>
      </c>
      <c r="F3" s="263"/>
      <c r="G3" s="260"/>
      <c r="H3" s="339" t="s">
        <v>1306</v>
      </c>
      <c r="I3" s="269"/>
      <c r="J3" s="19" t="str">
        <f>B3</f>
        <v>Wontran ER 保寧緩視錠</v>
      </c>
      <c r="K3" s="34"/>
      <c r="L3" s="5">
        <f>H7</f>
        <v>4</v>
      </c>
      <c r="M3" s="3">
        <f>SUM(C$8:C$1048576)</f>
        <v>0</v>
      </c>
      <c r="N3" s="3">
        <f>SUM(F:F)</f>
        <v>0</v>
      </c>
      <c r="O3" s="3">
        <f>L3+M3-N3</f>
        <v>4</v>
      </c>
    </row>
    <row r="4" spans="1:15" ht="27.45" customHeight="1">
      <c r="A4" s="99" t="s">
        <v>14</v>
      </c>
      <c r="B4" s="330" t="s">
        <v>15</v>
      </c>
      <c r="C4" s="263"/>
      <c r="D4" s="260"/>
      <c r="E4" s="330" t="s">
        <v>16</v>
      </c>
      <c r="F4" s="263"/>
      <c r="G4" s="260"/>
      <c r="H4" s="332" t="s">
        <v>593</v>
      </c>
      <c r="I4" s="269"/>
      <c r="J4" s="12"/>
      <c r="K4" s="3"/>
      <c r="L4" s="3"/>
      <c r="M4" s="3"/>
      <c r="N4" s="3"/>
      <c r="O4" s="3"/>
    </row>
    <row r="5" spans="1:15" ht="24.75" customHeight="1">
      <c r="A5" s="331" t="s">
        <v>18</v>
      </c>
      <c r="B5" s="260"/>
      <c r="C5" s="262" t="s">
        <v>1307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212">
        <v>4</v>
      </c>
      <c r="D7" s="336"/>
      <c r="E7" s="260"/>
      <c r="F7" s="336"/>
      <c r="G7" s="260"/>
      <c r="H7" s="212">
        <v>4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17"/>
      <c r="D8" s="266"/>
      <c r="E8" s="260"/>
      <c r="F8" s="266"/>
      <c r="G8" s="260"/>
      <c r="H8" s="17"/>
      <c r="I8" s="26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17"/>
      <c r="D9" s="266"/>
      <c r="E9" s="260"/>
      <c r="F9" s="266"/>
      <c r="G9" s="260"/>
      <c r="H9" s="17"/>
      <c r="I9" s="26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17"/>
      <c r="D10" s="266"/>
      <c r="E10" s="260"/>
      <c r="F10" s="266"/>
      <c r="G10" s="260"/>
      <c r="H10" s="17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17"/>
      <c r="D11" s="266"/>
      <c r="E11" s="260"/>
      <c r="F11" s="266"/>
      <c r="G11" s="260"/>
      <c r="H11" s="17"/>
      <c r="I11" s="26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17"/>
      <c r="D12" s="266"/>
      <c r="E12" s="260"/>
      <c r="F12" s="266"/>
      <c r="G12" s="260"/>
      <c r="H12" s="17"/>
      <c r="I12" s="26"/>
      <c r="J12" s="12"/>
    </row>
    <row r="13" spans="1:15" ht="26.7" customHeight="1">
      <c r="A13" s="39"/>
      <c r="B13" s="38"/>
      <c r="C13" s="17"/>
      <c r="D13" s="266"/>
      <c r="E13" s="260"/>
      <c r="F13" s="266"/>
      <c r="G13" s="260"/>
      <c r="H13" s="17"/>
      <c r="I13" s="26"/>
      <c r="J13" s="12"/>
    </row>
    <row r="14" spans="1:15" ht="26.7" customHeight="1">
      <c r="A14" s="25"/>
      <c r="B14" s="6"/>
      <c r="C14" s="7"/>
      <c r="D14" s="259"/>
      <c r="E14" s="260"/>
      <c r="F14" s="261"/>
      <c r="G14" s="260"/>
      <c r="H14" s="7"/>
      <c r="I14" s="26"/>
      <c r="J14" s="12"/>
    </row>
    <row r="15" spans="1:15" ht="26.7" customHeight="1">
      <c r="A15" s="25"/>
      <c r="B15" s="6"/>
      <c r="C15" s="7"/>
      <c r="D15" s="259"/>
      <c r="E15" s="260"/>
      <c r="F15" s="261"/>
      <c r="G15" s="260"/>
      <c r="H15" s="7"/>
      <c r="I15" s="26"/>
      <c r="J15" s="12"/>
    </row>
    <row r="16" spans="1:15" ht="26.7" customHeight="1">
      <c r="A16" s="25"/>
      <c r="B16" s="6"/>
      <c r="C16" s="7"/>
      <c r="D16" s="259"/>
      <c r="E16" s="260"/>
      <c r="F16" s="261"/>
      <c r="G16" s="260"/>
      <c r="H16" s="7"/>
      <c r="I16" s="26"/>
      <c r="J16" s="12"/>
    </row>
    <row r="17" spans="1:10" ht="26.7" customHeight="1">
      <c r="A17" s="25"/>
      <c r="B17" s="6"/>
      <c r="C17" s="7"/>
      <c r="D17" s="259"/>
      <c r="E17" s="260"/>
      <c r="F17" s="261"/>
      <c r="G17" s="260"/>
      <c r="H17" s="7"/>
      <c r="I17" s="26"/>
      <c r="J17" s="12"/>
    </row>
    <row r="18" spans="1:10" ht="26.7" customHeight="1">
      <c r="A18" s="25"/>
      <c r="B18" s="6"/>
      <c r="C18" s="7"/>
      <c r="D18" s="259"/>
      <c r="E18" s="260"/>
      <c r="F18" s="261"/>
      <c r="G18" s="260"/>
      <c r="H18" s="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8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6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6"/>
      <c r="J26" s="12"/>
    </row>
    <row r="27" spans="1:10" ht="21.75" customHeight="1" thickBot="1">
      <c r="A27" s="29"/>
      <c r="B27" s="30"/>
      <c r="C27" s="31"/>
      <c r="D27" s="264"/>
      <c r="E27" s="265"/>
      <c r="F27" s="267"/>
      <c r="G27" s="265"/>
      <c r="H27" s="31"/>
      <c r="I27" s="32"/>
      <c r="J27" s="3"/>
    </row>
    <row r="28" spans="1:10" ht="21" customHeight="1">
      <c r="A28" s="20"/>
      <c r="B28" s="21"/>
      <c r="C28" s="22"/>
      <c r="D28" s="276"/>
      <c r="E28" s="277"/>
      <c r="F28" s="278"/>
      <c r="G28" s="277"/>
      <c r="H28" s="22"/>
      <c r="I28" s="22"/>
    </row>
    <row r="29" spans="1:10" ht="21" customHeight="1">
      <c r="A29" s="13"/>
      <c r="B29" s="6"/>
      <c r="C29" s="7"/>
      <c r="D29" s="259"/>
      <c r="E29" s="260"/>
      <c r="F29" s="261"/>
      <c r="G29" s="260"/>
      <c r="H29" s="7"/>
      <c r="I29" s="7"/>
    </row>
    <row r="30" spans="1:10" ht="21" customHeight="1">
      <c r="A30" s="13"/>
      <c r="B30" s="6"/>
      <c r="C30" s="7"/>
      <c r="D30" s="259"/>
      <c r="E30" s="260"/>
      <c r="F30" s="261"/>
      <c r="G30" s="260"/>
      <c r="H30" s="7"/>
      <c r="I30" s="16"/>
    </row>
    <row r="31" spans="1:10" ht="21" customHeight="1">
      <c r="A31" s="13"/>
      <c r="B31" s="6"/>
      <c r="C31" s="7"/>
      <c r="D31" s="259"/>
      <c r="E31" s="260"/>
      <c r="F31" s="261"/>
      <c r="G31" s="260"/>
      <c r="H31" s="7"/>
      <c r="I31" s="7"/>
    </row>
    <row r="32" spans="1:10" ht="21" customHeight="1">
      <c r="A32" s="13"/>
      <c r="B32" s="6"/>
      <c r="C32" s="7"/>
      <c r="D32" s="259"/>
      <c r="E32" s="260"/>
      <c r="F32" s="261"/>
      <c r="G32" s="260"/>
      <c r="H32" s="7"/>
      <c r="I32" s="7"/>
    </row>
    <row r="33" spans="1:9" ht="21" customHeight="1">
      <c r="A33" s="13"/>
      <c r="B33" s="6"/>
      <c r="C33" s="3"/>
      <c r="D33" s="259"/>
      <c r="E33" s="260"/>
      <c r="F33" s="261"/>
      <c r="G33" s="260"/>
      <c r="H33" s="7"/>
      <c r="I33" s="16"/>
    </row>
    <row r="34" spans="1:9" ht="21" customHeight="1">
      <c r="A34" s="13"/>
      <c r="B34" s="6"/>
      <c r="C34" s="3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3"/>
      <c r="D35" s="259"/>
      <c r="E35" s="260"/>
      <c r="F35" s="261"/>
      <c r="G35" s="260"/>
      <c r="H35" s="7"/>
      <c r="I35" s="7"/>
    </row>
    <row r="36" spans="1:9" ht="21" customHeight="1">
      <c r="A36" s="13"/>
      <c r="B36" s="6"/>
      <c r="C36" s="3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3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7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10"/>
      <c r="D44" s="259"/>
      <c r="E44" s="260"/>
      <c r="F44" s="261"/>
      <c r="G44" s="260"/>
      <c r="H44" s="7"/>
      <c r="I44" s="7"/>
    </row>
    <row r="45" spans="1:9" ht="21" customHeight="1">
      <c r="A45" s="13"/>
      <c r="B45" s="8"/>
      <c r="C45" s="10"/>
      <c r="D45" s="259"/>
      <c r="E45" s="260"/>
      <c r="F45" s="261"/>
      <c r="G45" s="260"/>
      <c r="H45" s="7"/>
      <c r="I45" s="11"/>
    </row>
    <row r="46" spans="1:9" ht="21" customHeight="1">
      <c r="A46" s="13"/>
      <c r="B46" s="6"/>
      <c r="C46" s="9"/>
      <c r="D46" s="259"/>
      <c r="E46" s="260"/>
      <c r="F46" s="261"/>
      <c r="G46" s="260"/>
      <c r="H46" s="7"/>
      <c r="I46" s="7"/>
    </row>
    <row r="47" spans="1:9" ht="21" customHeight="1">
      <c r="A47" s="14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4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5"/>
      <c r="B49" s="6"/>
      <c r="C49" s="3"/>
      <c r="D49" s="259"/>
      <c r="E49" s="260"/>
      <c r="F49" s="261"/>
      <c r="G49" s="260"/>
      <c r="H49" s="7"/>
      <c r="I49" s="7"/>
    </row>
    <row r="50" spans="1:9" ht="21" customHeight="1">
      <c r="A50" s="14"/>
      <c r="B50" s="6"/>
      <c r="C50" s="3"/>
      <c r="D50" s="259"/>
      <c r="E50" s="260"/>
      <c r="F50" s="261"/>
      <c r="G50" s="260"/>
      <c r="H50" s="7"/>
      <c r="I50" s="7"/>
    </row>
    <row r="51" spans="1:9" ht="21" customHeight="1">
      <c r="A51" s="14"/>
      <c r="B51" s="6"/>
      <c r="C51" s="3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16"/>
    </row>
    <row r="53" spans="1:9" ht="21" customHeight="1">
      <c r="A53" s="15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5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9"/>
      <c r="D57" s="259"/>
      <c r="E57" s="260"/>
      <c r="F57" s="261"/>
      <c r="G57" s="260"/>
      <c r="H57" s="7"/>
      <c r="I57" s="7"/>
    </row>
    <row r="58" spans="1:9" ht="21" customHeight="1">
      <c r="A58" s="14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5"/>
      <c r="B62" s="6"/>
      <c r="C62" s="3"/>
      <c r="D62" s="259"/>
      <c r="E62" s="260"/>
      <c r="F62" s="261"/>
      <c r="G62" s="260"/>
      <c r="H62" s="7"/>
      <c r="I62" s="7"/>
    </row>
    <row r="63" spans="1:9" ht="21" customHeight="1">
      <c r="A63" s="15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4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5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4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4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5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5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4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4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4"/>
      <c r="B78" s="8"/>
      <c r="C78" s="9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8"/>
      <c r="C80" s="9"/>
      <c r="D80" s="259"/>
      <c r="E80" s="260"/>
      <c r="F80" s="261"/>
      <c r="G80" s="260"/>
      <c r="H80" s="7"/>
      <c r="I80" s="11"/>
    </row>
    <row r="81" spans="1:9" ht="21" customHeight="1">
      <c r="A81" s="15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5"/>
      <c r="B82" s="6"/>
      <c r="C82" s="9"/>
      <c r="D82" s="259"/>
      <c r="E82" s="260"/>
      <c r="F82" s="261"/>
      <c r="G82" s="260"/>
      <c r="H82" s="7"/>
      <c r="I82" s="7"/>
    </row>
    <row r="83" spans="1:9" ht="21" customHeight="1">
      <c r="A83" s="14"/>
      <c r="B83" s="6"/>
      <c r="C83" s="3"/>
      <c r="D83" s="259"/>
      <c r="E83" s="260"/>
      <c r="F83" s="261"/>
      <c r="G83" s="260"/>
      <c r="H83" s="7"/>
      <c r="I83" s="7"/>
    </row>
    <row r="84" spans="1:9" ht="21" customHeight="1">
      <c r="A84" s="15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6"/>
      <c r="C85" s="3"/>
      <c r="D85" s="259"/>
      <c r="E85" s="260"/>
      <c r="F85" s="261"/>
      <c r="G85" s="260"/>
      <c r="H85" s="7"/>
      <c r="I85" s="7"/>
    </row>
    <row r="86" spans="1:9" ht="21" customHeight="1">
      <c r="A86" s="14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3"/>
      <c r="D87" s="259"/>
      <c r="E87" s="260"/>
      <c r="F87" s="261"/>
      <c r="G87" s="260"/>
      <c r="H87" s="7"/>
      <c r="I87" s="7"/>
    </row>
    <row r="88" spans="1:9" ht="21" customHeight="1">
      <c r="A88" s="15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4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4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4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4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9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</sheetData>
  <mergeCells count="200">
    <mergeCell ref="D95:E95"/>
    <mergeCell ref="F95:G95"/>
    <mergeCell ref="D57:E57"/>
    <mergeCell ref="B2:I2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18:E18"/>
    <mergeCell ref="F27:G27"/>
    <mergeCell ref="F58:G58"/>
    <mergeCell ref="F52:G52"/>
    <mergeCell ref="F100:G100"/>
    <mergeCell ref="A5:B5"/>
    <mergeCell ref="D28:E28"/>
    <mergeCell ref="D93:E93"/>
    <mergeCell ref="F22:G22"/>
    <mergeCell ref="F93:G93"/>
    <mergeCell ref="D12:E12"/>
    <mergeCell ref="D83:E83"/>
    <mergeCell ref="D25:E25"/>
    <mergeCell ref="F77:G77"/>
    <mergeCell ref="D92:E92"/>
    <mergeCell ref="D55:E55"/>
    <mergeCell ref="D30:E30"/>
    <mergeCell ref="F92:G92"/>
    <mergeCell ref="D67:E67"/>
    <mergeCell ref="F49:G49"/>
    <mergeCell ref="D14:E14"/>
    <mergeCell ref="D85:E85"/>
    <mergeCell ref="F14:G14"/>
    <mergeCell ref="D54:E54"/>
    <mergeCell ref="D94:E94"/>
    <mergeCell ref="D69:E69"/>
    <mergeCell ref="F11:G11"/>
    <mergeCell ref="F69:G69"/>
    <mergeCell ref="D96:E96"/>
    <mergeCell ref="D65:E65"/>
    <mergeCell ref="F7:G7"/>
    <mergeCell ref="F21:G21"/>
    <mergeCell ref="D52:E52"/>
    <mergeCell ref="D49:E49"/>
    <mergeCell ref="D27:E27"/>
    <mergeCell ref="F36:G36"/>
    <mergeCell ref="F50:G50"/>
    <mergeCell ref="D17:E17"/>
    <mergeCell ref="D91:E91"/>
    <mergeCell ref="F8:G8"/>
    <mergeCell ref="F91:G91"/>
    <mergeCell ref="F78:G78"/>
    <mergeCell ref="F65:G65"/>
    <mergeCell ref="D46:E46"/>
    <mergeCell ref="D40:E40"/>
    <mergeCell ref="D80:E80"/>
    <mergeCell ref="F40:G40"/>
    <mergeCell ref="D21:E21"/>
    <mergeCell ref="F59:G59"/>
    <mergeCell ref="F55:G55"/>
    <mergeCell ref="F12:G12"/>
    <mergeCell ref="F24:G24"/>
    <mergeCell ref="D89:E89"/>
    <mergeCell ref="F44:G44"/>
    <mergeCell ref="D79:E79"/>
    <mergeCell ref="F64:G64"/>
    <mergeCell ref="F73:G73"/>
    <mergeCell ref="F87:G87"/>
    <mergeCell ref="D63:E63"/>
    <mergeCell ref="D81:E81"/>
    <mergeCell ref="F89:G89"/>
    <mergeCell ref="F67:G67"/>
    <mergeCell ref="D74:E74"/>
    <mergeCell ref="D68:E68"/>
    <mergeCell ref="D82:E82"/>
    <mergeCell ref="F82:G82"/>
    <mergeCell ref="F60:G60"/>
    <mergeCell ref="D50:E50"/>
    <mergeCell ref="D44:E44"/>
    <mergeCell ref="D59:E59"/>
    <mergeCell ref="F53:G53"/>
    <mergeCell ref="H3:I3"/>
    <mergeCell ref="F61:G61"/>
    <mergeCell ref="D39:E39"/>
    <mergeCell ref="F39:G39"/>
    <mergeCell ref="F48:G48"/>
    <mergeCell ref="D15:E15"/>
    <mergeCell ref="D29:E29"/>
    <mergeCell ref="D23:E23"/>
    <mergeCell ref="A1:I1"/>
    <mergeCell ref="D38:E38"/>
    <mergeCell ref="E4:G4"/>
    <mergeCell ref="H4:I4"/>
    <mergeCell ref="D8:E8"/>
    <mergeCell ref="F37:G37"/>
    <mergeCell ref="B3:D3"/>
    <mergeCell ref="D42:E42"/>
    <mergeCell ref="D99:E99"/>
    <mergeCell ref="D19:E19"/>
    <mergeCell ref="F6:G6"/>
    <mergeCell ref="F99:G99"/>
    <mergeCell ref="F74:G74"/>
    <mergeCell ref="F83:G83"/>
    <mergeCell ref="F30:G30"/>
    <mergeCell ref="D11:E11"/>
    <mergeCell ref="D76:E76"/>
    <mergeCell ref="F20:G20"/>
    <mergeCell ref="F18:G18"/>
    <mergeCell ref="F33:G33"/>
    <mergeCell ref="F76:G76"/>
    <mergeCell ref="F45:G45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D47:E47"/>
    <mergeCell ref="F96:G96"/>
    <mergeCell ref="F56:G56"/>
    <mergeCell ref="F71:G71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F47:G47"/>
    <mergeCell ref="F62:G62"/>
    <mergeCell ref="D37:E37"/>
    <mergeCell ref="F79:G79"/>
    <mergeCell ref="F70:G70"/>
    <mergeCell ref="D7:E7"/>
    <mergeCell ref="D72:E72"/>
    <mergeCell ref="D78:E78"/>
    <mergeCell ref="F72:G72"/>
    <mergeCell ref="F81:G81"/>
    <mergeCell ref="B4:D4"/>
    <mergeCell ref="F23:G23"/>
    <mergeCell ref="D62:E62"/>
    <mergeCell ref="D56:E56"/>
    <mergeCell ref="D71:E71"/>
    <mergeCell ref="F13:G13"/>
    <mergeCell ref="D10:E10"/>
    <mergeCell ref="F10:G10"/>
    <mergeCell ref="F19:G19"/>
    <mergeCell ref="F31:G31"/>
    <mergeCell ref="F46:G46"/>
    <mergeCell ref="F28:G28"/>
    <mergeCell ref="D9:E9"/>
    <mergeCell ref="F9:G9"/>
    <mergeCell ref="D20:E20"/>
    <mergeCell ref="D60:E60"/>
    <mergeCell ref="D100:E100"/>
    <mergeCell ref="F29:G29"/>
    <mergeCell ref="F16:G16"/>
    <mergeCell ref="F68:G68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  <mergeCell ref="D48:E48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9"/>
  <dimension ref="A1:O105"/>
  <sheetViews>
    <sheetView topLeftCell="A31" zoomScaleNormal="100" workbookViewId="0">
      <selection activeCell="B47" sqref="B47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338" t="s">
        <v>1303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100" t="s">
        <v>1308</v>
      </c>
      <c r="B2" s="337" t="s">
        <v>1295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99" t="s">
        <v>9</v>
      </c>
      <c r="B3" s="330" t="s">
        <v>106</v>
      </c>
      <c r="C3" s="263"/>
      <c r="D3" s="260"/>
      <c r="E3" s="330" t="s">
        <v>11</v>
      </c>
      <c r="F3" s="263"/>
      <c r="G3" s="260"/>
      <c r="H3" s="339"/>
      <c r="I3" s="269"/>
      <c r="J3" s="19" t="str">
        <f>B3</f>
        <v>"井田"醫嗽寧錠</v>
      </c>
      <c r="K3" s="34" t="s">
        <v>1309</v>
      </c>
      <c r="L3" s="5">
        <f>H7</f>
        <v>687</v>
      </c>
      <c r="M3" s="3">
        <f>SUM(C$8:C$1048576)</f>
        <v>0</v>
      </c>
      <c r="N3" s="3">
        <f>SUM(F:F)</f>
        <v>385.5</v>
      </c>
      <c r="O3" s="3">
        <f>L3+M3-N3</f>
        <v>301.5</v>
      </c>
    </row>
    <row r="4" spans="1:15" ht="27.45" customHeight="1">
      <c r="A4" s="99" t="s">
        <v>14</v>
      </c>
      <c r="B4" s="330" t="s">
        <v>15</v>
      </c>
      <c r="C4" s="263"/>
      <c r="D4" s="260"/>
      <c r="E4" s="330" t="s">
        <v>16</v>
      </c>
      <c r="F4" s="263"/>
      <c r="G4" s="260"/>
      <c r="H4" s="332"/>
      <c r="I4" s="269"/>
      <c r="J4" s="12"/>
      <c r="K4" s="3"/>
      <c r="L4" s="3"/>
      <c r="M4" s="3"/>
      <c r="N4" s="3"/>
      <c r="O4" s="3"/>
    </row>
    <row r="5" spans="1:15" ht="24.75" customHeight="1">
      <c r="A5" s="331" t="s">
        <v>18</v>
      </c>
      <c r="B5" s="260"/>
      <c r="C5" s="262" t="s">
        <v>107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687</v>
      </c>
      <c r="D7" s="280"/>
      <c r="E7" s="260"/>
      <c r="F7" s="280"/>
      <c r="G7" s="260"/>
      <c r="H7" s="155">
        <v>687</v>
      </c>
      <c r="I7" s="210" t="s">
        <v>571</v>
      </c>
      <c r="J7" s="12"/>
      <c r="K7" s="3"/>
      <c r="L7" s="3"/>
      <c r="M7" s="3"/>
      <c r="N7" s="3"/>
      <c r="O7" s="3"/>
    </row>
    <row r="8" spans="1:15" ht="26.7" customHeight="1">
      <c r="A8" s="39" t="s">
        <v>521</v>
      </c>
      <c r="B8" s="38" t="s">
        <v>323</v>
      </c>
      <c r="C8" s="17"/>
      <c r="D8" s="266"/>
      <c r="E8" s="260"/>
      <c r="F8" s="266">
        <v>9</v>
      </c>
      <c r="G8" s="260"/>
      <c r="H8" s="17">
        <f t="shared" ref="H8:H51" si="0">H7-F8</f>
        <v>678</v>
      </c>
      <c r="I8" s="37"/>
      <c r="J8" s="12"/>
      <c r="K8" s="3"/>
      <c r="L8" s="3"/>
      <c r="M8" s="3"/>
      <c r="N8" s="3"/>
      <c r="O8" s="3"/>
    </row>
    <row r="9" spans="1:15" ht="26.7" customHeight="1">
      <c r="A9" s="39" t="s">
        <v>762</v>
      </c>
      <c r="B9" s="38" t="s">
        <v>323</v>
      </c>
      <c r="C9" s="17"/>
      <c r="D9" s="266"/>
      <c r="E9" s="260"/>
      <c r="F9" s="266">
        <v>9</v>
      </c>
      <c r="G9" s="260"/>
      <c r="H9" s="17">
        <f t="shared" si="0"/>
        <v>669</v>
      </c>
      <c r="I9" s="26"/>
      <c r="J9" s="12"/>
      <c r="K9" s="3"/>
      <c r="L9" s="3"/>
      <c r="M9" s="3"/>
      <c r="N9" s="3"/>
      <c r="O9" s="3"/>
    </row>
    <row r="10" spans="1:15" ht="26.7" customHeight="1">
      <c r="A10" s="39" t="s">
        <v>524</v>
      </c>
      <c r="B10" s="38" t="s">
        <v>323</v>
      </c>
      <c r="C10" s="17"/>
      <c r="D10" s="266"/>
      <c r="E10" s="260"/>
      <c r="F10" s="266">
        <v>9</v>
      </c>
      <c r="G10" s="260"/>
      <c r="H10" s="17">
        <f t="shared" si="0"/>
        <v>660</v>
      </c>
      <c r="I10" s="26"/>
      <c r="J10" s="12"/>
      <c r="K10" s="3"/>
      <c r="L10" s="3"/>
      <c r="M10" s="3"/>
      <c r="N10" s="3"/>
      <c r="O10" s="3"/>
    </row>
    <row r="11" spans="1:15" ht="26.7" customHeight="1">
      <c r="A11" s="41" t="s">
        <v>337</v>
      </c>
      <c r="B11" s="38" t="s">
        <v>323</v>
      </c>
      <c r="C11" s="17"/>
      <c r="D11" s="266"/>
      <c r="E11" s="260"/>
      <c r="F11" s="266">
        <v>9</v>
      </c>
      <c r="G11" s="260"/>
      <c r="H11" s="17">
        <f t="shared" si="0"/>
        <v>651</v>
      </c>
      <c r="I11" s="26"/>
      <c r="J11" s="12"/>
      <c r="K11" s="3"/>
      <c r="L11" s="3"/>
      <c r="M11" s="3"/>
      <c r="N11" s="3"/>
      <c r="O11" s="3"/>
    </row>
    <row r="12" spans="1:15" ht="26.7" customHeight="1">
      <c r="A12" s="39" t="s">
        <v>525</v>
      </c>
      <c r="B12" s="38" t="s">
        <v>323</v>
      </c>
      <c r="C12" s="17"/>
      <c r="D12" s="266"/>
      <c r="E12" s="260"/>
      <c r="F12" s="266">
        <v>4.5</v>
      </c>
      <c r="G12" s="260"/>
      <c r="H12" s="17">
        <f t="shared" si="0"/>
        <v>646.5</v>
      </c>
      <c r="I12" s="37"/>
      <c r="J12" s="12"/>
      <c r="K12" s="3"/>
      <c r="L12" s="3"/>
      <c r="M12" s="3"/>
      <c r="N12" s="3"/>
      <c r="O12" s="3"/>
    </row>
    <row r="13" spans="1:15" ht="26.7" customHeight="1">
      <c r="A13" s="39" t="s">
        <v>412</v>
      </c>
      <c r="B13" s="38" t="s">
        <v>323</v>
      </c>
      <c r="C13" s="17"/>
      <c r="D13" s="266"/>
      <c r="E13" s="260"/>
      <c r="F13" s="266">
        <v>3</v>
      </c>
      <c r="G13" s="260"/>
      <c r="H13" s="17">
        <f t="shared" si="0"/>
        <v>643.5</v>
      </c>
      <c r="I13" s="26"/>
      <c r="J13" s="12"/>
      <c r="K13" s="3"/>
      <c r="L13" s="3"/>
      <c r="M13" s="3"/>
      <c r="N13" s="3"/>
      <c r="O13" s="3"/>
    </row>
    <row r="14" spans="1:15" ht="26.7" customHeight="1">
      <c r="A14" s="39" t="s">
        <v>384</v>
      </c>
      <c r="B14" s="38" t="s">
        <v>323</v>
      </c>
      <c r="C14" s="17"/>
      <c r="D14" s="266"/>
      <c r="E14" s="260"/>
      <c r="F14" s="266">
        <v>3</v>
      </c>
      <c r="G14" s="260"/>
      <c r="H14" s="17">
        <f t="shared" si="0"/>
        <v>640.5</v>
      </c>
      <c r="I14" s="26"/>
      <c r="J14" s="12"/>
      <c r="K14" s="3"/>
      <c r="L14" s="3"/>
      <c r="M14" s="3"/>
      <c r="N14" s="3"/>
      <c r="O14" s="3"/>
    </row>
    <row r="15" spans="1:15" ht="26.7" customHeight="1">
      <c r="A15" s="39" t="s">
        <v>436</v>
      </c>
      <c r="B15" s="38" t="s">
        <v>323</v>
      </c>
      <c r="C15" s="17"/>
      <c r="D15" s="266"/>
      <c r="E15" s="260"/>
      <c r="F15" s="266">
        <v>9</v>
      </c>
      <c r="G15" s="260"/>
      <c r="H15" s="17">
        <f t="shared" si="0"/>
        <v>631.5</v>
      </c>
      <c r="I15" s="26"/>
      <c r="J15" s="12"/>
      <c r="K15" s="3"/>
      <c r="L15" s="3"/>
      <c r="M15" s="3"/>
      <c r="N15" s="3"/>
      <c r="O15" s="3"/>
    </row>
    <row r="16" spans="1:15" ht="26.7" customHeight="1">
      <c r="A16" s="41" t="s">
        <v>385</v>
      </c>
      <c r="B16" s="38" t="s">
        <v>323</v>
      </c>
      <c r="C16" s="17"/>
      <c r="D16" s="266"/>
      <c r="E16" s="260"/>
      <c r="F16" s="266">
        <v>12</v>
      </c>
      <c r="G16" s="260"/>
      <c r="H16" s="17">
        <f t="shared" si="0"/>
        <v>619.5</v>
      </c>
      <c r="I16" s="26"/>
      <c r="J16" s="12"/>
      <c r="K16" s="3"/>
      <c r="L16" s="3"/>
      <c r="M16" s="3"/>
      <c r="N16" s="3"/>
      <c r="O16" s="3"/>
    </row>
    <row r="17" spans="1:10" ht="26.7" customHeight="1">
      <c r="A17" s="41" t="s">
        <v>340</v>
      </c>
      <c r="B17" s="38" t="s">
        <v>323</v>
      </c>
      <c r="C17" s="17"/>
      <c r="D17" s="266"/>
      <c r="E17" s="260"/>
      <c r="F17" s="266">
        <v>12</v>
      </c>
      <c r="G17" s="260"/>
      <c r="H17" s="17">
        <f t="shared" si="0"/>
        <v>607.5</v>
      </c>
      <c r="I17" s="26"/>
      <c r="J17" s="12"/>
    </row>
    <row r="18" spans="1:10" ht="26.7" customHeight="1">
      <c r="A18" s="58" t="s">
        <v>578</v>
      </c>
      <c r="B18" s="38" t="s">
        <v>323</v>
      </c>
      <c r="C18" s="17"/>
      <c r="D18" s="266"/>
      <c r="E18" s="260"/>
      <c r="F18" s="266">
        <v>9</v>
      </c>
      <c r="G18" s="260"/>
      <c r="H18" s="17">
        <f t="shared" si="0"/>
        <v>598.5</v>
      </c>
      <c r="I18" s="26"/>
      <c r="J18" s="12"/>
    </row>
    <row r="19" spans="1:10" ht="26.7" customHeight="1">
      <c r="A19" s="41" t="s">
        <v>475</v>
      </c>
      <c r="B19" s="38" t="s">
        <v>323</v>
      </c>
      <c r="C19" s="17"/>
      <c r="D19" s="266"/>
      <c r="E19" s="260"/>
      <c r="F19" s="266">
        <v>9</v>
      </c>
      <c r="G19" s="260"/>
      <c r="H19" s="17">
        <f t="shared" si="0"/>
        <v>589.5</v>
      </c>
      <c r="I19" s="26"/>
      <c r="J19" s="12"/>
    </row>
    <row r="20" spans="1:10" ht="26.7" customHeight="1">
      <c r="A20" s="41" t="s">
        <v>476</v>
      </c>
      <c r="B20" s="38" t="s">
        <v>323</v>
      </c>
      <c r="C20" s="17"/>
      <c r="D20" s="266"/>
      <c r="E20" s="260"/>
      <c r="F20" s="266">
        <v>9</v>
      </c>
      <c r="G20" s="260"/>
      <c r="H20" s="17">
        <f t="shared" si="0"/>
        <v>580.5</v>
      </c>
      <c r="I20" s="26"/>
      <c r="J20" s="12"/>
    </row>
    <row r="21" spans="1:10" ht="26.7" customHeight="1">
      <c r="A21" s="39" t="s">
        <v>342</v>
      </c>
      <c r="B21" s="38" t="s">
        <v>323</v>
      </c>
      <c r="C21" s="17"/>
      <c r="D21" s="266"/>
      <c r="E21" s="260"/>
      <c r="F21" s="266">
        <v>9</v>
      </c>
      <c r="G21" s="260"/>
      <c r="H21" s="17">
        <f t="shared" si="0"/>
        <v>571.5</v>
      </c>
      <c r="I21" s="26"/>
      <c r="J21" s="12"/>
    </row>
    <row r="22" spans="1:10" ht="26.7" customHeight="1">
      <c r="A22" s="41" t="s">
        <v>478</v>
      </c>
      <c r="B22" s="38" t="s">
        <v>323</v>
      </c>
      <c r="C22" s="17"/>
      <c r="D22" s="266"/>
      <c r="E22" s="260"/>
      <c r="F22" s="266">
        <v>9</v>
      </c>
      <c r="G22" s="260"/>
      <c r="H22" s="17">
        <f t="shared" si="0"/>
        <v>562.5</v>
      </c>
      <c r="I22" s="26"/>
      <c r="J22" s="12"/>
    </row>
    <row r="23" spans="1:10" ht="26.7" customHeight="1">
      <c r="A23" s="39" t="s">
        <v>438</v>
      </c>
      <c r="B23" s="38" t="s">
        <v>323</v>
      </c>
      <c r="C23" s="17"/>
      <c r="D23" s="266"/>
      <c r="E23" s="260"/>
      <c r="F23" s="266">
        <v>9</v>
      </c>
      <c r="G23" s="260"/>
      <c r="H23" s="17">
        <f t="shared" si="0"/>
        <v>553.5</v>
      </c>
      <c r="I23" s="26"/>
      <c r="J23" s="12"/>
    </row>
    <row r="24" spans="1:10" ht="26.7" customHeight="1">
      <c r="A24" s="41" t="s">
        <v>634</v>
      </c>
      <c r="B24" s="38" t="s">
        <v>323</v>
      </c>
      <c r="C24" s="17"/>
      <c r="D24" s="266"/>
      <c r="E24" s="260"/>
      <c r="F24" s="266">
        <v>18</v>
      </c>
      <c r="G24" s="260"/>
      <c r="H24" s="17">
        <f t="shared" si="0"/>
        <v>535.5</v>
      </c>
      <c r="I24" s="26"/>
      <c r="J24" s="12"/>
    </row>
    <row r="25" spans="1:10" ht="26.7" customHeight="1">
      <c r="A25" s="41" t="s">
        <v>349</v>
      </c>
      <c r="B25" s="38" t="s">
        <v>323</v>
      </c>
      <c r="C25" s="17"/>
      <c r="D25" s="266"/>
      <c r="E25" s="260"/>
      <c r="F25" s="266">
        <v>9</v>
      </c>
      <c r="G25" s="260"/>
      <c r="H25" s="17">
        <f t="shared" si="0"/>
        <v>526.5</v>
      </c>
      <c r="I25" s="26"/>
      <c r="J25" s="12"/>
    </row>
    <row r="26" spans="1:10" ht="26.7" customHeight="1">
      <c r="A26" s="41" t="s">
        <v>531</v>
      </c>
      <c r="B26" s="38" t="s">
        <v>323</v>
      </c>
      <c r="C26" s="17"/>
      <c r="D26" s="266"/>
      <c r="E26" s="260"/>
      <c r="F26" s="266">
        <v>9</v>
      </c>
      <c r="G26" s="260"/>
      <c r="H26" s="17">
        <f t="shared" si="0"/>
        <v>517.5</v>
      </c>
      <c r="I26" s="26"/>
      <c r="J26" s="12"/>
    </row>
    <row r="27" spans="1:10" ht="26.7" customHeight="1">
      <c r="A27" s="41" t="s">
        <v>350</v>
      </c>
      <c r="B27" s="38" t="s">
        <v>323</v>
      </c>
      <c r="C27" s="17"/>
      <c r="D27" s="266"/>
      <c r="E27" s="260"/>
      <c r="F27" s="266">
        <v>18</v>
      </c>
      <c r="G27" s="260"/>
      <c r="H27" s="17">
        <f t="shared" si="0"/>
        <v>499.5</v>
      </c>
      <c r="I27" s="26"/>
      <c r="J27" s="12"/>
    </row>
    <row r="28" spans="1:10" ht="26.7" customHeight="1">
      <c r="A28" s="41" t="s">
        <v>533</v>
      </c>
      <c r="B28" s="38" t="s">
        <v>323</v>
      </c>
      <c r="C28" s="17"/>
      <c r="D28" s="266"/>
      <c r="E28" s="260"/>
      <c r="F28" s="266">
        <v>9</v>
      </c>
      <c r="G28" s="260"/>
      <c r="H28" s="17">
        <f t="shared" si="0"/>
        <v>490.5</v>
      </c>
      <c r="I28" s="26"/>
      <c r="J28" s="12"/>
    </row>
    <row r="29" spans="1:10" ht="26.7" customHeight="1">
      <c r="A29" s="41" t="s">
        <v>482</v>
      </c>
      <c r="B29" s="38" t="s">
        <v>323</v>
      </c>
      <c r="C29" s="17"/>
      <c r="D29" s="266"/>
      <c r="E29" s="260"/>
      <c r="F29" s="266">
        <v>4.5</v>
      </c>
      <c r="G29" s="260"/>
      <c r="H29" s="17">
        <f t="shared" si="0"/>
        <v>486</v>
      </c>
      <c r="I29" s="26"/>
      <c r="J29" s="12"/>
    </row>
    <row r="30" spans="1:10" ht="26.7" customHeight="1">
      <c r="A30" s="41" t="s">
        <v>535</v>
      </c>
      <c r="B30" s="38" t="s">
        <v>323</v>
      </c>
      <c r="C30" s="17"/>
      <c r="D30" s="266"/>
      <c r="E30" s="260"/>
      <c r="F30" s="266">
        <v>13.5</v>
      </c>
      <c r="G30" s="260"/>
      <c r="H30" s="17">
        <f t="shared" si="0"/>
        <v>472.5</v>
      </c>
      <c r="I30" s="26"/>
      <c r="J30" s="12"/>
    </row>
    <row r="31" spans="1:10" ht="26.7" customHeight="1">
      <c r="A31" s="41" t="s">
        <v>483</v>
      </c>
      <c r="B31" s="38" t="s">
        <v>323</v>
      </c>
      <c r="C31" s="17"/>
      <c r="D31" s="266"/>
      <c r="E31" s="260"/>
      <c r="F31" s="266">
        <v>4.5</v>
      </c>
      <c r="G31" s="260"/>
      <c r="H31" s="17">
        <f t="shared" si="0"/>
        <v>468</v>
      </c>
      <c r="I31" s="26"/>
      <c r="J31" s="12"/>
    </row>
    <row r="32" spans="1:10" ht="21" customHeight="1">
      <c r="A32" s="41" t="s">
        <v>351</v>
      </c>
      <c r="B32" s="38" t="s">
        <v>323</v>
      </c>
      <c r="C32" s="17"/>
      <c r="D32" s="266"/>
      <c r="E32" s="260"/>
      <c r="F32" s="266">
        <v>9</v>
      </c>
      <c r="G32" s="260"/>
      <c r="H32" s="17">
        <f t="shared" si="0"/>
        <v>459</v>
      </c>
      <c r="I32" s="26"/>
      <c r="J32" s="3"/>
    </row>
    <row r="33" spans="1:9" ht="21" customHeight="1">
      <c r="A33" s="41" t="s">
        <v>389</v>
      </c>
      <c r="B33" s="38" t="s">
        <v>323</v>
      </c>
      <c r="C33" s="17"/>
      <c r="D33" s="266"/>
      <c r="E33" s="260"/>
      <c r="F33" s="266">
        <v>9</v>
      </c>
      <c r="G33" s="260"/>
      <c r="H33" s="17">
        <f t="shared" si="0"/>
        <v>450</v>
      </c>
      <c r="I33" s="26"/>
    </row>
    <row r="34" spans="1:9" ht="21" customHeight="1">
      <c r="A34" s="41" t="s">
        <v>487</v>
      </c>
      <c r="B34" s="38" t="s">
        <v>323</v>
      </c>
      <c r="C34" s="17"/>
      <c r="D34" s="266"/>
      <c r="E34" s="260"/>
      <c r="F34" s="266">
        <v>4.5</v>
      </c>
      <c r="G34" s="260"/>
      <c r="H34" s="17">
        <f t="shared" si="0"/>
        <v>445.5</v>
      </c>
      <c r="I34" s="26"/>
    </row>
    <row r="35" spans="1:9" ht="21" customHeight="1">
      <c r="A35" s="41" t="s">
        <v>415</v>
      </c>
      <c r="B35" s="38" t="s">
        <v>323</v>
      </c>
      <c r="C35" s="17"/>
      <c r="D35" s="266"/>
      <c r="E35" s="260"/>
      <c r="F35" s="266">
        <v>9</v>
      </c>
      <c r="G35" s="260"/>
      <c r="H35" s="17">
        <f t="shared" si="0"/>
        <v>436.5</v>
      </c>
      <c r="I35" s="26"/>
    </row>
    <row r="36" spans="1:9" ht="21" customHeight="1">
      <c r="A36" s="41" t="s">
        <v>539</v>
      </c>
      <c r="B36" s="38" t="s">
        <v>323</v>
      </c>
      <c r="C36" s="17"/>
      <c r="D36" s="266"/>
      <c r="E36" s="260"/>
      <c r="F36" s="266">
        <v>9</v>
      </c>
      <c r="G36" s="260"/>
      <c r="H36" s="17">
        <f t="shared" si="0"/>
        <v>427.5</v>
      </c>
      <c r="I36" s="26"/>
    </row>
    <row r="37" spans="1:9" ht="21" customHeight="1">
      <c r="A37" s="41" t="s">
        <v>352</v>
      </c>
      <c r="B37" s="38" t="s">
        <v>323</v>
      </c>
      <c r="C37" s="17"/>
      <c r="D37" s="266"/>
      <c r="E37" s="260"/>
      <c r="F37" s="266">
        <v>9</v>
      </c>
      <c r="G37" s="260"/>
      <c r="H37" s="17">
        <f t="shared" si="0"/>
        <v>418.5</v>
      </c>
      <c r="I37" s="26"/>
    </row>
    <row r="38" spans="1:9" ht="21" customHeight="1">
      <c r="A38" s="41" t="s">
        <v>353</v>
      </c>
      <c r="B38" s="38" t="s">
        <v>323</v>
      </c>
      <c r="C38" s="17"/>
      <c r="D38" s="266"/>
      <c r="E38" s="260"/>
      <c r="F38" s="266">
        <v>9</v>
      </c>
      <c r="G38" s="260"/>
      <c r="H38" s="17">
        <f t="shared" si="0"/>
        <v>409.5</v>
      </c>
      <c r="I38" s="26"/>
    </row>
    <row r="39" spans="1:9" ht="21" customHeight="1">
      <c r="A39" s="41" t="s">
        <v>357</v>
      </c>
      <c r="B39" s="38" t="s">
        <v>323</v>
      </c>
      <c r="C39" s="17"/>
      <c r="D39" s="266"/>
      <c r="E39" s="260"/>
      <c r="F39" s="266">
        <v>4.5</v>
      </c>
      <c r="G39" s="260"/>
      <c r="H39" s="17">
        <f t="shared" si="0"/>
        <v>405</v>
      </c>
      <c r="I39" s="26"/>
    </row>
    <row r="40" spans="1:9" ht="21" customHeight="1">
      <c r="A40" s="41" t="s">
        <v>546</v>
      </c>
      <c r="B40" s="38" t="s">
        <v>323</v>
      </c>
      <c r="C40" s="17"/>
      <c r="D40" s="266"/>
      <c r="E40" s="260"/>
      <c r="F40" s="266">
        <v>4.5</v>
      </c>
      <c r="G40" s="260"/>
      <c r="H40" s="17">
        <f t="shared" si="0"/>
        <v>400.5</v>
      </c>
      <c r="I40" s="26"/>
    </row>
    <row r="41" spans="1:9" ht="21" customHeight="1">
      <c r="A41" s="41" t="s">
        <v>583</v>
      </c>
      <c r="B41" s="38" t="s">
        <v>323</v>
      </c>
      <c r="C41" s="17"/>
      <c r="D41" s="266"/>
      <c r="E41" s="260"/>
      <c r="F41" s="266">
        <v>9</v>
      </c>
      <c r="G41" s="260"/>
      <c r="H41" s="17">
        <f t="shared" si="0"/>
        <v>391.5</v>
      </c>
      <c r="I41" s="26"/>
    </row>
    <row r="42" spans="1:9" ht="21" customHeight="1">
      <c r="A42" s="41" t="s">
        <v>764</v>
      </c>
      <c r="B42" s="38" t="s">
        <v>323</v>
      </c>
      <c r="C42" s="17"/>
      <c r="D42" s="266"/>
      <c r="E42" s="260"/>
      <c r="F42" s="266">
        <v>4.5</v>
      </c>
      <c r="G42" s="260"/>
      <c r="H42" s="17">
        <f t="shared" si="0"/>
        <v>387</v>
      </c>
      <c r="I42" s="26"/>
    </row>
    <row r="43" spans="1:9" ht="21" customHeight="1">
      <c r="A43" s="41" t="s">
        <v>499</v>
      </c>
      <c r="B43" s="38" t="s">
        <v>323</v>
      </c>
      <c r="C43" s="17"/>
      <c r="D43" s="266"/>
      <c r="E43" s="260"/>
      <c r="F43" s="266">
        <v>4.5</v>
      </c>
      <c r="G43" s="260"/>
      <c r="H43" s="17">
        <f t="shared" si="0"/>
        <v>382.5</v>
      </c>
      <c r="I43" s="26"/>
    </row>
    <row r="44" spans="1:9" ht="21" customHeight="1">
      <c r="A44" s="41" t="s">
        <v>448</v>
      </c>
      <c r="B44" s="38" t="s">
        <v>323</v>
      </c>
      <c r="C44" s="17"/>
      <c r="D44" s="266"/>
      <c r="E44" s="260"/>
      <c r="F44" s="266">
        <v>9</v>
      </c>
      <c r="G44" s="260"/>
      <c r="H44" s="17">
        <f t="shared" si="0"/>
        <v>373.5</v>
      </c>
      <c r="I44" s="26"/>
    </row>
    <row r="45" spans="1:9" ht="21" customHeight="1">
      <c r="A45" s="41" t="s">
        <v>449</v>
      </c>
      <c r="B45" s="38" t="s">
        <v>323</v>
      </c>
      <c r="C45" s="17"/>
      <c r="D45" s="266"/>
      <c r="E45" s="260"/>
      <c r="F45" s="266">
        <v>9</v>
      </c>
      <c r="G45" s="260"/>
      <c r="H45" s="17">
        <f t="shared" si="0"/>
        <v>364.5</v>
      </c>
      <c r="I45" s="26"/>
    </row>
    <row r="46" spans="1:9" ht="21" customHeight="1">
      <c r="A46" s="41" t="s">
        <v>550</v>
      </c>
      <c r="B46" s="38" t="s">
        <v>323</v>
      </c>
      <c r="C46" s="17"/>
      <c r="D46" s="266"/>
      <c r="E46" s="260"/>
      <c r="F46" s="266">
        <v>18</v>
      </c>
      <c r="G46" s="260"/>
      <c r="H46" s="17">
        <f t="shared" si="0"/>
        <v>346.5</v>
      </c>
      <c r="I46" s="26"/>
    </row>
    <row r="47" spans="1:9" ht="21" customHeight="1">
      <c r="A47" s="258" t="s">
        <v>362</v>
      </c>
      <c r="B47" s="110" t="s">
        <v>323</v>
      </c>
      <c r="C47" s="3"/>
      <c r="D47" s="259"/>
      <c r="E47" s="260"/>
      <c r="F47" s="261">
        <v>9</v>
      </c>
      <c r="G47" s="260"/>
      <c r="H47" s="7">
        <f t="shared" si="0"/>
        <v>337.5</v>
      </c>
      <c r="I47" s="7"/>
    </row>
    <row r="48" spans="1:9" ht="21" customHeight="1">
      <c r="A48" s="13" t="s">
        <v>552</v>
      </c>
      <c r="B48" s="6" t="s">
        <v>323</v>
      </c>
      <c r="C48" s="3"/>
      <c r="D48" s="259"/>
      <c r="E48" s="260"/>
      <c r="F48" s="261">
        <v>13.5</v>
      </c>
      <c r="G48" s="260"/>
      <c r="H48" s="7">
        <f t="shared" si="0"/>
        <v>324</v>
      </c>
      <c r="I48" s="7"/>
    </row>
    <row r="49" spans="1:9" ht="21" customHeight="1">
      <c r="A49" s="13" t="s">
        <v>553</v>
      </c>
      <c r="B49" s="6" t="s">
        <v>323</v>
      </c>
      <c r="C49" s="10"/>
      <c r="D49" s="259"/>
      <c r="E49" s="260"/>
      <c r="F49" s="261">
        <v>4.5</v>
      </c>
      <c r="G49" s="260"/>
      <c r="H49" s="7">
        <f t="shared" si="0"/>
        <v>319.5</v>
      </c>
      <c r="I49" s="7"/>
    </row>
    <row r="50" spans="1:9" ht="21" customHeight="1">
      <c r="A50" s="13" t="s">
        <v>554</v>
      </c>
      <c r="B50" s="8" t="s">
        <v>323</v>
      </c>
      <c r="C50" s="10"/>
      <c r="D50" s="259"/>
      <c r="E50" s="260"/>
      <c r="F50" s="261">
        <v>9</v>
      </c>
      <c r="G50" s="260"/>
      <c r="H50" s="7">
        <f t="shared" si="0"/>
        <v>310.5</v>
      </c>
      <c r="I50" s="11"/>
    </row>
    <row r="51" spans="1:9" ht="21" customHeight="1">
      <c r="A51" s="13" t="s">
        <v>452</v>
      </c>
      <c r="B51" s="6" t="s">
        <v>323</v>
      </c>
      <c r="C51" s="9"/>
      <c r="D51" s="259"/>
      <c r="E51" s="260"/>
      <c r="F51" s="261">
        <v>9</v>
      </c>
      <c r="G51" s="260"/>
      <c r="H51" s="7">
        <f t="shared" si="0"/>
        <v>301.5</v>
      </c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3"/>
      <c r="D57" s="259"/>
      <c r="E57" s="260"/>
      <c r="F57" s="261"/>
      <c r="G57" s="260"/>
      <c r="H57" s="7"/>
      <c r="I57" s="16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9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8"/>
      <c r="C83" s="9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8"/>
      <c r="C85" s="9"/>
      <c r="D85" s="259"/>
      <c r="E85" s="260"/>
      <c r="F85" s="261"/>
      <c r="G85" s="260"/>
      <c r="H85" s="7"/>
      <c r="I85" s="11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9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5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9"/>
      <c r="D104" s="259"/>
      <c r="E104" s="260"/>
      <c r="F104" s="261"/>
      <c r="G104" s="260"/>
      <c r="H104" s="7"/>
      <c r="I104" s="7"/>
    </row>
    <row r="105" spans="1:9" ht="21" customHeight="1">
      <c r="A105" s="14"/>
      <c r="B105" s="6"/>
      <c r="C105" s="3"/>
      <c r="D105" s="259"/>
      <c r="E105" s="260"/>
      <c r="F105" s="261"/>
      <c r="G105" s="260"/>
      <c r="H105" s="7"/>
      <c r="I105" s="7"/>
    </row>
  </sheetData>
  <mergeCells count="210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58:E58"/>
    <mergeCell ref="D18:E18"/>
    <mergeCell ref="F58:G58"/>
    <mergeCell ref="F27:G27"/>
    <mergeCell ref="F52:G52"/>
    <mergeCell ref="H4:I4"/>
    <mergeCell ref="D80:E80"/>
    <mergeCell ref="F40:G40"/>
    <mergeCell ref="D21:E21"/>
    <mergeCell ref="F59:G59"/>
    <mergeCell ref="F55:G55"/>
    <mergeCell ref="F12:G12"/>
    <mergeCell ref="F24:G24"/>
    <mergeCell ref="D95:E95"/>
    <mergeCell ref="F95:G95"/>
    <mergeCell ref="F67:G67"/>
    <mergeCell ref="D8:E8"/>
    <mergeCell ref="F37:G37"/>
    <mergeCell ref="D105:E105"/>
    <mergeCell ref="F21:G21"/>
    <mergeCell ref="D52:E52"/>
    <mergeCell ref="F53:G53"/>
    <mergeCell ref="D49:E49"/>
    <mergeCell ref="D27:E27"/>
    <mergeCell ref="F36:G36"/>
    <mergeCell ref="F50:G50"/>
    <mergeCell ref="F101:G101"/>
    <mergeCell ref="D91:E91"/>
    <mergeCell ref="F91:G91"/>
    <mergeCell ref="F100:G100"/>
    <mergeCell ref="D28:E28"/>
    <mergeCell ref="D93:E93"/>
    <mergeCell ref="F22:G22"/>
    <mergeCell ref="F93:G93"/>
    <mergeCell ref="D102:E102"/>
    <mergeCell ref="F102:G102"/>
    <mergeCell ref="D83:E83"/>
    <mergeCell ref="D25:E25"/>
    <mergeCell ref="F77:G77"/>
    <mergeCell ref="D92:E92"/>
    <mergeCell ref="D55:E55"/>
    <mergeCell ref="D30:E30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D17:E17"/>
    <mergeCell ref="F8:G8"/>
    <mergeCell ref="A5:B5"/>
    <mergeCell ref="D12:E12"/>
    <mergeCell ref="D67:E67"/>
    <mergeCell ref="F49:G49"/>
    <mergeCell ref="D14:E14"/>
    <mergeCell ref="D85:E85"/>
    <mergeCell ref="E4:G4"/>
    <mergeCell ref="F14:G14"/>
    <mergeCell ref="D54:E54"/>
    <mergeCell ref="D69:E69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92:G92"/>
    <mergeCell ref="D94:E94"/>
    <mergeCell ref="F11:G11"/>
    <mergeCell ref="F69:G69"/>
    <mergeCell ref="F78:G78"/>
    <mergeCell ref="F65:G65"/>
    <mergeCell ref="D46:E46"/>
    <mergeCell ref="D40:E40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F96:G96"/>
    <mergeCell ref="F56:G56"/>
    <mergeCell ref="F71:G71"/>
    <mergeCell ref="F105:G105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D99:E99"/>
    <mergeCell ref="F99:G99"/>
    <mergeCell ref="D48:E48"/>
    <mergeCell ref="F70:G70"/>
    <mergeCell ref="F79:G79"/>
    <mergeCell ref="D7:E7"/>
    <mergeCell ref="D72:E72"/>
    <mergeCell ref="D78:E78"/>
    <mergeCell ref="F72:G72"/>
    <mergeCell ref="B4:D4"/>
    <mergeCell ref="F81:G81"/>
    <mergeCell ref="F23:G23"/>
    <mergeCell ref="D62:E62"/>
    <mergeCell ref="D56:E56"/>
    <mergeCell ref="F13:G13"/>
    <mergeCell ref="D71:E71"/>
    <mergeCell ref="D10:E10"/>
    <mergeCell ref="F10:G10"/>
    <mergeCell ref="D19:E19"/>
    <mergeCell ref="F19:G19"/>
    <mergeCell ref="F6:G6"/>
    <mergeCell ref="F74:G7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1"/>
  <dimension ref="A1:O105"/>
  <sheetViews>
    <sheetView zoomScale="95" zoomScaleNormal="95" workbookViewId="0">
      <selection activeCell="A2" sqref="A2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338" t="s">
        <v>1303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100" t="s">
        <v>1310</v>
      </c>
      <c r="B2" s="337" t="s">
        <v>1295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99" t="s">
        <v>9</v>
      </c>
      <c r="B3" s="330" t="s">
        <v>298</v>
      </c>
      <c r="C3" s="263"/>
      <c r="D3" s="260"/>
      <c r="E3" s="330" t="s">
        <v>11</v>
      </c>
      <c r="F3" s="263"/>
      <c r="G3" s="260"/>
      <c r="H3" s="339" t="s">
        <v>1311</v>
      </c>
      <c r="I3" s="269"/>
      <c r="J3" s="19" t="str">
        <f>B3</f>
        <v>LEYOUMIAN 10mg</v>
      </c>
      <c r="K3" s="34"/>
      <c r="L3" s="5">
        <v>0</v>
      </c>
      <c r="M3" s="3">
        <f>SUM(C:C)</f>
        <v>64</v>
      </c>
      <c r="N3" s="3">
        <f>SUM(F:F)</f>
        <v>0</v>
      </c>
      <c r="O3" s="3">
        <f>L3+M3-N3</f>
        <v>64</v>
      </c>
    </row>
    <row r="4" spans="1:15" ht="27.45" customHeight="1">
      <c r="A4" s="99" t="s">
        <v>14</v>
      </c>
      <c r="B4" s="330" t="s">
        <v>15</v>
      </c>
      <c r="C4" s="263"/>
      <c r="D4" s="260"/>
      <c r="E4" s="330" t="s">
        <v>16</v>
      </c>
      <c r="F4" s="263"/>
      <c r="G4" s="260"/>
      <c r="H4" s="332" t="s">
        <v>1312</v>
      </c>
      <c r="I4" s="269"/>
      <c r="J4" s="12"/>
      <c r="K4" s="3"/>
      <c r="L4" s="3"/>
      <c r="M4" s="3"/>
      <c r="N4" s="3"/>
      <c r="O4" s="3"/>
    </row>
    <row r="5" spans="1:15" ht="24.75" customHeight="1">
      <c r="A5" s="331" t="s">
        <v>18</v>
      </c>
      <c r="B5" s="260"/>
      <c r="C5" s="262" t="s">
        <v>1313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25.5" customHeight="1">
      <c r="A7" s="196" t="s">
        <v>29</v>
      </c>
      <c r="B7" s="155" t="s">
        <v>5</v>
      </c>
      <c r="C7" s="155">
        <v>64</v>
      </c>
      <c r="D7" s="280"/>
      <c r="E7" s="260"/>
      <c r="F7" s="280"/>
      <c r="G7" s="260"/>
      <c r="H7" s="155">
        <v>64</v>
      </c>
      <c r="I7" s="210" t="s">
        <v>414</v>
      </c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17"/>
      <c r="D8" s="266"/>
      <c r="E8" s="260"/>
      <c r="F8" s="266"/>
      <c r="G8" s="260"/>
      <c r="H8" s="17"/>
      <c r="I8" s="37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17"/>
      <c r="D9" s="266"/>
      <c r="E9" s="260"/>
      <c r="F9" s="266"/>
      <c r="G9" s="260"/>
      <c r="H9" s="17"/>
      <c r="I9" s="26" t="s">
        <v>414</v>
      </c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17"/>
      <c r="D10" s="266"/>
      <c r="E10" s="260"/>
      <c r="F10" s="266"/>
      <c r="G10" s="260"/>
      <c r="H10" s="17"/>
      <c r="I10" s="26"/>
      <c r="J10" s="12"/>
      <c r="K10" s="3"/>
      <c r="L10" s="3"/>
      <c r="M10" s="3"/>
      <c r="N10" s="3"/>
      <c r="O10" s="3"/>
    </row>
    <row r="11" spans="1:15" ht="26.7" customHeight="1">
      <c r="A11" s="41"/>
      <c r="B11" s="38"/>
      <c r="C11" s="17"/>
      <c r="D11" s="266"/>
      <c r="E11" s="260"/>
      <c r="F11" s="266"/>
      <c r="G11" s="260"/>
      <c r="H11" s="17"/>
      <c r="I11" s="26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17"/>
      <c r="D12" s="266"/>
      <c r="E12" s="260"/>
      <c r="F12" s="266"/>
      <c r="G12" s="260"/>
      <c r="H12" s="17"/>
      <c r="I12" s="37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17"/>
      <c r="D13" s="266"/>
      <c r="E13" s="260"/>
      <c r="F13" s="266"/>
      <c r="G13" s="260"/>
      <c r="H13" s="17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17"/>
      <c r="D14" s="266"/>
      <c r="E14" s="260"/>
      <c r="F14" s="266"/>
      <c r="G14" s="260"/>
      <c r="H14" s="17"/>
      <c r="I14" s="26"/>
      <c r="J14" s="12"/>
      <c r="K14" s="3"/>
      <c r="L14" s="3"/>
      <c r="M14" s="3"/>
      <c r="N14" s="3"/>
      <c r="O14" s="3"/>
    </row>
    <row r="15" spans="1:15" ht="26.7" customHeight="1">
      <c r="A15" s="41"/>
      <c r="B15" s="38"/>
      <c r="C15" s="17"/>
      <c r="D15" s="266"/>
      <c r="E15" s="260"/>
      <c r="F15" s="266"/>
      <c r="G15" s="260"/>
      <c r="H15" s="17"/>
      <c r="I15" s="26"/>
      <c r="J15" s="12"/>
      <c r="K15" s="3"/>
      <c r="L15" s="3"/>
      <c r="M15" s="3"/>
      <c r="N15" s="3"/>
      <c r="O15" s="3"/>
    </row>
    <row r="16" spans="1:15" ht="26.7" customHeight="1">
      <c r="A16" s="41"/>
      <c r="B16" s="38"/>
      <c r="C16" s="17"/>
      <c r="D16" s="266"/>
      <c r="E16" s="260"/>
      <c r="F16" s="266"/>
      <c r="G16" s="260"/>
      <c r="H16" s="17"/>
      <c r="I16" s="26"/>
      <c r="J16" s="12"/>
      <c r="K16" s="3"/>
      <c r="L16" s="3"/>
      <c r="M16" s="3"/>
      <c r="N16" s="3"/>
      <c r="O16" s="3"/>
    </row>
    <row r="17" spans="1:10" ht="26.7" customHeight="1">
      <c r="A17" s="41"/>
      <c r="B17" s="38"/>
      <c r="C17" s="17"/>
      <c r="D17" s="266"/>
      <c r="E17" s="260"/>
      <c r="F17" s="266"/>
      <c r="G17" s="260"/>
      <c r="H17" s="17"/>
      <c r="I17" s="26"/>
      <c r="J17" s="12"/>
    </row>
    <row r="18" spans="1:10" ht="26.7" customHeight="1">
      <c r="A18" s="41"/>
      <c r="B18" s="38"/>
      <c r="C18" s="17"/>
      <c r="D18" s="266"/>
      <c r="E18" s="260"/>
      <c r="F18" s="266"/>
      <c r="G18" s="260"/>
      <c r="H18" s="17"/>
      <c r="I18" s="26"/>
      <c r="J18" s="12"/>
    </row>
    <row r="19" spans="1:10" ht="26.7" customHeight="1">
      <c r="A19" s="41"/>
      <c r="B19" s="38"/>
      <c r="C19" s="17"/>
      <c r="D19" s="266"/>
      <c r="E19" s="260"/>
      <c r="F19" s="266"/>
      <c r="G19" s="260"/>
      <c r="H19" s="17"/>
      <c r="I19" s="26"/>
      <c r="J19" s="12"/>
    </row>
    <row r="20" spans="1:10" ht="26.7" customHeight="1">
      <c r="A20" s="41"/>
      <c r="B20" s="38"/>
      <c r="C20" s="17"/>
      <c r="D20" s="266"/>
      <c r="E20" s="260"/>
      <c r="F20" s="266"/>
      <c r="G20" s="260"/>
      <c r="H20" s="17"/>
      <c r="I20" s="26"/>
      <c r="J20" s="12"/>
    </row>
    <row r="21" spans="1:10" ht="26.7" customHeight="1">
      <c r="A21" s="39"/>
      <c r="B21" s="38"/>
      <c r="C21" s="17"/>
      <c r="D21" s="266"/>
      <c r="E21" s="260"/>
      <c r="F21" s="266"/>
      <c r="G21" s="260"/>
      <c r="H21" s="17"/>
      <c r="I21" s="26"/>
      <c r="J21" s="12"/>
    </row>
    <row r="22" spans="1:10" ht="26.7" customHeight="1">
      <c r="A22" s="41"/>
      <c r="B22" s="38"/>
      <c r="C22" s="17"/>
      <c r="D22" s="266"/>
      <c r="E22" s="260"/>
      <c r="F22" s="266"/>
      <c r="G22" s="260"/>
      <c r="H22" s="17"/>
      <c r="I22" s="26"/>
      <c r="J22" s="12"/>
    </row>
    <row r="23" spans="1:10" ht="26.7" customHeight="1">
      <c r="A23" s="39"/>
      <c r="B23" s="38"/>
      <c r="C23" s="17"/>
      <c r="D23" s="266"/>
      <c r="E23" s="260"/>
      <c r="F23" s="266"/>
      <c r="G23" s="260"/>
      <c r="H23" s="17"/>
      <c r="I23" s="26"/>
      <c r="J23" s="12"/>
    </row>
    <row r="24" spans="1:10" ht="26.7" customHeight="1">
      <c r="A24" s="41"/>
      <c r="B24" s="38"/>
      <c r="C24" s="17"/>
      <c r="D24" s="266"/>
      <c r="E24" s="260"/>
      <c r="F24" s="266"/>
      <c r="G24" s="260"/>
      <c r="H24" s="17"/>
      <c r="I24" s="26"/>
      <c r="J24" s="12"/>
    </row>
    <row r="25" spans="1:10" ht="26.7" customHeight="1">
      <c r="A25" s="41"/>
      <c r="B25" s="38"/>
      <c r="C25" s="17"/>
      <c r="D25" s="266"/>
      <c r="E25" s="260"/>
      <c r="F25" s="266"/>
      <c r="G25" s="260"/>
      <c r="H25" s="17"/>
      <c r="I25" s="26"/>
      <c r="J25" s="12"/>
    </row>
    <row r="26" spans="1:10" ht="26.7" customHeight="1">
      <c r="A26" s="41"/>
      <c r="B26" s="38"/>
      <c r="C26" s="17"/>
      <c r="D26" s="266"/>
      <c r="E26" s="260"/>
      <c r="F26" s="266"/>
      <c r="G26" s="260"/>
      <c r="H26" s="17"/>
      <c r="I26" s="26"/>
      <c r="J26" s="12"/>
    </row>
    <row r="27" spans="1:10" ht="26.7" customHeight="1">
      <c r="A27" s="41"/>
      <c r="B27" s="38"/>
      <c r="C27" s="17"/>
      <c r="D27" s="266"/>
      <c r="E27" s="260"/>
      <c r="F27" s="266"/>
      <c r="G27" s="260"/>
      <c r="H27" s="17"/>
      <c r="I27" s="26"/>
      <c r="J27" s="12"/>
    </row>
    <row r="28" spans="1:10" ht="26.7" customHeight="1">
      <c r="A28" s="41"/>
      <c r="B28" s="38"/>
      <c r="C28" s="17"/>
      <c r="D28" s="266"/>
      <c r="E28" s="260"/>
      <c r="F28" s="266"/>
      <c r="G28" s="260"/>
      <c r="H28" s="17"/>
      <c r="I28" s="26"/>
      <c r="J28" s="12"/>
    </row>
    <row r="29" spans="1:10" ht="26.7" customHeight="1">
      <c r="A29" s="41"/>
      <c r="B29" s="38"/>
      <c r="C29" s="17"/>
      <c r="D29" s="266"/>
      <c r="E29" s="260"/>
      <c r="F29" s="266"/>
      <c r="G29" s="260"/>
      <c r="H29" s="17"/>
      <c r="I29" s="26"/>
      <c r="J29" s="12"/>
    </row>
    <row r="30" spans="1:10" ht="26.7" customHeight="1">
      <c r="A30" s="41"/>
      <c r="B30" s="38"/>
      <c r="C30" s="17"/>
      <c r="D30" s="266"/>
      <c r="E30" s="260"/>
      <c r="F30" s="266"/>
      <c r="G30" s="260"/>
      <c r="H30" s="17"/>
      <c r="I30" s="26"/>
      <c r="J30" s="12"/>
    </row>
    <row r="31" spans="1:10" ht="26.7" customHeight="1">
      <c r="A31" s="41"/>
      <c r="B31" s="38"/>
      <c r="C31" s="17"/>
      <c r="D31" s="266"/>
      <c r="E31" s="260"/>
      <c r="F31" s="266"/>
      <c r="G31" s="260"/>
      <c r="H31" s="17"/>
      <c r="I31" s="26"/>
      <c r="J31" s="12"/>
    </row>
    <row r="32" spans="1:10" ht="21" customHeight="1">
      <c r="A32" s="41"/>
      <c r="B32" s="38"/>
      <c r="C32" s="17"/>
      <c r="D32" s="266"/>
      <c r="E32" s="260"/>
      <c r="F32" s="266"/>
      <c r="G32" s="260"/>
      <c r="H32" s="17"/>
      <c r="I32" s="26"/>
      <c r="J32" s="3"/>
    </row>
    <row r="33" spans="1:9" ht="21" customHeight="1">
      <c r="A33" s="41"/>
      <c r="B33" s="38"/>
      <c r="C33" s="17"/>
      <c r="D33" s="266"/>
      <c r="E33" s="260"/>
      <c r="F33" s="266"/>
      <c r="G33" s="260"/>
      <c r="H33" s="17"/>
      <c r="I33" s="26"/>
    </row>
    <row r="34" spans="1:9" ht="21" customHeight="1">
      <c r="A34" s="41"/>
      <c r="B34" s="38"/>
      <c r="C34" s="17"/>
      <c r="D34" s="266"/>
      <c r="E34" s="260"/>
      <c r="F34" s="266"/>
      <c r="G34" s="260"/>
      <c r="H34" s="17"/>
      <c r="I34" s="26"/>
    </row>
    <row r="35" spans="1:9" ht="21" customHeight="1">
      <c r="A35" s="41"/>
      <c r="B35" s="38"/>
      <c r="C35" s="17"/>
      <c r="D35" s="266"/>
      <c r="E35" s="260"/>
      <c r="F35" s="266"/>
      <c r="G35" s="260"/>
      <c r="H35" s="17"/>
      <c r="I35" s="26"/>
    </row>
    <row r="36" spans="1:9" ht="21" customHeight="1">
      <c r="A36" s="41"/>
      <c r="B36" s="38"/>
      <c r="C36" s="17"/>
      <c r="D36" s="266"/>
      <c r="E36" s="260"/>
      <c r="F36" s="266"/>
      <c r="G36" s="260"/>
      <c r="H36" s="17"/>
      <c r="I36" s="26"/>
    </row>
    <row r="37" spans="1:9" ht="21" customHeight="1">
      <c r="A37" s="41"/>
      <c r="B37" s="38"/>
      <c r="C37" s="17"/>
      <c r="D37" s="266"/>
      <c r="E37" s="260"/>
      <c r="F37" s="266"/>
      <c r="G37" s="260"/>
      <c r="H37" s="17"/>
      <c r="I37" s="26"/>
    </row>
    <row r="38" spans="1:9" ht="21" customHeight="1">
      <c r="A38" s="41"/>
      <c r="B38" s="38"/>
      <c r="C38" s="17"/>
      <c r="D38" s="266"/>
      <c r="E38" s="260"/>
      <c r="F38" s="266"/>
      <c r="G38" s="260"/>
      <c r="H38" s="17"/>
      <c r="I38" s="26"/>
    </row>
    <row r="39" spans="1:9" ht="21" customHeight="1">
      <c r="A39" s="41"/>
      <c r="B39" s="38"/>
      <c r="C39" s="17"/>
      <c r="D39" s="266"/>
      <c r="E39" s="260"/>
      <c r="F39" s="266"/>
      <c r="G39" s="260"/>
      <c r="H39" s="17"/>
      <c r="I39" s="26"/>
    </row>
    <row r="40" spans="1:9" ht="21" customHeight="1">
      <c r="A40" s="41"/>
      <c r="B40" s="38"/>
      <c r="C40" s="17"/>
      <c r="D40" s="266"/>
      <c r="E40" s="260"/>
      <c r="F40" s="266"/>
      <c r="G40" s="260"/>
      <c r="H40" s="17"/>
      <c r="I40" s="26"/>
    </row>
    <row r="41" spans="1:9" ht="21" customHeight="1">
      <c r="A41" s="41"/>
      <c r="B41" s="38"/>
      <c r="C41" s="17"/>
      <c r="D41" s="266"/>
      <c r="E41" s="260"/>
      <c r="F41" s="266"/>
      <c r="G41" s="260"/>
      <c r="H41" s="17"/>
      <c r="I41" s="26"/>
    </row>
    <row r="42" spans="1:9" ht="21" customHeight="1">
      <c r="A42" s="41"/>
      <c r="B42" s="38"/>
      <c r="C42" s="17"/>
      <c r="D42" s="266"/>
      <c r="E42" s="260"/>
      <c r="F42" s="266"/>
      <c r="G42" s="260"/>
      <c r="H42" s="17"/>
      <c r="I42" s="26"/>
    </row>
    <row r="43" spans="1:9" ht="21" customHeight="1">
      <c r="A43" s="41"/>
      <c r="B43" s="38"/>
      <c r="C43" s="17"/>
      <c r="D43" s="266"/>
      <c r="E43" s="260"/>
      <c r="F43" s="266"/>
      <c r="G43" s="260"/>
      <c r="H43" s="17"/>
      <c r="I43" s="26"/>
    </row>
    <row r="44" spans="1:9" ht="21" customHeight="1">
      <c r="A44" s="41"/>
      <c r="B44" s="38"/>
      <c r="C44" s="17"/>
      <c r="D44" s="266"/>
      <c r="E44" s="260"/>
      <c r="F44" s="266"/>
      <c r="G44" s="260"/>
      <c r="H44" s="17"/>
      <c r="I44" s="26"/>
    </row>
    <row r="45" spans="1:9" ht="21" customHeight="1">
      <c r="A45" s="41"/>
      <c r="B45" s="38"/>
      <c r="C45" s="17"/>
      <c r="D45" s="266"/>
      <c r="E45" s="260"/>
      <c r="F45" s="266"/>
      <c r="G45" s="260"/>
      <c r="H45" s="17"/>
      <c r="I45" s="26"/>
    </row>
    <row r="46" spans="1:9" ht="21" customHeight="1">
      <c r="A46" s="41"/>
      <c r="B46" s="38"/>
      <c r="C46" s="17"/>
      <c r="D46" s="266"/>
      <c r="E46" s="260"/>
      <c r="F46" s="266"/>
      <c r="G46" s="260"/>
      <c r="H46" s="17"/>
      <c r="I46" s="26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3"/>
      <c r="B49" s="6"/>
      <c r="C49" s="10"/>
      <c r="D49" s="259"/>
      <c r="E49" s="260"/>
      <c r="F49" s="261"/>
      <c r="G49" s="260"/>
      <c r="H49" s="7"/>
      <c r="I49" s="7"/>
    </row>
    <row r="50" spans="1:9" ht="21" customHeight="1">
      <c r="A50" s="13"/>
      <c r="B50" s="8"/>
      <c r="C50" s="10"/>
      <c r="D50" s="259"/>
      <c r="E50" s="260"/>
      <c r="F50" s="261"/>
      <c r="G50" s="260"/>
      <c r="H50" s="7"/>
      <c r="I50" s="11"/>
    </row>
    <row r="51" spans="1:9" ht="21" customHeight="1">
      <c r="A51" s="13"/>
      <c r="B51" s="6"/>
      <c r="C51" s="9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3"/>
      <c r="D57" s="259"/>
      <c r="E57" s="260"/>
      <c r="F57" s="261"/>
      <c r="G57" s="260"/>
      <c r="H57" s="7"/>
      <c r="I57" s="16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9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8"/>
      <c r="C83" s="9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8"/>
      <c r="C85" s="9"/>
      <c r="D85" s="259"/>
      <c r="E85" s="260"/>
      <c r="F85" s="261"/>
      <c r="G85" s="260"/>
      <c r="H85" s="7"/>
      <c r="I85" s="11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9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5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9"/>
      <c r="D104" s="259"/>
      <c r="E104" s="260"/>
      <c r="F104" s="261"/>
      <c r="G104" s="260"/>
      <c r="H104" s="7"/>
      <c r="I104" s="7"/>
    </row>
    <row r="105" spans="1:9" ht="21" customHeight="1">
      <c r="A105" s="14"/>
      <c r="B105" s="6"/>
      <c r="C105" s="3"/>
      <c r="D105" s="259"/>
      <c r="E105" s="260"/>
      <c r="F105" s="261"/>
      <c r="G105" s="260"/>
      <c r="H105" s="7"/>
      <c r="I105" s="7"/>
    </row>
  </sheetData>
  <mergeCells count="210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104:E104"/>
    <mergeCell ref="F104:G104"/>
    <mergeCell ref="B2:I2"/>
    <mergeCell ref="D57:E57"/>
    <mergeCell ref="F51:G51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F90:G90"/>
    <mergeCell ref="D43:E43"/>
    <mergeCell ref="E3:G3"/>
    <mergeCell ref="D58:E58"/>
    <mergeCell ref="D18:E18"/>
    <mergeCell ref="F58:G58"/>
    <mergeCell ref="F27:G27"/>
    <mergeCell ref="F52:G52"/>
    <mergeCell ref="H4:I4"/>
    <mergeCell ref="D80:E80"/>
    <mergeCell ref="F40:G40"/>
    <mergeCell ref="D21:E21"/>
    <mergeCell ref="F59:G59"/>
    <mergeCell ref="F55:G55"/>
    <mergeCell ref="F12:G12"/>
    <mergeCell ref="F24:G24"/>
    <mergeCell ref="D95:E95"/>
    <mergeCell ref="F95:G95"/>
    <mergeCell ref="F67:G67"/>
    <mergeCell ref="D8:E8"/>
    <mergeCell ref="F37:G37"/>
    <mergeCell ref="D105:E105"/>
    <mergeCell ref="F21:G21"/>
    <mergeCell ref="D52:E52"/>
    <mergeCell ref="F53:G53"/>
    <mergeCell ref="D49:E49"/>
    <mergeCell ref="D27:E27"/>
    <mergeCell ref="F36:G36"/>
    <mergeCell ref="F50:G50"/>
    <mergeCell ref="F101:G101"/>
    <mergeCell ref="D91:E91"/>
    <mergeCell ref="F91:G91"/>
    <mergeCell ref="F100:G100"/>
    <mergeCell ref="D28:E28"/>
    <mergeCell ref="D93:E93"/>
    <mergeCell ref="F22:G22"/>
    <mergeCell ref="F93:G93"/>
    <mergeCell ref="D102:E102"/>
    <mergeCell ref="F102:G102"/>
    <mergeCell ref="D83:E83"/>
    <mergeCell ref="D25:E25"/>
    <mergeCell ref="F77:G77"/>
    <mergeCell ref="D92:E92"/>
    <mergeCell ref="D55:E55"/>
    <mergeCell ref="D30:E30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D17:E17"/>
    <mergeCell ref="F8:G8"/>
    <mergeCell ref="A5:B5"/>
    <mergeCell ref="D12:E12"/>
    <mergeCell ref="D67:E67"/>
    <mergeCell ref="F49:G49"/>
    <mergeCell ref="D14:E14"/>
    <mergeCell ref="D85:E85"/>
    <mergeCell ref="F14:G14"/>
    <mergeCell ref="D54:E54"/>
    <mergeCell ref="E4:G4"/>
    <mergeCell ref="D69:E69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92:G92"/>
    <mergeCell ref="D94:E94"/>
    <mergeCell ref="F69:G69"/>
    <mergeCell ref="F11:G11"/>
    <mergeCell ref="F78:G78"/>
    <mergeCell ref="F65:G65"/>
    <mergeCell ref="D46:E46"/>
    <mergeCell ref="D40:E40"/>
    <mergeCell ref="F83:G83"/>
    <mergeCell ref="D101:E101"/>
    <mergeCell ref="F30:G30"/>
    <mergeCell ref="D11:E11"/>
    <mergeCell ref="D76:E76"/>
    <mergeCell ref="F20:G20"/>
    <mergeCell ref="F76:G76"/>
    <mergeCell ref="F33:G33"/>
    <mergeCell ref="F45:G45"/>
    <mergeCell ref="F18:G18"/>
    <mergeCell ref="F85:G85"/>
    <mergeCell ref="F42:G42"/>
    <mergeCell ref="F94:G94"/>
    <mergeCell ref="D66:E66"/>
    <mergeCell ref="F17:G17"/>
    <mergeCell ref="D75:E75"/>
    <mergeCell ref="F66:G66"/>
    <mergeCell ref="D53:E53"/>
    <mergeCell ref="F75:G75"/>
    <mergeCell ref="D47:E47"/>
    <mergeCell ref="F47:G47"/>
    <mergeCell ref="F62:G62"/>
    <mergeCell ref="F96:G96"/>
    <mergeCell ref="F56:G56"/>
    <mergeCell ref="F71:G71"/>
    <mergeCell ref="F105:G105"/>
    <mergeCell ref="F43:G43"/>
    <mergeCell ref="D24:E24"/>
    <mergeCell ref="D64:E64"/>
    <mergeCell ref="D33:E33"/>
    <mergeCell ref="D98:E98"/>
    <mergeCell ref="D73:E73"/>
    <mergeCell ref="F98:G98"/>
    <mergeCell ref="D51:E51"/>
    <mergeCell ref="D88:E88"/>
    <mergeCell ref="D26:E26"/>
    <mergeCell ref="F57:G57"/>
    <mergeCell ref="F88:G88"/>
    <mergeCell ref="D35:E35"/>
    <mergeCell ref="F54:G54"/>
    <mergeCell ref="D34:E34"/>
    <mergeCell ref="D90:E90"/>
    <mergeCell ref="F63:G63"/>
    <mergeCell ref="F34:G34"/>
    <mergeCell ref="D99:E99"/>
    <mergeCell ref="F99:G99"/>
    <mergeCell ref="D48:E48"/>
    <mergeCell ref="F70:G70"/>
    <mergeCell ref="F79:G79"/>
    <mergeCell ref="D7:E7"/>
    <mergeCell ref="D72:E72"/>
    <mergeCell ref="D78:E78"/>
    <mergeCell ref="F72:G72"/>
    <mergeCell ref="B4:D4"/>
    <mergeCell ref="F81:G81"/>
    <mergeCell ref="F23:G23"/>
    <mergeCell ref="D62:E62"/>
    <mergeCell ref="D56:E56"/>
    <mergeCell ref="F13:G13"/>
    <mergeCell ref="D71:E71"/>
    <mergeCell ref="D10:E10"/>
    <mergeCell ref="F10:G10"/>
    <mergeCell ref="D19:E19"/>
    <mergeCell ref="F19:G19"/>
    <mergeCell ref="F6:G6"/>
    <mergeCell ref="F74:G7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6"/>
  <dimension ref="A1:O18"/>
  <sheetViews>
    <sheetView workbookViewId="0">
      <selection activeCell="A2" sqref="A2"/>
    </sheetView>
  </sheetViews>
  <sheetFormatPr defaultColWidth="8.77734375" defaultRowHeight="16.2"/>
  <cols>
    <col min="1" max="1" width="10.44140625" style="246" customWidth="1"/>
    <col min="8" max="8" width="10.44140625" style="246" bestFit="1" customWidth="1"/>
    <col min="9" max="9" width="11.109375" style="246" customWidth="1"/>
  </cols>
  <sheetData>
    <row r="1" spans="1:15" ht="30.75" customHeight="1" thickBot="1">
      <c r="A1" s="338" t="s">
        <v>1303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2.25" customHeight="1">
      <c r="A2" s="100" t="s">
        <v>1229</v>
      </c>
      <c r="B2" s="337" t="s">
        <v>1295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19.5" customHeight="1">
      <c r="A3" s="99" t="s">
        <v>9</v>
      </c>
      <c r="B3" s="330" t="s">
        <v>301</v>
      </c>
      <c r="C3" s="263"/>
      <c r="D3" s="260"/>
      <c r="E3" s="330" t="s">
        <v>11</v>
      </c>
      <c r="F3" s="263"/>
      <c r="G3" s="260"/>
      <c r="H3" s="339" t="s">
        <v>1314</v>
      </c>
      <c r="I3" s="269"/>
      <c r="J3" s="19" t="str">
        <f>B3</f>
        <v>Ritalin LA 10mg</v>
      </c>
      <c r="K3" s="34"/>
      <c r="L3" s="5">
        <v>0</v>
      </c>
      <c r="M3" s="3">
        <f>SUM(C:C)</f>
        <v>4</v>
      </c>
      <c r="N3" s="3">
        <f>SUM(F:F)</f>
        <v>0</v>
      </c>
      <c r="O3" s="3">
        <f>L3+M3-N3</f>
        <v>4</v>
      </c>
    </row>
    <row r="4" spans="1:15" ht="19.5" customHeight="1">
      <c r="A4" s="99" t="s">
        <v>14</v>
      </c>
      <c r="B4" s="330" t="s">
        <v>405</v>
      </c>
      <c r="C4" s="263"/>
      <c r="D4" s="260"/>
      <c r="E4" s="330" t="s">
        <v>16</v>
      </c>
      <c r="F4" s="263"/>
      <c r="G4" s="260"/>
      <c r="H4" s="332" t="s">
        <v>1315</v>
      </c>
      <c r="I4" s="269"/>
      <c r="J4" s="12"/>
      <c r="K4" s="3"/>
      <c r="L4" s="3"/>
      <c r="M4" s="3"/>
      <c r="N4" s="3"/>
      <c r="O4" s="3"/>
    </row>
    <row r="5" spans="1:15" ht="19.5" customHeight="1">
      <c r="A5" s="331" t="s">
        <v>18</v>
      </c>
      <c r="B5" s="260"/>
      <c r="C5" s="262" t="s">
        <v>1316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19.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19.5" customHeight="1">
      <c r="A7" s="196" t="s">
        <v>29</v>
      </c>
      <c r="B7" s="155" t="s">
        <v>5</v>
      </c>
      <c r="C7" s="155">
        <v>4</v>
      </c>
      <c r="D7" s="280"/>
      <c r="E7" s="260"/>
      <c r="F7" s="280"/>
      <c r="G7" s="260"/>
      <c r="H7" s="17">
        <v>4</v>
      </c>
      <c r="I7" s="210"/>
      <c r="J7" s="12"/>
      <c r="K7" s="3"/>
      <c r="L7" s="3"/>
      <c r="M7" s="3"/>
      <c r="N7" s="3"/>
      <c r="O7" s="3"/>
    </row>
    <row r="8" spans="1:15" ht="19.5" customHeight="1">
      <c r="A8" s="39"/>
      <c r="B8" s="38"/>
      <c r="C8" s="17"/>
      <c r="D8" s="266"/>
      <c r="E8" s="260"/>
      <c r="F8" s="266"/>
      <c r="G8" s="260"/>
      <c r="H8" s="17"/>
      <c r="I8" s="37"/>
      <c r="J8" s="12"/>
      <c r="K8" s="3"/>
      <c r="L8" s="3"/>
      <c r="M8" s="3"/>
      <c r="N8" s="3"/>
      <c r="O8" s="3"/>
    </row>
    <row r="9" spans="1:15" ht="21" customHeight="1">
      <c r="A9" s="39"/>
      <c r="B9" s="38"/>
      <c r="C9" s="17"/>
      <c r="D9" s="266"/>
      <c r="E9" s="260"/>
      <c r="F9" s="266"/>
      <c r="G9" s="260"/>
      <c r="H9" s="17"/>
      <c r="I9" s="199" t="s">
        <v>1317</v>
      </c>
      <c r="J9" s="12"/>
      <c r="K9" s="3"/>
      <c r="L9" s="3"/>
      <c r="M9" s="3"/>
      <c r="N9" s="3"/>
      <c r="O9" s="3"/>
    </row>
    <row r="10" spans="1:15" ht="19.5" customHeight="1">
      <c r="A10" s="39"/>
      <c r="B10" s="38"/>
      <c r="C10" s="17"/>
      <c r="D10" s="266"/>
      <c r="E10" s="260"/>
      <c r="F10" s="266"/>
      <c r="G10" s="260"/>
      <c r="H10" s="17"/>
      <c r="I10" s="238" t="s">
        <v>1318</v>
      </c>
      <c r="J10" s="12"/>
      <c r="K10" s="3"/>
      <c r="L10" s="3"/>
      <c r="M10" s="3"/>
      <c r="N10" s="3"/>
      <c r="O10" s="3"/>
    </row>
    <row r="11" spans="1:15" ht="21" customHeight="1">
      <c r="A11" s="41"/>
      <c r="B11" s="38"/>
      <c r="C11" s="17"/>
      <c r="D11" s="266"/>
      <c r="E11" s="260"/>
      <c r="F11" s="266"/>
      <c r="G11" s="260"/>
      <c r="H11" s="17"/>
      <c r="I11" s="26"/>
      <c r="J11" s="12"/>
      <c r="K11" s="3"/>
      <c r="L11" s="3"/>
      <c r="M11" s="3"/>
      <c r="N11" s="3"/>
      <c r="O11" s="3"/>
    </row>
    <row r="12" spans="1:15" ht="19.5" customHeight="1">
      <c r="A12" s="39"/>
      <c r="B12" s="38"/>
      <c r="C12" s="17"/>
      <c r="D12" s="266"/>
      <c r="E12" s="260"/>
      <c r="F12" s="266"/>
      <c r="G12" s="260"/>
      <c r="H12" s="17"/>
      <c r="I12" s="37"/>
      <c r="J12" s="12"/>
      <c r="K12" s="3"/>
      <c r="L12" s="3"/>
      <c r="M12" s="3"/>
      <c r="N12" s="3"/>
      <c r="O12" s="3"/>
    </row>
    <row r="13" spans="1:15" ht="21" customHeight="1">
      <c r="A13" s="39"/>
      <c r="B13" s="38"/>
      <c r="C13" s="17"/>
      <c r="D13" s="266"/>
      <c r="E13" s="260"/>
      <c r="F13" s="266"/>
      <c r="G13" s="260"/>
      <c r="H13" s="17"/>
      <c r="I13" s="26"/>
      <c r="J13" s="12"/>
      <c r="K13" s="3"/>
      <c r="L13" s="3"/>
      <c r="M13" s="3"/>
      <c r="N13" s="3"/>
      <c r="O13" s="3"/>
    </row>
    <row r="14" spans="1:15" ht="21" customHeight="1">
      <c r="A14" s="39"/>
      <c r="B14" s="38"/>
      <c r="C14" s="17"/>
      <c r="D14" s="266"/>
      <c r="E14" s="260"/>
      <c r="F14" s="266"/>
      <c r="G14" s="260"/>
      <c r="H14" s="17"/>
      <c r="I14" s="26"/>
      <c r="J14" s="12"/>
      <c r="K14" s="3"/>
      <c r="L14" s="3"/>
      <c r="M14" s="3"/>
      <c r="N14" s="3"/>
      <c r="O14" s="3"/>
    </row>
    <row r="15" spans="1:15" ht="21" customHeight="1">
      <c r="A15" s="41"/>
      <c r="B15" s="38"/>
      <c r="C15" s="17"/>
      <c r="D15" s="266"/>
      <c r="E15" s="260"/>
      <c r="F15" s="266"/>
      <c r="G15" s="260"/>
      <c r="H15" s="17"/>
      <c r="I15" s="26"/>
      <c r="J15" s="12"/>
      <c r="K15" s="3"/>
      <c r="L15" s="3"/>
      <c r="M15" s="3"/>
      <c r="N15" s="3"/>
      <c r="O15" s="3"/>
    </row>
    <row r="16" spans="1:15" ht="21" customHeight="1">
      <c r="A16" s="41"/>
      <c r="B16" s="38"/>
      <c r="C16" s="17"/>
      <c r="D16" s="266"/>
      <c r="E16" s="260"/>
      <c r="F16" s="266"/>
      <c r="G16" s="260"/>
      <c r="H16" s="17"/>
      <c r="I16" s="26"/>
      <c r="J16" s="12"/>
      <c r="K16" s="3"/>
      <c r="L16" s="3"/>
      <c r="M16" s="3"/>
      <c r="N16" s="3"/>
      <c r="O16" s="3"/>
    </row>
    <row r="17" spans="1:10" ht="21" customHeight="1">
      <c r="A17" s="41"/>
      <c r="B17" s="38"/>
      <c r="C17" s="17"/>
      <c r="D17" s="266"/>
      <c r="E17" s="260"/>
      <c r="F17" s="266"/>
      <c r="G17" s="260"/>
      <c r="H17" s="17"/>
      <c r="I17" s="26"/>
      <c r="J17" s="12"/>
    </row>
    <row r="18" spans="1:10" ht="21" customHeight="1">
      <c r="A18" s="41"/>
      <c r="B18" s="38"/>
      <c r="C18" s="17"/>
      <c r="D18" s="266"/>
      <c r="E18" s="260"/>
      <c r="F18" s="266"/>
      <c r="G18" s="260"/>
      <c r="H18" s="17"/>
      <c r="I18" s="26"/>
      <c r="J18" s="12"/>
    </row>
  </sheetData>
  <mergeCells count="36">
    <mergeCell ref="H3:I3"/>
    <mergeCell ref="D8:E8"/>
    <mergeCell ref="B3:D3"/>
    <mergeCell ref="D15:E15"/>
    <mergeCell ref="A1:I1"/>
    <mergeCell ref="D14:E14"/>
    <mergeCell ref="E4:G4"/>
    <mergeCell ref="F14:G14"/>
    <mergeCell ref="B2:I2"/>
    <mergeCell ref="D13:E13"/>
    <mergeCell ref="F18:G18"/>
    <mergeCell ref="D17:E17"/>
    <mergeCell ref="F17:G17"/>
    <mergeCell ref="F8:G8"/>
    <mergeCell ref="D16:E16"/>
    <mergeCell ref="D7:E7"/>
    <mergeCell ref="B4:D4"/>
    <mergeCell ref="A5:B5"/>
    <mergeCell ref="E3:G3"/>
    <mergeCell ref="F13:G13"/>
    <mergeCell ref="D18:E18"/>
    <mergeCell ref="D9:E9"/>
    <mergeCell ref="F9:G9"/>
    <mergeCell ref="D12:E12"/>
    <mergeCell ref="H4:I4"/>
    <mergeCell ref="F7:G7"/>
    <mergeCell ref="D6:E6"/>
    <mergeCell ref="F12:G12"/>
    <mergeCell ref="F15:G15"/>
    <mergeCell ref="D11:E11"/>
    <mergeCell ref="F11:G11"/>
    <mergeCell ref="D10:E10"/>
    <mergeCell ref="F10:G10"/>
    <mergeCell ref="F16:G16"/>
    <mergeCell ref="C5:G5"/>
    <mergeCell ref="F6:G6"/>
  </mergeCells>
  <phoneticPr fontId="30" type="noConversion"/>
  <pageMargins left="0.7" right="0.7" top="0.75" bottom="0.75" header="0.3" footer="0.3"/>
  <pageSetup paperSize="119" orientation="portrait" horizontalDpi="180" verticalDpi="18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O105"/>
  <sheetViews>
    <sheetView zoomScale="70" zoomScaleNormal="70" workbookViewId="0">
      <selection activeCell="M15" sqref="M15"/>
    </sheetView>
  </sheetViews>
  <sheetFormatPr defaultColWidth="8.77734375" defaultRowHeight="16.2"/>
  <cols>
    <col min="1" max="1" width="11.6640625" style="246" customWidth="1"/>
    <col min="2" max="2" width="11" style="246" customWidth="1"/>
    <col min="3" max="3" width="11.109375" style="246" customWidth="1"/>
    <col min="4" max="4" width="7.109375" style="246" customWidth="1"/>
    <col min="5" max="5" width="9.77734375" style="246" customWidth="1"/>
    <col min="7" max="7" width="6.33203125" style="246" customWidth="1"/>
    <col min="8" max="8" width="11.77734375" style="246" customWidth="1"/>
    <col min="9" max="9" width="16.77734375" style="246" customWidth="1"/>
    <col min="10" max="10" width="16" style="246" bestFit="1" customWidth="1"/>
  </cols>
  <sheetData>
    <row r="1" spans="1:15" ht="30.75" customHeight="1" thickBot="1">
      <c r="A1" s="338" t="s">
        <v>1303</v>
      </c>
      <c r="B1" s="271"/>
      <c r="C1" s="271"/>
      <c r="D1" s="271"/>
      <c r="E1" s="271"/>
      <c r="F1" s="271"/>
      <c r="G1" s="271"/>
      <c r="H1" s="271"/>
      <c r="I1" s="271"/>
      <c r="J1" s="1"/>
      <c r="K1" s="1"/>
      <c r="L1" s="1"/>
      <c r="M1" s="1"/>
      <c r="N1" s="1"/>
      <c r="O1" s="1"/>
    </row>
    <row r="2" spans="1:15" ht="34.5" customHeight="1">
      <c r="A2" s="100" t="s">
        <v>1063</v>
      </c>
      <c r="B2" s="337" t="s">
        <v>1295</v>
      </c>
      <c r="C2" s="274"/>
      <c r="D2" s="274"/>
      <c r="E2" s="274"/>
      <c r="F2" s="274"/>
      <c r="G2" s="274"/>
      <c r="H2" s="274"/>
      <c r="I2" s="275"/>
      <c r="J2" s="18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 spans="1:15" ht="27.45" customHeight="1">
      <c r="A3" s="99" t="s">
        <v>9</v>
      </c>
      <c r="B3" s="330"/>
      <c r="C3" s="263"/>
      <c r="D3" s="260"/>
      <c r="E3" s="330" t="s">
        <v>11</v>
      </c>
      <c r="F3" s="263"/>
      <c r="G3" s="260"/>
      <c r="H3" s="339"/>
      <c r="I3" s="269"/>
      <c r="J3" s="19">
        <f>B3</f>
        <v>0</v>
      </c>
      <c r="K3" s="34"/>
      <c r="L3" s="5">
        <v>0</v>
      </c>
      <c r="M3" s="3">
        <f>SUM(C:C)</f>
        <v>0</v>
      </c>
      <c r="N3" s="3">
        <f>SUM(F:F)</f>
        <v>0</v>
      </c>
      <c r="O3" s="3">
        <f>L3+M3-N3</f>
        <v>0</v>
      </c>
    </row>
    <row r="4" spans="1:15" ht="27.45" customHeight="1">
      <c r="A4" s="99" t="s">
        <v>14</v>
      </c>
      <c r="B4" s="330"/>
      <c r="C4" s="263"/>
      <c r="D4" s="260"/>
      <c r="E4" s="330" t="s">
        <v>16</v>
      </c>
      <c r="F4" s="263"/>
      <c r="G4" s="260"/>
      <c r="H4" s="332"/>
      <c r="I4" s="269"/>
      <c r="J4" s="12"/>
      <c r="K4" s="3"/>
      <c r="L4" s="3"/>
      <c r="M4" s="3"/>
      <c r="N4" s="3"/>
      <c r="O4" s="3"/>
    </row>
    <row r="5" spans="1:15" ht="24.75" customHeight="1">
      <c r="A5" s="331" t="s">
        <v>18</v>
      </c>
      <c r="B5" s="260"/>
      <c r="C5" s="262" t="s">
        <v>1307</v>
      </c>
      <c r="D5" s="263"/>
      <c r="E5" s="263"/>
      <c r="F5" s="263"/>
      <c r="G5" s="260"/>
      <c r="H5" s="101" t="s">
        <v>20</v>
      </c>
      <c r="I5" s="102" t="s">
        <v>21</v>
      </c>
      <c r="J5" s="12"/>
      <c r="K5" s="3"/>
      <c r="L5" s="3"/>
      <c r="M5" s="3"/>
      <c r="N5" s="3"/>
      <c r="O5" s="3"/>
    </row>
    <row r="6" spans="1:15" ht="24.75" customHeight="1">
      <c r="A6" s="99" t="s">
        <v>22</v>
      </c>
      <c r="B6" s="101" t="s">
        <v>23</v>
      </c>
      <c r="C6" s="101" t="s">
        <v>24</v>
      </c>
      <c r="D6" s="330" t="s">
        <v>25</v>
      </c>
      <c r="E6" s="260"/>
      <c r="F6" s="330" t="s">
        <v>26</v>
      </c>
      <c r="G6" s="260"/>
      <c r="H6" s="101" t="s">
        <v>27</v>
      </c>
      <c r="I6" s="102" t="s">
        <v>28</v>
      </c>
      <c r="J6" s="12"/>
      <c r="K6" s="3"/>
      <c r="L6" s="3"/>
      <c r="M6" s="3"/>
      <c r="N6" s="3"/>
      <c r="O6" s="3"/>
    </row>
    <row r="7" spans="1:15" ht="25.5" customHeight="1">
      <c r="A7" s="39" t="s">
        <v>29</v>
      </c>
      <c r="B7" s="38" t="s">
        <v>5</v>
      </c>
      <c r="C7" s="17">
        <v>0</v>
      </c>
      <c r="D7" s="266"/>
      <c r="E7" s="260"/>
      <c r="F7" s="266"/>
      <c r="G7" s="260"/>
      <c r="H7" s="17">
        <v>0</v>
      </c>
      <c r="I7" s="37"/>
      <c r="J7" s="12"/>
      <c r="K7" s="3"/>
      <c r="L7" s="3"/>
      <c r="M7" s="3"/>
      <c r="N7" s="3"/>
      <c r="O7" s="3"/>
    </row>
    <row r="8" spans="1:15" ht="26.7" customHeight="1">
      <c r="A8" s="39"/>
      <c r="B8" s="38"/>
      <c r="C8" s="17"/>
      <c r="D8" s="266"/>
      <c r="E8" s="260"/>
      <c r="F8" s="266"/>
      <c r="G8" s="260"/>
      <c r="H8" s="17"/>
      <c r="I8" s="37"/>
      <c r="J8" s="12"/>
      <c r="K8" s="3"/>
      <c r="L8" s="3"/>
      <c r="M8" s="3"/>
      <c r="N8" s="3"/>
      <c r="O8" s="3"/>
    </row>
    <row r="9" spans="1:15" ht="26.7" customHeight="1">
      <c r="A9" s="39"/>
      <c r="B9" s="38"/>
      <c r="C9" s="17"/>
      <c r="D9" s="266"/>
      <c r="E9" s="260"/>
      <c r="F9" s="266"/>
      <c r="G9" s="260"/>
      <c r="H9" s="17"/>
      <c r="I9" s="26"/>
      <c r="J9" s="12"/>
      <c r="K9" s="3"/>
      <c r="L9" s="3"/>
      <c r="M9" s="3"/>
      <c r="N9" s="3"/>
      <c r="O9" s="3"/>
    </row>
    <row r="10" spans="1:15" ht="26.7" customHeight="1">
      <c r="A10" s="39"/>
      <c r="B10" s="38"/>
      <c r="C10" s="17"/>
      <c r="D10" s="266"/>
      <c r="E10" s="260"/>
      <c r="F10" s="266"/>
      <c r="G10" s="260"/>
      <c r="H10" s="17"/>
      <c r="I10" s="26"/>
      <c r="J10" s="12"/>
      <c r="K10" s="3"/>
      <c r="L10" s="3"/>
      <c r="M10" s="3"/>
      <c r="N10" s="3"/>
      <c r="O10" s="3"/>
    </row>
    <row r="11" spans="1:15" ht="26.7" customHeight="1">
      <c r="A11" s="39"/>
      <c r="B11" s="38"/>
      <c r="C11" s="17"/>
      <c r="D11" s="266"/>
      <c r="E11" s="260"/>
      <c r="F11" s="266"/>
      <c r="G11" s="260"/>
      <c r="H11" s="17"/>
      <c r="I11" s="26"/>
      <c r="J11" s="12"/>
      <c r="K11" s="3"/>
      <c r="L11" s="3"/>
      <c r="M11" s="3"/>
      <c r="N11" s="3"/>
      <c r="O11" s="3"/>
    </row>
    <row r="12" spans="1:15" ht="26.7" customHeight="1">
      <c r="A12" s="39"/>
      <c r="B12" s="38"/>
      <c r="C12" s="17"/>
      <c r="D12" s="266"/>
      <c r="E12" s="260"/>
      <c r="F12" s="266"/>
      <c r="G12" s="260"/>
      <c r="H12" s="17"/>
      <c r="I12" s="37"/>
      <c r="J12" s="12"/>
      <c r="K12" s="3"/>
      <c r="L12" s="3"/>
      <c r="M12" s="3"/>
      <c r="N12" s="3"/>
      <c r="O12" s="3"/>
    </row>
    <row r="13" spans="1:15" ht="26.7" customHeight="1">
      <c r="A13" s="39"/>
      <c r="B13" s="38"/>
      <c r="C13" s="17"/>
      <c r="D13" s="266"/>
      <c r="E13" s="260"/>
      <c r="F13" s="266"/>
      <c r="G13" s="260"/>
      <c r="H13" s="17"/>
      <c r="I13" s="26"/>
      <c r="J13" s="12"/>
      <c r="K13" s="3"/>
      <c r="L13" s="3"/>
      <c r="M13" s="3"/>
      <c r="N13" s="3"/>
      <c r="O13" s="3"/>
    </row>
    <row r="14" spans="1:15" ht="26.7" customHeight="1">
      <c r="A14" s="39"/>
      <c r="B14" s="38"/>
      <c r="C14" s="17"/>
      <c r="D14" s="266"/>
      <c r="E14" s="260"/>
      <c r="F14" s="266"/>
      <c r="G14" s="260"/>
      <c r="H14" s="17"/>
      <c r="I14" s="26"/>
      <c r="J14" s="12"/>
      <c r="K14" s="3"/>
      <c r="L14" s="3"/>
      <c r="M14" s="3"/>
      <c r="N14" s="3"/>
      <c r="O14" s="3"/>
    </row>
    <row r="15" spans="1:15" ht="26.7" customHeight="1">
      <c r="A15" s="39"/>
      <c r="B15" s="38"/>
      <c r="C15" s="17"/>
      <c r="D15" s="266"/>
      <c r="E15" s="260"/>
      <c r="F15" s="266"/>
      <c r="G15" s="260"/>
      <c r="H15" s="17"/>
      <c r="I15" s="26"/>
      <c r="J15" s="12"/>
      <c r="K15" s="3"/>
      <c r="L15" s="3"/>
      <c r="M15" s="3"/>
      <c r="N15" s="3"/>
      <c r="O15" s="3"/>
    </row>
    <row r="16" spans="1:15" ht="26.7" customHeight="1">
      <c r="A16" s="39"/>
      <c r="B16" s="38"/>
      <c r="C16" s="17"/>
      <c r="D16" s="266"/>
      <c r="E16" s="260"/>
      <c r="F16" s="266"/>
      <c r="G16" s="260"/>
      <c r="H16" s="17"/>
      <c r="I16" s="26"/>
      <c r="J16" s="12"/>
      <c r="K16" s="3"/>
      <c r="L16" s="3"/>
      <c r="M16" s="3"/>
      <c r="N16" s="3"/>
      <c r="O16" s="3"/>
    </row>
    <row r="17" spans="1:10" ht="26.7" customHeight="1">
      <c r="A17" s="39"/>
      <c r="B17" s="38"/>
      <c r="C17" s="17"/>
      <c r="D17" s="266"/>
      <c r="E17" s="260"/>
      <c r="F17" s="266"/>
      <c r="G17" s="260"/>
      <c r="H17" s="17"/>
      <c r="I17" s="26"/>
      <c r="J17" s="12"/>
    </row>
    <row r="18" spans="1:10" ht="26.7" customHeight="1">
      <c r="A18" s="39"/>
      <c r="B18" s="38"/>
      <c r="C18" s="17"/>
      <c r="D18" s="266"/>
      <c r="E18" s="260"/>
      <c r="F18" s="266"/>
      <c r="G18" s="260"/>
      <c r="H18" s="17"/>
      <c r="I18" s="26"/>
      <c r="J18" s="12"/>
    </row>
    <row r="19" spans="1:10" ht="26.7" customHeight="1">
      <c r="A19" s="25"/>
      <c r="B19" s="6"/>
      <c r="C19" s="7"/>
      <c r="D19" s="259"/>
      <c r="E19" s="260"/>
      <c r="F19" s="261"/>
      <c r="G19" s="260"/>
      <c r="H19" s="7"/>
      <c r="I19" s="26"/>
      <c r="J19" s="12"/>
    </row>
    <row r="20" spans="1:10" ht="26.7" customHeight="1">
      <c r="A20" s="25"/>
      <c r="B20" s="6"/>
      <c r="C20" s="7"/>
      <c r="D20" s="259"/>
      <c r="E20" s="260"/>
      <c r="F20" s="261"/>
      <c r="G20" s="260"/>
      <c r="H20" s="7"/>
      <c r="I20" s="26"/>
      <c r="J20" s="12"/>
    </row>
    <row r="21" spans="1:10" ht="26.7" customHeight="1">
      <c r="A21" s="25"/>
      <c r="B21" s="6"/>
      <c r="C21" s="7"/>
      <c r="D21" s="259"/>
      <c r="E21" s="260"/>
      <c r="F21" s="261"/>
      <c r="G21" s="260"/>
      <c r="H21" s="7"/>
      <c r="I21" s="26"/>
      <c r="J21" s="12"/>
    </row>
    <row r="22" spans="1:10" ht="26.7" customHeight="1">
      <c r="A22" s="25"/>
      <c r="B22" s="6"/>
      <c r="C22" s="7"/>
      <c r="D22" s="259"/>
      <c r="E22" s="260"/>
      <c r="F22" s="261"/>
      <c r="G22" s="260"/>
      <c r="H22" s="7"/>
      <c r="I22" s="26"/>
      <c r="J22" s="12"/>
    </row>
    <row r="23" spans="1:10" ht="26.7" customHeight="1">
      <c r="A23" s="25"/>
      <c r="B23" s="6"/>
      <c r="C23" s="7"/>
      <c r="D23" s="259"/>
      <c r="E23" s="260"/>
      <c r="F23" s="261"/>
      <c r="G23" s="260"/>
      <c r="H23" s="7"/>
      <c r="I23" s="26"/>
      <c r="J23" s="12"/>
    </row>
    <row r="24" spans="1:10" ht="26.7" customHeight="1">
      <c r="A24" s="25"/>
      <c r="B24" s="6"/>
      <c r="C24" s="7"/>
      <c r="D24" s="259"/>
      <c r="E24" s="260"/>
      <c r="F24" s="261"/>
      <c r="G24" s="260"/>
      <c r="H24" s="7"/>
      <c r="I24" s="26"/>
      <c r="J24" s="12"/>
    </row>
    <row r="25" spans="1:10" ht="26.7" customHeight="1">
      <c r="A25" s="25"/>
      <c r="B25" s="6"/>
      <c r="C25" s="7"/>
      <c r="D25" s="259"/>
      <c r="E25" s="260"/>
      <c r="F25" s="261"/>
      <c r="G25" s="260"/>
      <c r="H25" s="7"/>
      <c r="I25" s="26"/>
      <c r="J25" s="12"/>
    </row>
    <row r="26" spans="1:10" ht="26.7" customHeight="1">
      <c r="A26" s="25"/>
      <c r="B26" s="6"/>
      <c r="C26" s="7"/>
      <c r="D26" s="259"/>
      <c r="E26" s="260"/>
      <c r="F26" s="261"/>
      <c r="G26" s="260"/>
      <c r="H26" s="7"/>
      <c r="I26" s="28"/>
      <c r="J26" s="12"/>
    </row>
    <row r="27" spans="1:10" ht="26.7" customHeight="1">
      <c r="A27" s="25"/>
      <c r="B27" s="6"/>
      <c r="C27" s="7"/>
      <c r="D27" s="259"/>
      <c r="E27" s="260"/>
      <c r="F27" s="261"/>
      <c r="G27" s="260"/>
      <c r="H27" s="7"/>
      <c r="I27" s="26"/>
      <c r="J27" s="12"/>
    </row>
    <row r="28" spans="1:10" ht="26.7" customHeight="1">
      <c r="A28" s="25"/>
      <c r="B28" s="6"/>
      <c r="C28" s="7"/>
      <c r="D28" s="259"/>
      <c r="E28" s="260"/>
      <c r="F28" s="261"/>
      <c r="G28" s="260"/>
      <c r="H28" s="7"/>
      <c r="I28" s="26"/>
      <c r="J28" s="12"/>
    </row>
    <row r="29" spans="1:10" ht="26.7" customHeight="1">
      <c r="A29" s="25"/>
      <c r="B29" s="6"/>
      <c r="C29" s="7"/>
      <c r="D29" s="259"/>
      <c r="E29" s="260"/>
      <c r="F29" s="261"/>
      <c r="G29" s="260"/>
      <c r="H29" s="7"/>
      <c r="I29" s="26"/>
      <c r="J29" s="12"/>
    </row>
    <row r="30" spans="1:10" ht="26.7" customHeight="1">
      <c r="A30" s="25"/>
      <c r="B30" s="6"/>
      <c r="C30" s="7"/>
      <c r="D30" s="259"/>
      <c r="E30" s="260"/>
      <c r="F30" s="261"/>
      <c r="G30" s="260"/>
      <c r="H30" s="7"/>
      <c r="I30" s="26"/>
      <c r="J30" s="12"/>
    </row>
    <row r="31" spans="1:10" ht="26.7" customHeight="1">
      <c r="A31" s="25"/>
      <c r="B31" s="6"/>
      <c r="C31" s="7"/>
      <c r="D31" s="259"/>
      <c r="E31" s="260"/>
      <c r="F31" s="261"/>
      <c r="G31" s="260"/>
      <c r="H31" s="7"/>
      <c r="I31" s="26"/>
      <c r="J31" s="12"/>
    </row>
    <row r="32" spans="1:10" ht="21.75" customHeight="1" thickBot="1">
      <c r="A32" s="29"/>
      <c r="B32" s="30"/>
      <c r="C32" s="31"/>
      <c r="D32" s="264"/>
      <c r="E32" s="265"/>
      <c r="F32" s="267"/>
      <c r="G32" s="265"/>
      <c r="H32" s="31"/>
      <c r="I32" s="32"/>
      <c r="J32" s="3"/>
    </row>
    <row r="33" spans="1:9" ht="21" customHeight="1">
      <c r="A33" s="20"/>
      <c r="B33" s="21"/>
      <c r="C33" s="22"/>
      <c r="D33" s="276"/>
      <c r="E33" s="277"/>
      <c r="F33" s="278"/>
      <c r="G33" s="277"/>
      <c r="H33" s="22"/>
      <c r="I33" s="22"/>
    </row>
    <row r="34" spans="1:9" ht="21" customHeight="1">
      <c r="A34" s="13"/>
      <c r="B34" s="6"/>
      <c r="C34" s="7"/>
      <c r="D34" s="259"/>
      <c r="E34" s="260"/>
      <c r="F34" s="261"/>
      <c r="G34" s="260"/>
      <c r="H34" s="7"/>
      <c r="I34" s="7"/>
    </row>
    <row r="35" spans="1:9" ht="21" customHeight="1">
      <c r="A35" s="13"/>
      <c r="B35" s="6"/>
      <c r="C35" s="7"/>
      <c r="D35" s="259"/>
      <c r="E35" s="260"/>
      <c r="F35" s="261"/>
      <c r="G35" s="260"/>
      <c r="H35" s="7"/>
      <c r="I35" s="16"/>
    </row>
    <row r="36" spans="1:9" ht="21" customHeight="1">
      <c r="A36" s="13"/>
      <c r="B36" s="6"/>
      <c r="C36" s="7"/>
      <c r="D36" s="259"/>
      <c r="E36" s="260"/>
      <c r="F36" s="261"/>
      <c r="G36" s="260"/>
      <c r="H36" s="7"/>
      <c r="I36" s="7"/>
    </row>
    <row r="37" spans="1:9" ht="21" customHeight="1">
      <c r="A37" s="13"/>
      <c r="B37" s="6"/>
      <c r="C37" s="7"/>
      <c r="D37" s="259"/>
      <c r="E37" s="260"/>
      <c r="F37" s="261"/>
      <c r="G37" s="260"/>
      <c r="H37" s="7"/>
      <c r="I37" s="7"/>
    </row>
    <row r="38" spans="1:9" ht="21" customHeight="1">
      <c r="A38" s="13"/>
      <c r="B38" s="6"/>
      <c r="C38" s="3"/>
      <c r="D38" s="259"/>
      <c r="E38" s="260"/>
      <c r="F38" s="261"/>
      <c r="G38" s="260"/>
      <c r="H38" s="7"/>
      <c r="I38" s="16"/>
    </row>
    <row r="39" spans="1:9" ht="21" customHeight="1">
      <c r="A39" s="13"/>
      <c r="B39" s="6"/>
      <c r="C39" s="3"/>
      <c r="D39" s="259"/>
      <c r="E39" s="260"/>
      <c r="F39" s="261"/>
      <c r="G39" s="260"/>
      <c r="H39" s="7"/>
      <c r="I39" s="7"/>
    </row>
    <row r="40" spans="1:9" ht="21" customHeight="1">
      <c r="A40" s="13"/>
      <c r="B40" s="6"/>
      <c r="C40" s="3"/>
      <c r="D40" s="259"/>
      <c r="E40" s="260"/>
      <c r="F40" s="261"/>
      <c r="G40" s="260"/>
      <c r="H40" s="7"/>
      <c r="I40" s="7"/>
    </row>
    <row r="41" spans="1:9" ht="21" customHeight="1">
      <c r="A41" s="13"/>
      <c r="B41" s="6"/>
      <c r="C41" s="3"/>
      <c r="D41" s="259"/>
      <c r="E41" s="260"/>
      <c r="F41" s="261"/>
      <c r="G41" s="260"/>
      <c r="H41" s="7"/>
      <c r="I41" s="7"/>
    </row>
    <row r="42" spans="1:9" ht="21" customHeight="1">
      <c r="A42" s="13"/>
      <c r="B42" s="6"/>
      <c r="C42" s="3"/>
      <c r="D42" s="259"/>
      <c r="E42" s="260"/>
      <c r="F42" s="261"/>
      <c r="G42" s="260"/>
      <c r="H42" s="7"/>
      <c r="I42" s="7"/>
    </row>
    <row r="43" spans="1:9" ht="21" customHeight="1">
      <c r="A43" s="13"/>
      <c r="B43" s="6"/>
      <c r="C43" s="3"/>
      <c r="D43" s="259"/>
      <c r="E43" s="260"/>
      <c r="F43" s="261"/>
      <c r="G43" s="260"/>
      <c r="H43" s="7"/>
      <c r="I43" s="7"/>
    </row>
    <row r="44" spans="1:9" ht="21" customHeight="1">
      <c r="A44" s="13"/>
      <c r="B44" s="6"/>
      <c r="C44" s="3"/>
      <c r="D44" s="259"/>
      <c r="E44" s="260"/>
      <c r="F44" s="261"/>
      <c r="G44" s="260"/>
      <c r="H44" s="7"/>
      <c r="I44" s="7"/>
    </row>
    <row r="45" spans="1:9" ht="21" customHeight="1">
      <c r="A45" s="13"/>
      <c r="B45" s="6"/>
      <c r="C45" s="3"/>
      <c r="D45" s="259"/>
      <c r="E45" s="260"/>
      <c r="F45" s="261"/>
      <c r="G45" s="260"/>
      <c r="H45" s="7"/>
      <c r="I45" s="7"/>
    </row>
    <row r="46" spans="1:9" ht="21" customHeight="1">
      <c r="A46" s="13"/>
      <c r="B46" s="6"/>
      <c r="C46" s="3"/>
      <c r="D46" s="259"/>
      <c r="E46" s="260"/>
      <c r="F46" s="261"/>
      <c r="G46" s="260"/>
      <c r="H46" s="7"/>
      <c r="I46" s="7"/>
    </row>
    <row r="47" spans="1:9" ht="21" customHeight="1">
      <c r="A47" s="13"/>
      <c r="B47" s="6"/>
      <c r="C47" s="3"/>
      <c r="D47" s="259"/>
      <c r="E47" s="260"/>
      <c r="F47" s="261"/>
      <c r="G47" s="260"/>
      <c r="H47" s="7"/>
      <c r="I47" s="7"/>
    </row>
    <row r="48" spans="1:9" ht="21" customHeight="1">
      <c r="A48" s="13"/>
      <c r="B48" s="6"/>
      <c r="C48" s="3"/>
      <c r="D48" s="259"/>
      <c r="E48" s="260"/>
      <c r="F48" s="261"/>
      <c r="G48" s="260"/>
      <c r="H48" s="7"/>
      <c r="I48" s="7"/>
    </row>
    <row r="49" spans="1:9" ht="21" customHeight="1">
      <c r="A49" s="13"/>
      <c r="B49" s="6"/>
      <c r="C49" s="10"/>
      <c r="D49" s="259"/>
      <c r="E49" s="260"/>
      <c r="F49" s="261"/>
      <c r="G49" s="260"/>
      <c r="H49" s="7"/>
      <c r="I49" s="7"/>
    </row>
    <row r="50" spans="1:9" ht="21" customHeight="1">
      <c r="A50" s="13"/>
      <c r="B50" s="8"/>
      <c r="C50" s="10"/>
      <c r="D50" s="259"/>
      <c r="E50" s="260"/>
      <c r="F50" s="261"/>
      <c r="G50" s="260"/>
      <c r="H50" s="7"/>
      <c r="I50" s="11"/>
    </row>
    <row r="51" spans="1:9" ht="21" customHeight="1">
      <c r="A51" s="13"/>
      <c r="B51" s="6"/>
      <c r="C51" s="9"/>
      <c r="D51" s="259"/>
      <c r="E51" s="260"/>
      <c r="F51" s="261"/>
      <c r="G51" s="260"/>
      <c r="H51" s="7"/>
      <c r="I51" s="7"/>
    </row>
    <row r="52" spans="1:9" ht="21" customHeight="1">
      <c r="A52" s="14"/>
      <c r="B52" s="6"/>
      <c r="C52" s="3"/>
      <c r="D52" s="259"/>
      <c r="E52" s="260"/>
      <c r="F52" s="261"/>
      <c r="G52" s="260"/>
      <c r="H52" s="7"/>
      <c r="I52" s="7"/>
    </row>
    <row r="53" spans="1:9" ht="21" customHeight="1">
      <c r="A53" s="14"/>
      <c r="B53" s="6"/>
      <c r="C53" s="3"/>
      <c r="D53" s="259"/>
      <c r="E53" s="260"/>
      <c r="F53" s="261"/>
      <c r="G53" s="260"/>
      <c r="H53" s="7"/>
      <c r="I53" s="7"/>
    </row>
    <row r="54" spans="1:9" ht="21" customHeight="1">
      <c r="A54" s="15"/>
      <c r="B54" s="6"/>
      <c r="C54" s="3"/>
      <c r="D54" s="259"/>
      <c r="E54" s="260"/>
      <c r="F54" s="261"/>
      <c r="G54" s="260"/>
      <c r="H54" s="7"/>
      <c r="I54" s="7"/>
    </row>
    <row r="55" spans="1:9" ht="21" customHeight="1">
      <c r="A55" s="14"/>
      <c r="B55" s="6"/>
      <c r="C55" s="3"/>
      <c r="D55" s="259"/>
      <c r="E55" s="260"/>
      <c r="F55" s="261"/>
      <c r="G55" s="260"/>
      <c r="H55" s="7"/>
      <c r="I55" s="7"/>
    </row>
    <row r="56" spans="1:9" ht="21" customHeight="1">
      <c r="A56" s="14"/>
      <c r="B56" s="6"/>
      <c r="C56" s="3"/>
      <c r="D56" s="259"/>
      <c r="E56" s="260"/>
      <c r="F56" s="261"/>
      <c r="G56" s="260"/>
      <c r="H56" s="7"/>
      <c r="I56" s="7"/>
    </row>
    <row r="57" spans="1:9" ht="21" customHeight="1">
      <c r="A57" s="14"/>
      <c r="B57" s="6"/>
      <c r="C57" s="3"/>
      <c r="D57" s="259"/>
      <c r="E57" s="260"/>
      <c r="F57" s="261"/>
      <c r="G57" s="260"/>
      <c r="H57" s="7"/>
      <c r="I57" s="16"/>
    </row>
    <row r="58" spans="1:9" ht="21" customHeight="1">
      <c r="A58" s="15"/>
      <c r="B58" s="6"/>
      <c r="C58" s="3"/>
      <c r="D58" s="259"/>
      <c r="E58" s="260"/>
      <c r="F58" s="261"/>
      <c r="G58" s="260"/>
      <c r="H58" s="7"/>
      <c r="I58" s="7"/>
    </row>
    <row r="59" spans="1:9" ht="21" customHeight="1">
      <c r="A59" s="15"/>
      <c r="B59" s="6"/>
      <c r="C59" s="3"/>
      <c r="D59" s="259"/>
      <c r="E59" s="260"/>
      <c r="F59" s="261"/>
      <c r="G59" s="260"/>
      <c r="H59" s="7"/>
      <c r="I59" s="7"/>
    </row>
    <row r="60" spans="1:9" ht="21" customHeight="1">
      <c r="A60" s="15"/>
      <c r="B60" s="6"/>
      <c r="C60" s="3"/>
      <c r="D60" s="259"/>
      <c r="E60" s="260"/>
      <c r="F60" s="261"/>
      <c r="G60" s="260"/>
      <c r="H60" s="7"/>
      <c r="I60" s="7"/>
    </row>
    <row r="61" spans="1:9" ht="21" customHeight="1">
      <c r="A61" s="14"/>
      <c r="B61" s="6"/>
      <c r="C61" s="3"/>
      <c r="D61" s="259"/>
      <c r="E61" s="260"/>
      <c r="F61" s="261"/>
      <c r="G61" s="260"/>
      <c r="H61" s="7"/>
      <c r="I61" s="7"/>
    </row>
    <row r="62" spans="1:9" ht="21" customHeight="1">
      <c r="A62" s="14"/>
      <c r="B62" s="6"/>
      <c r="C62" s="9"/>
      <c r="D62" s="259"/>
      <c r="E62" s="260"/>
      <c r="F62" s="261"/>
      <c r="G62" s="260"/>
      <c r="H62" s="7"/>
      <c r="I62" s="7"/>
    </row>
    <row r="63" spans="1:9" ht="21" customHeight="1">
      <c r="A63" s="14"/>
      <c r="B63" s="6"/>
      <c r="C63" s="3"/>
      <c r="D63" s="259"/>
      <c r="E63" s="260"/>
      <c r="F63" s="261"/>
      <c r="G63" s="260"/>
      <c r="H63" s="7"/>
      <c r="I63" s="7"/>
    </row>
    <row r="64" spans="1:9" ht="21" customHeight="1">
      <c r="A64" s="15"/>
      <c r="B64" s="6"/>
      <c r="C64" s="3"/>
      <c r="D64" s="259"/>
      <c r="E64" s="260"/>
      <c r="F64" s="261"/>
      <c r="G64" s="260"/>
      <c r="H64" s="7"/>
      <c r="I64" s="7"/>
    </row>
    <row r="65" spans="1:9" ht="21" customHeight="1">
      <c r="A65" s="15"/>
      <c r="B65" s="6"/>
      <c r="C65" s="3"/>
      <c r="D65" s="259"/>
      <c r="E65" s="260"/>
      <c r="F65" s="261"/>
      <c r="G65" s="260"/>
      <c r="H65" s="7"/>
      <c r="I65" s="7"/>
    </row>
    <row r="66" spans="1:9" ht="21" customHeight="1">
      <c r="A66" s="14"/>
      <c r="B66" s="6"/>
      <c r="C66" s="3"/>
      <c r="D66" s="259"/>
      <c r="E66" s="260"/>
      <c r="F66" s="261"/>
      <c r="G66" s="260"/>
      <c r="H66" s="7"/>
      <c r="I66" s="7"/>
    </row>
    <row r="67" spans="1:9" ht="21" customHeight="1">
      <c r="A67" s="15"/>
      <c r="B67" s="6"/>
      <c r="C67" s="3"/>
      <c r="D67" s="259"/>
      <c r="E67" s="260"/>
      <c r="F67" s="261"/>
      <c r="G67" s="260"/>
      <c r="H67" s="7"/>
      <c r="I67" s="7"/>
    </row>
    <row r="68" spans="1:9" ht="21" customHeight="1">
      <c r="A68" s="15"/>
      <c r="B68" s="6"/>
      <c r="C68" s="3"/>
      <c r="D68" s="259"/>
      <c r="E68" s="260"/>
      <c r="F68" s="261"/>
      <c r="G68" s="260"/>
      <c r="H68" s="7"/>
      <c r="I68" s="7"/>
    </row>
    <row r="69" spans="1:9" ht="21" customHeight="1">
      <c r="A69" s="14"/>
      <c r="B69" s="6"/>
      <c r="C69" s="3"/>
      <c r="D69" s="259"/>
      <c r="E69" s="260"/>
      <c r="F69" s="261"/>
      <c r="G69" s="260"/>
      <c r="H69" s="7"/>
      <c r="I69" s="7"/>
    </row>
    <row r="70" spans="1:9" ht="21" customHeight="1">
      <c r="A70" s="15"/>
      <c r="B70" s="6"/>
      <c r="C70" s="3"/>
      <c r="D70" s="259"/>
      <c r="E70" s="260"/>
      <c r="F70" s="261"/>
      <c r="G70" s="260"/>
      <c r="H70" s="7"/>
      <c r="I70" s="7"/>
    </row>
    <row r="71" spans="1:9" ht="21" customHeight="1">
      <c r="A71" s="15"/>
      <c r="B71" s="6"/>
      <c r="C71" s="3"/>
      <c r="D71" s="259"/>
      <c r="E71" s="260"/>
      <c r="F71" s="261"/>
      <c r="G71" s="260"/>
      <c r="H71" s="7"/>
      <c r="I71" s="7"/>
    </row>
    <row r="72" spans="1:9" ht="21" customHeight="1">
      <c r="A72" s="15"/>
      <c r="B72" s="6"/>
      <c r="C72" s="3"/>
      <c r="D72" s="259"/>
      <c r="E72" s="260"/>
      <c r="F72" s="261"/>
      <c r="G72" s="260"/>
      <c r="H72" s="7"/>
      <c r="I72" s="7"/>
    </row>
    <row r="73" spans="1:9" ht="21" customHeight="1">
      <c r="A73" s="14"/>
      <c r="B73" s="6"/>
      <c r="C73" s="3"/>
      <c r="D73" s="259"/>
      <c r="E73" s="260"/>
      <c r="F73" s="261"/>
      <c r="G73" s="260"/>
      <c r="H73" s="7"/>
      <c r="I73" s="7"/>
    </row>
    <row r="74" spans="1:9" ht="21" customHeight="1">
      <c r="A74" s="14"/>
      <c r="B74" s="6"/>
      <c r="C74" s="3"/>
      <c r="D74" s="259"/>
      <c r="E74" s="260"/>
      <c r="F74" s="261"/>
      <c r="G74" s="260"/>
      <c r="H74" s="7"/>
      <c r="I74" s="7"/>
    </row>
    <row r="75" spans="1:9" ht="21" customHeight="1">
      <c r="A75" s="14"/>
      <c r="B75" s="6"/>
      <c r="C75" s="3"/>
      <c r="D75" s="259"/>
      <c r="E75" s="260"/>
      <c r="F75" s="261"/>
      <c r="G75" s="260"/>
      <c r="H75" s="7"/>
      <c r="I75" s="7"/>
    </row>
    <row r="76" spans="1:9" ht="21" customHeight="1">
      <c r="A76" s="15"/>
      <c r="B76" s="6"/>
      <c r="C76" s="3"/>
      <c r="D76" s="259"/>
      <c r="E76" s="260"/>
      <c r="F76" s="261"/>
      <c r="G76" s="260"/>
      <c r="H76" s="7"/>
      <c r="I76" s="7"/>
    </row>
    <row r="77" spans="1:9" ht="21" customHeight="1">
      <c r="A77" s="15"/>
      <c r="B77" s="6"/>
      <c r="C77" s="3"/>
      <c r="D77" s="259"/>
      <c r="E77" s="260"/>
      <c r="F77" s="261"/>
      <c r="G77" s="260"/>
      <c r="H77" s="7"/>
      <c r="I77" s="7"/>
    </row>
    <row r="78" spans="1:9" ht="21" customHeight="1">
      <c r="A78" s="15"/>
      <c r="B78" s="6"/>
      <c r="C78" s="3"/>
      <c r="D78" s="259"/>
      <c r="E78" s="260"/>
      <c r="F78" s="261"/>
      <c r="G78" s="260"/>
      <c r="H78" s="7"/>
      <c r="I78" s="7"/>
    </row>
    <row r="79" spans="1:9" ht="21" customHeight="1">
      <c r="A79" s="14"/>
      <c r="B79" s="6"/>
      <c r="C79" s="3"/>
      <c r="D79" s="259"/>
      <c r="E79" s="260"/>
      <c r="F79" s="261"/>
      <c r="G79" s="260"/>
      <c r="H79" s="7"/>
      <c r="I79" s="7"/>
    </row>
    <row r="80" spans="1:9" ht="21" customHeight="1">
      <c r="A80" s="15"/>
      <c r="B80" s="6"/>
      <c r="C80" s="3"/>
      <c r="D80" s="259"/>
      <c r="E80" s="260"/>
      <c r="F80" s="261"/>
      <c r="G80" s="260"/>
      <c r="H80" s="7"/>
      <c r="I80" s="7"/>
    </row>
    <row r="81" spans="1:9" ht="21" customHeight="1">
      <c r="A81" s="14"/>
      <c r="B81" s="6"/>
      <c r="C81" s="3"/>
      <c r="D81" s="259"/>
      <c r="E81" s="260"/>
      <c r="F81" s="261"/>
      <c r="G81" s="260"/>
      <c r="H81" s="7"/>
      <c r="I81" s="7"/>
    </row>
    <row r="82" spans="1:9" ht="21" customHeight="1">
      <c r="A82" s="14"/>
      <c r="B82" s="6"/>
      <c r="C82" s="3"/>
      <c r="D82" s="259"/>
      <c r="E82" s="260"/>
      <c r="F82" s="261"/>
      <c r="G82" s="260"/>
      <c r="H82" s="7"/>
      <c r="I82" s="7"/>
    </row>
    <row r="83" spans="1:9" ht="21" customHeight="1">
      <c r="A83" s="14"/>
      <c r="B83" s="8"/>
      <c r="C83" s="9"/>
      <c r="D83" s="259"/>
      <c r="E83" s="260"/>
      <c r="F83" s="261"/>
      <c r="G83" s="260"/>
      <c r="H83" s="7"/>
      <c r="I83" s="7"/>
    </row>
    <row r="84" spans="1:9" ht="21" customHeight="1">
      <c r="A84" s="14"/>
      <c r="B84" s="6"/>
      <c r="C84" s="3"/>
      <c r="D84" s="259"/>
      <c r="E84" s="260"/>
      <c r="F84" s="261"/>
      <c r="G84" s="260"/>
      <c r="H84" s="7"/>
      <c r="I84" s="7"/>
    </row>
    <row r="85" spans="1:9" ht="21" customHeight="1">
      <c r="A85" s="15"/>
      <c r="B85" s="8"/>
      <c r="C85" s="9"/>
      <c r="D85" s="259"/>
      <c r="E85" s="260"/>
      <c r="F85" s="261"/>
      <c r="G85" s="260"/>
      <c r="H85" s="7"/>
      <c r="I85" s="11"/>
    </row>
    <row r="86" spans="1:9" ht="21" customHeight="1">
      <c r="A86" s="15"/>
      <c r="B86" s="6"/>
      <c r="C86" s="3"/>
      <c r="D86" s="259"/>
      <c r="E86" s="260"/>
      <c r="F86" s="261"/>
      <c r="G86" s="260"/>
      <c r="H86" s="7"/>
      <c r="I86" s="7"/>
    </row>
    <row r="87" spans="1:9" ht="21" customHeight="1">
      <c r="A87" s="15"/>
      <c r="B87" s="6"/>
      <c r="C87" s="9"/>
      <c r="D87" s="259"/>
      <c r="E87" s="260"/>
      <c r="F87" s="261"/>
      <c r="G87" s="260"/>
      <c r="H87" s="7"/>
      <c r="I87" s="7"/>
    </row>
    <row r="88" spans="1:9" ht="21" customHeight="1">
      <c r="A88" s="14"/>
      <c r="B88" s="6"/>
      <c r="C88" s="3"/>
      <c r="D88" s="259"/>
      <c r="E88" s="260"/>
      <c r="F88" s="261"/>
      <c r="G88" s="260"/>
      <c r="H88" s="7"/>
      <c r="I88" s="7"/>
    </row>
    <row r="89" spans="1:9" ht="21" customHeight="1">
      <c r="A89" s="15"/>
      <c r="B89" s="6"/>
      <c r="C89" s="3"/>
      <c r="D89" s="259"/>
      <c r="E89" s="260"/>
      <c r="F89" s="261"/>
      <c r="G89" s="260"/>
      <c r="H89" s="7"/>
      <c r="I89" s="7"/>
    </row>
    <row r="90" spans="1:9" ht="21" customHeight="1">
      <c r="A90" s="15"/>
      <c r="B90" s="6"/>
      <c r="C90" s="3"/>
      <c r="D90" s="259"/>
      <c r="E90" s="260"/>
      <c r="F90" s="261"/>
      <c r="G90" s="260"/>
      <c r="H90" s="7"/>
      <c r="I90" s="7"/>
    </row>
    <row r="91" spans="1:9" ht="21" customHeight="1">
      <c r="A91" s="14"/>
      <c r="B91" s="6"/>
      <c r="C91" s="3"/>
      <c r="D91" s="259"/>
      <c r="E91" s="260"/>
      <c r="F91" s="261"/>
      <c r="G91" s="260"/>
      <c r="H91" s="7"/>
      <c r="I91" s="7"/>
    </row>
    <row r="92" spans="1:9" ht="21" customHeight="1">
      <c r="A92" s="15"/>
      <c r="B92" s="6"/>
      <c r="C92" s="3"/>
      <c r="D92" s="259"/>
      <c r="E92" s="260"/>
      <c r="F92" s="261"/>
      <c r="G92" s="260"/>
      <c r="H92" s="7"/>
      <c r="I92" s="7"/>
    </row>
    <row r="93" spans="1:9" ht="21" customHeight="1">
      <c r="A93" s="15"/>
      <c r="B93" s="6"/>
      <c r="C93" s="3"/>
      <c r="D93" s="259"/>
      <c r="E93" s="260"/>
      <c r="F93" s="261"/>
      <c r="G93" s="260"/>
      <c r="H93" s="7"/>
      <c r="I93" s="7"/>
    </row>
    <row r="94" spans="1:9" ht="21" customHeight="1">
      <c r="A94" s="15"/>
      <c r="B94" s="6"/>
      <c r="C94" s="3"/>
      <c r="D94" s="259"/>
      <c r="E94" s="260"/>
      <c r="F94" s="261"/>
      <c r="G94" s="260"/>
      <c r="H94" s="7"/>
      <c r="I94" s="7"/>
    </row>
    <row r="95" spans="1:9" ht="21" customHeight="1">
      <c r="A95" s="14"/>
      <c r="B95" s="6"/>
      <c r="C95" s="3"/>
      <c r="D95" s="259"/>
      <c r="E95" s="260"/>
      <c r="F95" s="261"/>
      <c r="G95" s="260"/>
      <c r="H95" s="7"/>
      <c r="I95" s="7"/>
    </row>
    <row r="96" spans="1:9" ht="21" customHeight="1">
      <c r="A96" s="14"/>
      <c r="B96" s="6"/>
      <c r="C96" s="3"/>
      <c r="D96" s="259"/>
      <c r="E96" s="260"/>
      <c r="F96" s="261"/>
      <c r="G96" s="260"/>
      <c r="H96" s="7"/>
      <c r="I96" s="7"/>
    </row>
    <row r="97" spans="1:9" ht="21" customHeight="1">
      <c r="A97" s="14"/>
      <c r="B97" s="6"/>
      <c r="C97" s="3"/>
      <c r="D97" s="259"/>
      <c r="E97" s="260"/>
      <c r="F97" s="261"/>
      <c r="G97" s="260"/>
      <c r="H97" s="7"/>
      <c r="I97" s="7"/>
    </row>
    <row r="98" spans="1:9" ht="21" customHeight="1">
      <c r="A98" s="14"/>
      <c r="B98" s="6"/>
      <c r="C98" s="3"/>
      <c r="D98" s="259"/>
      <c r="E98" s="260"/>
      <c r="F98" s="261"/>
      <c r="G98" s="260"/>
      <c r="H98" s="7"/>
      <c r="I98" s="7"/>
    </row>
    <row r="99" spans="1:9" ht="21" customHeight="1">
      <c r="A99" s="14"/>
      <c r="B99" s="6"/>
      <c r="C99" s="3"/>
      <c r="D99" s="259"/>
      <c r="E99" s="260"/>
      <c r="F99" s="261"/>
      <c r="G99" s="260"/>
      <c r="H99" s="7"/>
      <c r="I99" s="7"/>
    </row>
    <row r="100" spans="1:9" ht="21" customHeight="1">
      <c r="A100" s="14"/>
      <c r="B100" s="6"/>
      <c r="C100" s="3"/>
      <c r="D100" s="259"/>
      <c r="E100" s="260"/>
      <c r="F100" s="261"/>
      <c r="G100" s="260"/>
      <c r="H100" s="7"/>
      <c r="I100" s="7"/>
    </row>
    <row r="101" spans="1:9" ht="21" customHeight="1">
      <c r="A101" s="14"/>
      <c r="B101" s="6"/>
      <c r="C101" s="3"/>
      <c r="D101" s="259"/>
      <c r="E101" s="260"/>
      <c r="F101" s="261"/>
      <c r="G101" s="260"/>
      <c r="H101" s="7"/>
      <c r="I101" s="7"/>
    </row>
    <row r="102" spans="1:9" ht="21" customHeight="1">
      <c r="A102" s="14"/>
      <c r="B102" s="6"/>
      <c r="C102" s="3"/>
      <c r="D102" s="259"/>
      <c r="E102" s="260"/>
      <c r="F102" s="261"/>
      <c r="G102" s="260"/>
      <c r="H102" s="7"/>
      <c r="I102" s="7"/>
    </row>
    <row r="103" spans="1:9" ht="21" customHeight="1">
      <c r="A103" s="14"/>
      <c r="B103" s="6"/>
      <c r="C103" s="3"/>
      <c r="D103" s="259"/>
      <c r="E103" s="260"/>
      <c r="F103" s="261"/>
      <c r="G103" s="260"/>
      <c r="H103" s="7"/>
      <c r="I103" s="7"/>
    </row>
    <row r="104" spans="1:9" ht="21" customHeight="1">
      <c r="A104" s="14"/>
      <c r="B104" s="6"/>
      <c r="C104" s="9"/>
      <c r="D104" s="259"/>
      <c r="E104" s="260"/>
      <c r="F104" s="261"/>
      <c r="G104" s="260"/>
      <c r="H104" s="7"/>
      <c r="I104" s="7"/>
    </row>
    <row r="105" spans="1:9" ht="21" customHeight="1">
      <c r="A105" s="14"/>
      <c r="B105" s="6"/>
      <c r="C105" s="3"/>
      <c r="D105" s="259"/>
      <c r="E105" s="260"/>
      <c r="F105" s="261"/>
      <c r="G105" s="260"/>
      <c r="H105" s="7"/>
      <c r="I105" s="7"/>
    </row>
  </sheetData>
  <mergeCells count="210">
    <mergeCell ref="B3:D3"/>
    <mergeCell ref="D74:E74"/>
    <mergeCell ref="D68:E68"/>
    <mergeCell ref="D42:E42"/>
    <mergeCell ref="D82:E82"/>
    <mergeCell ref="F82:G82"/>
    <mergeCell ref="F60:G60"/>
    <mergeCell ref="D50:E50"/>
    <mergeCell ref="D44:E44"/>
    <mergeCell ref="D59:E59"/>
    <mergeCell ref="F44:G44"/>
    <mergeCell ref="D104:E104"/>
    <mergeCell ref="D57:E57"/>
    <mergeCell ref="B2:I2"/>
    <mergeCell ref="F51:G51"/>
    <mergeCell ref="F104:G104"/>
    <mergeCell ref="D32:E32"/>
    <mergeCell ref="F32:G32"/>
    <mergeCell ref="D41:E41"/>
    <mergeCell ref="D97:E97"/>
    <mergeCell ref="F26:G26"/>
    <mergeCell ref="F41:G41"/>
    <mergeCell ref="F97:G97"/>
    <mergeCell ref="F35:G35"/>
    <mergeCell ref="D16:E16"/>
    <mergeCell ref="D87:E87"/>
    <mergeCell ref="F38:G38"/>
    <mergeCell ref="D43:E43"/>
    <mergeCell ref="F90:G90"/>
    <mergeCell ref="E3:G3"/>
    <mergeCell ref="D58:E58"/>
    <mergeCell ref="D18:E18"/>
    <mergeCell ref="F58:G58"/>
    <mergeCell ref="F27:G27"/>
    <mergeCell ref="F52:G52"/>
    <mergeCell ref="H4:I4"/>
    <mergeCell ref="D80:E80"/>
    <mergeCell ref="F40:G40"/>
    <mergeCell ref="D21:E21"/>
    <mergeCell ref="F59:G59"/>
    <mergeCell ref="F55:G55"/>
    <mergeCell ref="F12:G12"/>
    <mergeCell ref="F24:G24"/>
    <mergeCell ref="D95:E95"/>
    <mergeCell ref="F95:G95"/>
    <mergeCell ref="F67:G67"/>
    <mergeCell ref="D8:E8"/>
    <mergeCell ref="F37:G37"/>
    <mergeCell ref="D105:E105"/>
    <mergeCell ref="F21:G21"/>
    <mergeCell ref="D52:E52"/>
    <mergeCell ref="F53:G53"/>
    <mergeCell ref="D49:E49"/>
    <mergeCell ref="D27:E27"/>
    <mergeCell ref="F36:G36"/>
    <mergeCell ref="F50:G50"/>
    <mergeCell ref="F101:G101"/>
    <mergeCell ref="D91:E91"/>
    <mergeCell ref="F91:G91"/>
    <mergeCell ref="F100:G100"/>
    <mergeCell ref="D28:E28"/>
    <mergeCell ref="D93:E93"/>
    <mergeCell ref="F22:G22"/>
    <mergeCell ref="F93:G93"/>
    <mergeCell ref="D102:E102"/>
    <mergeCell ref="F102:G102"/>
    <mergeCell ref="D83:E83"/>
    <mergeCell ref="D25:E25"/>
    <mergeCell ref="F77:G77"/>
    <mergeCell ref="D92:E92"/>
    <mergeCell ref="D55:E55"/>
    <mergeCell ref="D30:E30"/>
    <mergeCell ref="A1:I1"/>
    <mergeCell ref="D38:E38"/>
    <mergeCell ref="D89:E89"/>
    <mergeCell ref="D79:E79"/>
    <mergeCell ref="F64:G64"/>
    <mergeCell ref="F73:G73"/>
    <mergeCell ref="F87:G87"/>
    <mergeCell ref="D63:E63"/>
    <mergeCell ref="D81:E81"/>
    <mergeCell ref="F89:G89"/>
    <mergeCell ref="D65:E65"/>
    <mergeCell ref="F7:G7"/>
    <mergeCell ref="D17:E17"/>
    <mergeCell ref="F8:G8"/>
    <mergeCell ref="A5:B5"/>
    <mergeCell ref="D12:E12"/>
    <mergeCell ref="D67:E67"/>
    <mergeCell ref="F49:G49"/>
    <mergeCell ref="D14:E14"/>
    <mergeCell ref="D85:E85"/>
    <mergeCell ref="E4:G4"/>
    <mergeCell ref="F14:G14"/>
    <mergeCell ref="D54:E54"/>
    <mergeCell ref="D69:E69"/>
    <mergeCell ref="D103:E103"/>
    <mergeCell ref="D37:E37"/>
    <mergeCell ref="F31:G31"/>
    <mergeCell ref="F46:G46"/>
    <mergeCell ref="F28:G28"/>
    <mergeCell ref="D9:E9"/>
    <mergeCell ref="F9:G9"/>
    <mergeCell ref="H3:I3"/>
    <mergeCell ref="D39:E39"/>
    <mergeCell ref="F61:G61"/>
    <mergeCell ref="F39:G39"/>
    <mergeCell ref="F48:G48"/>
    <mergeCell ref="D15:E15"/>
    <mergeCell ref="D29:E29"/>
    <mergeCell ref="D23:E23"/>
    <mergeCell ref="D96:E96"/>
    <mergeCell ref="F92:G92"/>
    <mergeCell ref="D94:E94"/>
    <mergeCell ref="F11:G11"/>
    <mergeCell ref="F69:G69"/>
    <mergeCell ref="F78:G78"/>
    <mergeCell ref="F65:G65"/>
    <mergeCell ref="D46:E46"/>
    <mergeCell ref="D40:E40"/>
    <mergeCell ref="F83:G83"/>
    <mergeCell ref="D101:E101"/>
    <mergeCell ref="F30:G30"/>
    <mergeCell ref="D11:E11"/>
    <mergeCell ref="D76:E76"/>
    <mergeCell ref="F20:G20"/>
    <mergeCell ref="F18:G18"/>
    <mergeCell ref="F33:G33"/>
    <mergeCell ref="F45:G45"/>
    <mergeCell ref="F76:G76"/>
    <mergeCell ref="F85:G85"/>
    <mergeCell ref="F42:G42"/>
    <mergeCell ref="F94:G94"/>
    <mergeCell ref="D66:E66"/>
    <mergeCell ref="F17:G17"/>
    <mergeCell ref="F66:G66"/>
    <mergeCell ref="D75:E75"/>
    <mergeCell ref="D53:E53"/>
    <mergeCell ref="F75:G75"/>
    <mergeCell ref="D47:E47"/>
    <mergeCell ref="F47:G47"/>
    <mergeCell ref="F62:G62"/>
    <mergeCell ref="F96:G96"/>
    <mergeCell ref="F56:G56"/>
    <mergeCell ref="F71:G71"/>
    <mergeCell ref="F105:G105"/>
    <mergeCell ref="F43:G43"/>
    <mergeCell ref="D24:E24"/>
    <mergeCell ref="D64:E64"/>
    <mergeCell ref="D33:E33"/>
    <mergeCell ref="D98:E98"/>
    <mergeCell ref="D73:E73"/>
    <mergeCell ref="D51:E51"/>
    <mergeCell ref="F98:G98"/>
    <mergeCell ref="D88:E88"/>
    <mergeCell ref="D26:E26"/>
    <mergeCell ref="F88:G88"/>
    <mergeCell ref="F57:G57"/>
    <mergeCell ref="D35:E35"/>
    <mergeCell ref="F54:G54"/>
    <mergeCell ref="D34:E34"/>
    <mergeCell ref="D90:E90"/>
    <mergeCell ref="F63:G63"/>
    <mergeCell ref="F34:G34"/>
    <mergeCell ref="D99:E99"/>
    <mergeCell ref="F99:G99"/>
    <mergeCell ref="D48:E48"/>
    <mergeCell ref="F70:G70"/>
    <mergeCell ref="F79:G79"/>
    <mergeCell ref="D7:E7"/>
    <mergeCell ref="D72:E72"/>
    <mergeCell ref="D78:E78"/>
    <mergeCell ref="F72:G72"/>
    <mergeCell ref="B4:D4"/>
    <mergeCell ref="F81:G81"/>
    <mergeCell ref="F23:G23"/>
    <mergeCell ref="D62:E62"/>
    <mergeCell ref="D56:E56"/>
    <mergeCell ref="F13:G13"/>
    <mergeCell ref="D71:E71"/>
    <mergeCell ref="D10:E10"/>
    <mergeCell ref="F10:G10"/>
    <mergeCell ref="D19:E19"/>
    <mergeCell ref="F19:G19"/>
    <mergeCell ref="F6:G6"/>
    <mergeCell ref="F74:G74"/>
    <mergeCell ref="D20:E20"/>
    <mergeCell ref="D60:E60"/>
    <mergeCell ref="D100:E100"/>
    <mergeCell ref="F29:G29"/>
    <mergeCell ref="F16:G16"/>
    <mergeCell ref="F68:G68"/>
    <mergeCell ref="F103:G103"/>
    <mergeCell ref="F25:G25"/>
    <mergeCell ref="C5:G5"/>
    <mergeCell ref="D84:E84"/>
    <mergeCell ref="D22:E22"/>
    <mergeCell ref="F84:G84"/>
    <mergeCell ref="D36:E36"/>
    <mergeCell ref="D31:E31"/>
    <mergeCell ref="D45:E45"/>
    <mergeCell ref="D6:E6"/>
    <mergeCell ref="D77:E77"/>
    <mergeCell ref="D86:E86"/>
    <mergeCell ref="F15:G15"/>
    <mergeCell ref="F86:G86"/>
    <mergeCell ref="D13:E13"/>
    <mergeCell ref="F80:G80"/>
    <mergeCell ref="D61:E61"/>
    <mergeCell ref="D70:E70"/>
  </mergeCells>
  <phoneticPr fontId="30" type="noConversion"/>
  <pageMargins left="0.35433070866141742" right="0.35433070866141742" top="0.43307086614173229" bottom="0.31496062992125978" header="0.31496062992125978" footer="0.31496062992125978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111</vt:i4>
      </vt:variant>
      <vt:variant>
        <vt:lpstr>具名範圍</vt:lpstr>
      </vt:variant>
      <vt:variant>
        <vt:i4>1</vt:i4>
      </vt:variant>
    </vt:vector>
  </HeadingPairs>
  <TitlesOfParts>
    <vt:vector size="112" baseType="lpstr">
      <vt:lpstr>1</vt:lpstr>
      <vt:lpstr>總表</vt:lpstr>
      <vt:lpstr>異動log</vt:lpstr>
      <vt:lpstr>2</vt:lpstr>
      <vt:lpstr>3</vt:lpstr>
      <vt:lpstr>4</vt:lpstr>
      <vt:lpstr>5</vt:lpstr>
      <vt:lpstr>6</vt:lpstr>
      <vt:lpstr>7</vt:lpstr>
      <vt:lpstr>8</vt:lpstr>
      <vt:lpstr>9</vt:lpstr>
      <vt:lpstr>11</vt:lpstr>
      <vt:lpstr>10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空白模板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user</cp:lastModifiedBy>
  <cp:lastPrinted>2026-01-02T01:01:44Z</cp:lastPrinted>
  <dcterms:created xsi:type="dcterms:W3CDTF">2023-04-20T06:43:49Z</dcterms:created>
  <dcterms:modified xsi:type="dcterms:W3CDTF">2026-07-25T00:16:13Z</dcterms:modified>
</cp:coreProperties>
</file>